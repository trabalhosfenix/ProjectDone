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namedSheetViews/namedSheetView1.xml" ContentType="application/vnd.ms-excel.namedsheetview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namedSheetViews/namedSheetView2.xml" ContentType="application/vnd.ms-excel.namedsheetviews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Jaçanã Santos\Downloads\"/>
    </mc:Choice>
  </mc:AlternateContent>
  <xr:revisionPtr revIDLastSave="0" documentId="8_{A23F659A-1AB1-4C89-9949-C31C789A1312}" xr6:coauthVersionLast="47" xr6:coauthVersionMax="47" xr10:uidLastSave="{00000000-0000-0000-0000-000000000000}"/>
  <bookViews>
    <workbookView xWindow="-120" yWindow="-120" windowWidth="20730" windowHeight="11040" tabRatio="742" firstSheet="4" activeTab="4" xr2:uid="{D38B4467-F53E-4F97-B701-9A0A8F71B865}"/>
  </bookViews>
  <sheets>
    <sheet name="O2C - Produtos acabados" sheetId="1" state="hidden" r:id="rId1"/>
    <sheet name="O2C - Diversas" sheetId="2" state="hidden" r:id="rId2"/>
    <sheet name="TNV" sheetId="15" state="hidden" r:id="rId3"/>
    <sheet name="Analise-TNV" sheetId="16" state="hidden" r:id="rId4"/>
    <sheet name="Outbound" sheetId="4" r:id="rId5"/>
    <sheet name="Analise-Out" sheetId="8" r:id="rId6"/>
    <sheet name="Inbound" sheetId="3" state="hidden" r:id="rId7"/>
    <sheet name="Analise-In" sheetId="6" state="hidden" r:id="rId8"/>
    <sheet name="Planilha1" sheetId="9" state="hidden" r:id="rId9"/>
    <sheet name="Planilha2" sheetId="10" state="hidden" r:id="rId10"/>
    <sheet name="Elo-Out" sheetId="11" state="hidden" r:id="rId11"/>
    <sheet name="Aux" sheetId="5" r:id="rId12"/>
    <sheet name="Elo-In" sheetId="12" state="hidden" r:id="rId13"/>
  </sheets>
  <definedNames>
    <definedName name="_xlnm._FilterDatabase" localSheetId="4" hidden="1">Outbound!$D$641:$D$641</definedName>
    <definedName name="_xlnm._FilterDatabase" localSheetId="8" hidden="1">Planilha1!$A$1:$C$78</definedName>
  </definedNames>
  <calcPr calcId="191029"/>
  <pivotCaches>
    <pivotCache cacheId="3" r:id="rId14"/>
    <pivotCache cacheId="4" r:id="rId15"/>
    <pivotCache cacheId="5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8" i="15" l="1"/>
  <c r="A117" i="15"/>
  <c r="A116" i="15"/>
  <c r="A115" i="15"/>
  <c r="A114" i="15"/>
  <c r="A113" i="15"/>
  <c r="A112" i="15"/>
  <c r="A111" i="15"/>
  <c r="A127" i="15"/>
  <c r="A126" i="15"/>
  <c r="A125" i="15"/>
  <c r="A124" i="15"/>
  <c r="A123" i="15"/>
  <c r="A122" i="15"/>
  <c r="A121" i="15"/>
  <c r="A120" i="15"/>
  <c r="A109" i="15"/>
  <c r="A108" i="15"/>
  <c r="A107" i="15"/>
  <c r="A106" i="15"/>
  <c r="A105" i="15"/>
  <c r="A104" i="15"/>
  <c r="A103" i="15"/>
  <c r="A102" i="15"/>
  <c r="A100" i="15"/>
  <c r="A99" i="15"/>
  <c r="A98" i="15"/>
  <c r="A97" i="15"/>
  <c r="A96" i="15"/>
  <c r="A95" i="15"/>
  <c r="A94" i="15"/>
  <c r="A93" i="15"/>
  <c r="A91" i="15"/>
  <c r="A90" i="15"/>
  <c r="A89" i="15"/>
  <c r="A88" i="15"/>
  <c r="A87" i="15"/>
  <c r="A86" i="15"/>
  <c r="A85" i="15"/>
  <c r="A84" i="15"/>
  <c r="A82" i="15"/>
  <c r="A81" i="15"/>
  <c r="A80" i="15"/>
  <c r="A79" i="15"/>
  <c r="A78" i="15"/>
  <c r="A77" i="15"/>
  <c r="A76" i="15"/>
  <c r="A75" i="15"/>
  <c r="A73" i="15"/>
  <c r="A72" i="15"/>
  <c r="A71" i="15"/>
  <c r="A70" i="15"/>
  <c r="A69" i="15"/>
  <c r="A68" i="15"/>
  <c r="A67" i="15"/>
  <c r="A66" i="15"/>
  <c r="A64" i="15"/>
  <c r="A63" i="15"/>
  <c r="A62" i="15"/>
  <c r="A61" i="15"/>
  <c r="A60" i="15"/>
  <c r="A59" i="15"/>
  <c r="A58" i="15"/>
  <c r="A57" i="15"/>
  <c r="A55" i="15"/>
  <c r="A54" i="15"/>
  <c r="A53" i="15"/>
  <c r="A52" i="15"/>
  <c r="A51" i="15"/>
  <c r="A50" i="15"/>
  <c r="A49" i="15"/>
  <c r="A48" i="15"/>
  <c r="A46" i="15"/>
  <c r="A45" i="15"/>
  <c r="A44" i="15"/>
  <c r="A43" i="15"/>
  <c r="A42" i="15"/>
  <c r="A41" i="15"/>
  <c r="A40" i="15"/>
  <c r="A39" i="15"/>
  <c r="A37" i="15"/>
  <c r="A36" i="15"/>
  <c r="A35" i="15"/>
  <c r="A34" i="15"/>
  <c r="A33" i="15"/>
  <c r="A32" i="15"/>
  <c r="A31" i="15"/>
  <c r="A30" i="15"/>
  <c r="A28" i="15"/>
  <c r="A27" i="15"/>
  <c r="A26" i="15"/>
  <c r="A25" i="15"/>
  <c r="A24" i="15"/>
  <c r="A23" i="15"/>
  <c r="A22" i="15"/>
  <c r="A21" i="15"/>
  <c r="A19" i="15"/>
  <c r="A18" i="15"/>
  <c r="A17" i="15"/>
  <c r="A16" i="15"/>
  <c r="A15" i="15"/>
  <c r="A14" i="15"/>
  <c r="A13" i="15"/>
  <c r="A12" i="15"/>
  <c r="A2" i="15"/>
  <c r="A3" i="15"/>
  <c r="A4" i="15"/>
  <c r="A5" i="15"/>
  <c r="A6" i="15"/>
  <c r="A7" i="15"/>
  <c r="A8" i="15"/>
  <c r="A9" i="15"/>
  <c r="A10" i="15"/>
  <c r="A11" i="15"/>
  <c r="A20" i="15"/>
  <c r="A29" i="15"/>
  <c r="A38" i="15"/>
  <c r="A47" i="15"/>
  <c r="A56" i="15"/>
  <c r="A65" i="15"/>
  <c r="A74" i="15"/>
  <c r="A83" i="15"/>
  <c r="A92" i="15"/>
  <c r="A101" i="15"/>
  <c r="A110" i="15"/>
  <c r="A119" i="15"/>
  <c r="B29" i="16"/>
  <c r="D29" i="16" s="1"/>
  <c r="B28" i="16"/>
  <c r="D28" i="16" s="1"/>
  <c r="I16" i="16"/>
  <c r="I15" i="16"/>
  <c r="B41" i="6"/>
  <c r="D41" i="6" s="1"/>
  <c r="I16" i="8"/>
  <c r="B75" i="8"/>
  <c r="D75" i="8" s="1"/>
  <c r="B40" i="6"/>
  <c r="D40" i="6" s="1"/>
  <c r="B74" i="8"/>
  <c r="D74" i="8" s="1"/>
  <c r="B73" i="8"/>
  <c r="D73" i="8" s="1"/>
  <c r="B39" i="6"/>
  <c r="D39" i="6" s="1"/>
  <c r="B72" i="8"/>
  <c r="D72" i="8" s="1"/>
  <c r="B38" i="6"/>
  <c r="D38" i="6" s="1"/>
  <c r="B37" i="6"/>
  <c r="D37" i="6" s="1"/>
  <c r="B71" i="8"/>
  <c r="D71" i="8" s="1"/>
  <c r="B36" i="6"/>
  <c r="D36" i="6" s="1"/>
  <c r="B70" i="8"/>
  <c r="D70" i="8" s="1"/>
  <c r="B69" i="8"/>
  <c r="D69" i="8" s="1"/>
  <c r="B35" i="6"/>
  <c r="D35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68" i="8"/>
  <c r="D68" i="8" s="1"/>
  <c r="B65" i="8"/>
  <c r="D65" i="8" s="1"/>
  <c r="B66" i="8"/>
  <c r="D66" i="8" s="1"/>
  <c r="B67" i="8"/>
  <c r="D67" i="8" s="1"/>
  <c r="B64" i="8"/>
  <c r="D64" i="8" s="1"/>
  <c r="B63" i="8"/>
  <c r="D63" i="8" s="1"/>
  <c r="B62" i="8"/>
  <c r="D62" i="8" s="1"/>
  <c r="B61" i="8"/>
  <c r="D61" i="8" s="1"/>
  <c r="B59" i="8"/>
  <c r="D59" i="8" s="1"/>
  <c r="B60" i="8"/>
  <c r="D60" i="8" s="1"/>
  <c r="B58" i="8"/>
  <c r="D58" i="8" s="1"/>
  <c r="B57" i="8"/>
  <c r="D57" i="8" s="1"/>
  <c r="B56" i="8"/>
  <c r="D56" i="8" s="1"/>
  <c r="B55" i="8"/>
  <c r="D55" i="8" s="1"/>
  <c r="B54" i="8"/>
  <c r="D54" i="8" s="1"/>
  <c r="B53" i="8"/>
  <c r="D53" i="8" s="1"/>
  <c r="AA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19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AA339" i="4"/>
  <c r="AA340" i="4"/>
  <c r="AA341" i="4"/>
  <c r="AA342" i="4"/>
  <c r="AA343" i="4"/>
  <c r="AA344" i="4"/>
  <c r="AA345" i="4"/>
  <c r="AA346" i="4"/>
  <c r="AA347" i="4"/>
  <c r="AA348" i="4"/>
  <c r="AA349" i="4"/>
  <c r="AA350" i="4"/>
  <c r="AA351" i="4"/>
  <c r="AA352" i="4"/>
  <c r="AA353" i="4"/>
  <c r="AA354" i="4"/>
  <c r="AA355" i="4"/>
  <c r="AA356" i="4"/>
  <c r="AA357" i="4"/>
  <c r="AA358" i="4"/>
  <c r="AA359" i="4"/>
  <c r="AA360" i="4"/>
  <c r="AA361" i="4"/>
  <c r="AA362" i="4"/>
  <c r="AA363" i="4"/>
  <c r="AA364" i="4"/>
  <c r="AA365" i="4"/>
  <c r="AA366" i="4"/>
  <c r="AA367" i="4"/>
  <c r="AA368" i="4"/>
  <c r="AA369" i="4"/>
  <c r="AA370" i="4"/>
  <c r="AA371" i="4"/>
  <c r="AA372" i="4"/>
  <c r="AA373" i="4"/>
  <c r="AA374" i="4"/>
  <c r="AA375" i="4"/>
  <c r="AA376" i="4"/>
  <c r="AA377" i="4"/>
  <c r="AA378" i="4"/>
  <c r="AA379" i="4"/>
  <c r="AA380" i="4"/>
  <c r="AA381" i="4"/>
  <c r="AA382" i="4"/>
  <c r="AA383" i="4"/>
  <c r="AA384" i="4"/>
  <c r="AA385" i="4"/>
  <c r="AA386" i="4"/>
  <c r="AA387" i="4"/>
  <c r="AA388" i="4"/>
  <c r="AA389" i="4"/>
  <c r="AA390" i="4"/>
  <c r="AA391" i="4"/>
  <c r="AA392" i="4"/>
  <c r="AA393" i="4"/>
  <c r="AA394" i="4"/>
  <c r="AA395" i="4"/>
  <c r="AA396" i="4"/>
  <c r="AA397" i="4"/>
  <c r="AA398" i="4"/>
  <c r="AA399" i="4"/>
  <c r="AA400" i="4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AA432" i="4"/>
  <c r="AA433" i="4"/>
  <c r="AA434" i="4"/>
  <c r="AA435" i="4"/>
  <c r="AA436" i="4"/>
  <c r="AA437" i="4"/>
  <c r="AA438" i="4"/>
  <c r="AA439" i="4"/>
  <c r="AA440" i="4"/>
  <c r="AA441" i="4"/>
  <c r="AA442" i="4"/>
  <c r="AA443" i="4"/>
  <c r="AA444" i="4"/>
  <c r="AA445" i="4"/>
  <c r="AA446" i="4"/>
  <c r="AA447" i="4"/>
  <c r="AA448" i="4"/>
  <c r="AA449" i="4"/>
  <c r="AA450" i="4"/>
  <c r="AA451" i="4"/>
  <c r="AA452" i="4"/>
  <c r="AA453" i="4"/>
  <c r="AA454" i="4"/>
  <c r="AA455" i="4"/>
  <c r="AA456" i="4"/>
  <c r="AA457" i="4"/>
  <c r="AA458" i="4"/>
  <c r="AA459" i="4"/>
  <c r="AA460" i="4"/>
  <c r="AA461" i="4"/>
  <c r="AA462" i="4"/>
  <c r="AA463" i="4"/>
  <c r="AA464" i="4"/>
  <c r="AA465" i="4"/>
  <c r="AA466" i="4"/>
  <c r="AA467" i="4"/>
  <c r="AA468" i="4"/>
  <c r="AA469" i="4"/>
  <c r="AA470" i="4"/>
  <c r="AA471" i="4"/>
  <c r="AA472" i="4"/>
  <c r="AA473" i="4"/>
  <c r="AA474" i="4"/>
  <c r="AA475" i="4"/>
  <c r="AA476" i="4"/>
  <c r="AA477" i="4"/>
  <c r="AA478" i="4"/>
  <c r="AA479" i="4"/>
  <c r="AA480" i="4"/>
  <c r="AA481" i="4"/>
  <c r="AA482" i="4"/>
  <c r="AA483" i="4"/>
  <c r="AA484" i="4"/>
  <c r="AA485" i="4"/>
  <c r="AA486" i="4"/>
  <c r="AA487" i="4"/>
  <c r="AA488" i="4"/>
  <c r="AA489" i="4"/>
  <c r="AA490" i="4"/>
  <c r="AA491" i="4"/>
  <c r="AA492" i="4"/>
  <c r="AA493" i="4"/>
  <c r="AA494" i="4"/>
  <c r="AA495" i="4"/>
  <c r="AA496" i="4"/>
  <c r="AA497" i="4"/>
  <c r="AA498" i="4"/>
  <c r="AA499" i="4"/>
  <c r="AA500" i="4"/>
  <c r="AA501" i="4"/>
  <c r="AA502" i="4"/>
  <c r="AA503" i="4"/>
  <c r="AA504" i="4"/>
  <c r="AA505" i="4"/>
  <c r="AA506" i="4"/>
  <c r="AA507" i="4"/>
  <c r="AA508" i="4"/>
  <c r="AA509" i="4"/>
  <c r="AA510" i="4"/>
  <c r="AA511" i="4"/>
  <c r="AA512" i="4"/>
  <c r="AA513" i="4"/>
  <c r="AA514" i="4"/>
  <c r="AA515" i="4"/>
  <c r="AA516" i="4"/>
  <c r="AA517" i="4"/>
  <c r="AA518" i="4"/>
  <c r="AA519" i="4"/>
  <c r="AA520" i="4"/>
  <c r="AA521" i="4"/>
  <c r="AA522" i="4"/>
  <c r="AA523" i="4"/>
  <c r="AA524" i="4"/>
  <c r="AA525" i="4"/>
  <c r="AA526" i="4"/>
  <c r="AA527" i="4"/>
  <c r="AA528" i="4"/>
  <c r="AA529" i="4"/>
  <c r="AA530" i="4"/>
  <c r="AA531" i="4"/>
  <c r="AA532" i="4"/>
  <c r="AA533" i="4"/>
  <c r="AA534" i="4"/>
  <c r="AA535" i="4"/>
  <c r="AA536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A559" i="4"/>
  <c r="AA560" i="4"/>
  <c r="AA561" i="4"/>
  <c r="AA562" i="4"/>
  <c r="AA563" i="4"/>
  <c r="AA564" i="4"/>
  <c r="AA565" i="4"/>
  <c r="AA566" i="4"/>
  <c r="AA567" i="4"/>
  <c r="AA568" i="4"/>
  <c r="AA569" i="4"/>
  <c r="AA570" i="4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8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A634" i="4"/>
  <c r="AA635" i="4"/>
  <c r="AA636" i="4"/>
  <c r="AA637" i="4"/>
  <c r="AA638" i="4"/>
  <c r="B52" i="8"/>
  <c r="D52" i="8" s="1"/>
  <c r="B51" i="8"/>
  <c r="D51" i="8" s="1"/>
  <c r="V2" i="4"/>
  <c r="Y2" i="4" s="1"/>
  <c r="V3" i="4"/>
  <c r="Y3" i="4" s="1"/>
  <c r="V4" i="4"/>
  <c r="Y4" i="4" s="1"/>
  <c r="V5" i="4"/>
  <c r="Y5" i="4" s="1"/>
  <c r="V6" i="4"/>
  <c r="Y6" i="4" s="1"/>
  <c r="V7" i="4"/>
  <c r="Y7" i="4" s="1"/>
  <c r="V8" i="4"/>
  <c r="Y8" i="4" s="1"/>
  <c r="V9" i="4"/>
  <c r="Y9" i="4" s="1"/>
  <c r="V10" i="4"/>
  <c r="Y10" i="4" s="1"/>
  <c r="V11" i="4"/>
  <c r="Y11" i="4" s="1"/>
  <c r="V12" i="4"/>
  <c r="Y12" i="4" s="1"/>
  <c r="V13" i="4"/>
  <c r="Y13" i="4" s="1"/>
  <c r="V14" i="4"/>
  <c r="Y14" i="4" s="1"/>
  <c r="V15" i="4"/>
  <c r="Y15" i="4" s="1"/>
  <c r="V16" i="4"/>
  <c r="Y16" i="4" s="1"/>
  <c r="V17" i="4"/>
  <c r="Y17" i="4" s="1"/>
  <c r="V18" i="4"/>
  <c r="Y18" i="4" s="1"/>
  <c r="V19" i="4"/>
  <c r="Y19" i="4" s="1"/>
  <c r="V20" i="4"/>
  <c r="Y20" i="4" s="1"/>
  <c r="V21" i="4"/>
  <c r="Y21" i="4" s="1"/>
  <c r="V22" i="4"/>
  <c r="Y22" i="4" s="1"/>
  <c r="V23" i="4"/>
  <c r="Y23" i="4" s="1"/>
  <c r="V24" i="4"/>
  <c r="Y24" i="4" s="1"/>
  <c r="V25" i="4"/>
  <c r="Y25" i="4" s="1"/>
  <c r="V26" i="4"/>
  <c r="Y26" i="4" s="1"/>
  <c r="V27" i="4"/>
  <c r="Y27" i="4" s="1"/>
  <c r="V28" i="4"/>
  <c r="Y28" i="4" s="1"/>
  <c r="V29" i="4"/>
  <c r="Y29" i="4" s="1"/>
  <c r="V30" i="4"/>
  <c r="Y30" i="4" s="1"/>
  <c r="V31" i="4"/>
  <c r="Y31" i="4" s="1"/>
  <c r="V32" i="4"/>
  <c r="Y32" i="4" s="1"/>
  <c r="V33" i="4"/>
  <c r="Y33" i="4" s="1"/>
  <c r="V34" i="4"/>
  <c r="Y34" i="4" s="1"/>
  <c r="V35" i="4"/>
  <c r="Y35" i="4" s="1"/>
  <c r="V36" i="4"/>
  <c r="Y36" i="4" s="1"/>
  <c r="V37" i="4"/>
  <c r="Y37" i="4" s="1"/>
  <c r="V38" i="4"/>
  <c r="Y38" i="4" s="1"/>
  <c r="V39" i="4"/>
  <c r="Y39" i="4" s="1"/>
  <c r="V40" i="4"/>
  <c r="Y40" i="4" s="1"/>
  <c r="V41" i="4"/>
  <c r="Y41" i="4" s="1"/>
  <c r="V42" i="4"/>
  <c r="Y42" i="4" s="1"/>
  <c r="V43" i="4"/>
  <c r="Y43" i="4" s="1"/>
  <c r="V44" i="4"/>
  <c r="Y44" i="4" s="1"/>
  <c r="V45" i="4"/>
  <c r="Y45" i="4" s="1"/>
  <c r="V46" i="4"/>
  <c r="Y46" i="4" s="1"/>
  <c r="V47" i="4"/>
  <c r="Y47" i="4" s="1"/>
  <c r="V48" i="4"/>
  <c r="Y48" i="4" s="1"/>
  <c r="V49" i="4"/>
  <c r="Y49" i="4" s="1"/>
  <c r="V50" i="4"/>
  <c r="Y50" i="4" s="1"/>
  <c r="V51" i="4"/>
  <c r="Y51" i="4" s="1"/>
  <c r="V52" i="4"/>
  <c r="Y52" i="4" s="1"/>
  <c r="V53" i="4"/>
  <c r="Y53" i="4" s="1"/>
  <c r="V54" i="4"/>
  <c r="Y54" i="4" s="1"/>
  <c r="V55" i="4"/>
  <c r="Y55" i="4" s="1"/>
  <c r="V56" i="4"/>
  <c r="Y56" i="4" s="1"/>
  <c r="V57" i="4"/>
  <c r="Y57" i="4" s="1"/>
  <c r="V58" i="4"/>
  <c r="Y58" i="4" s="1"/>
  <c r="V59" i="4"/>
  <c r="Y59" i="4" s="1"/>
  <c r="V60" i="4"/>
  <c r="Y60" i="4" s="1"/>
  <c r="V61" i="4"/>
  <c r="Y61" i="4" s="1"/>
  <c r="V62" i="4"/>
  <c r="Y62" i="4" s="1"/>
  <c r="V63" i="4"/>
  <c r="Y63" i="4" s="1"/>
  <c r="V64" i="4"/>
  <c r="Y64" i="4" s="1"/>
  <c r="V65" i="4"/>
  <c r="Y65" i="4" s="1"/>
  <c r="V66" i="4"/>
  <c r="Y66" i="4" s="1"/>
  <c r="V67" i="4"/>
  <c r="Y67" i="4" s="1"/>
  <c r="V68" i="4"/>
  <c r="Y68" i="4" s="1"/>
  <c r="V69" i="4"/>
  <c r="Y69" i="4" s="1"/>
  <c r="V70" i="4"/>
  <c r="Y70" i="4" s="1"/>
  <c r="V71" i="4"/>
  <c r="Y71" i="4" s="1"/>
  <c r="V72" i="4"/>
  <c r="Y72" i="4" s="1"/>
  <c r="V73" i="4"/>
  <c r="Y73" i="4" s="1"/>
  <c r="V74" i="4"/>
  <c r="Y74" i="4" s="1"/>
  <c r="V75" i="4"/>
  <c r="Y75" i="4" s="1"/>
  <c r="V76" i="4"/>
  <c r="Y76" i="4" s="1"/>
  <c r="V77" i="4"/>
  <c r="Y77" i="4" s="1"/>
  <c r="V78" i="4"/>
  <c r="Y78" i="4" s="1"/>
  <c r="V79" i="4"/>
  <c r="Y79" i="4" s="1"/>
  <c r="V80" i="4"/>
  <c r="Y80" i="4" s="1"/>
  <c r="V81" i="4"/>
  <c r="Y81" i="4" s="1"/>
  <c r="V82" i="4"/>
  <c r="Y82" i="4" s="1"/>
  <c r="V83" i="4"/>
  <c r="Y83" i="4" s="1"/>
  <c r="V84" i="4"/>
  <c r="Y84" i="4" s="1"/>
  <c r="V85" i="4"/>
  <c r="Y85" i="4" s="1"/>
  <c r="V86" i="4"/>
  <c r="Y86" i="4" s="1"/>
  <c r="V87" i="4"/>
  <c r="Y87" i="4" s="1"/>
  <c r="V88" i="4"/>
  <c r="Y88" i="4" s="1"/>
  <c r="V89" i="4"/>
  <c r="Y89" i="4" s="1"/>
  <c r="V90" i="4"/>
  <c r="Y90" i="4" s="1"/>
  <c r="V91" i="4"/>
  <c r="Y91" i="4" s="1"/>
  <c r="V92" i="4"/>
  <c r="Y92" i="4" s="1"/>
  <c r="V93" i="4"/>
  <c r="Y93" i="4" s="1"/>
  <c r="V94" i="4"/>
  <c r="Y94" i="4" s="1"/>
  <c r="V95" i="4"/>
  <c r="Y95" i="4" s="1"/>
  <c r="V96" i="4"/>
  <c r="Y96" i="4" s="1"/>
  <c r="V97" i="4"/>
  <c r="Y97" i="4" s="1"/>
  <c r="V98" i="4"/>
  <c r="Y98" i="4" s="1"/>
  <c r="V99" i="4"/>
  <c r="Y99" i="4" s="1"/>
  <c r="V100" i="4"/>
  <c r="Y100" i="4" s="1"/>
  <c r="V101" i="4"/>
  <c r="Y101" i="4" s="1"/>
  <c r="V102" i="4"/>
  <c r="Y102" i="4" s="1"/>
  <c r="V103" i="4"/>
  <c r="Y103" i="4" s="1"/>
  <c r="V104" i="4"/>
  <c r="Y104" i="4" s="1"/>
  <c r="V105" i="4"/>
  <c r="Y105" i="4" s="1"/>
  <c r="V106" i="4"/>
  <c r="Y106" i="4" s="1"/>
  <c r="V107" i="4"/>
  <c r="Y107" i="4" s="1"/>
  <c r="V108" i="4"/>
  <c r="Y108" i="4" s="1"/>
  <c r="V109" i="4"/>
  <c r="Y109" i="4" s="1"/>
  <c r="V110" i="4"/>
  <c r="Y110" i="4" s="1"/>
  <c r="V111" i="4"/>
  <c r="Y111" i="4" s="1"/>
  <c r="V112" i="4"/>
  <c r="Y112" i="4" s="1"/>
  <c r="V113" i="4"/>
  <c r="Y113" i="4" s="1"/>
  <c r="V114" i="4"/>
  <c r="Y114" i="4" s="1"/>
  <c r="V115" i="4"/>
  <c r="Y115" i="4" s="1"/>
  <c r="V116" i="4"/>
  <c r="Y116" i="4" s="1"/>
  <c r="V117" i="4"/>
  <c r="Y117" i="4" s="1"/>
  <c r="V118" i="4"/>
  <c r="Y118" i="4" s="1"/>
  <c r="V119" i="4"/>
  <c r="Y119" i="4" s="1"/>
  <c r="V120" i="4"/>
  <c r="Y120" i="4" s="1"/>
  <c r="V121" i="4"/>
  <c r="Y121" i="4" s="1"/>
  <c r="V122" i="4"/>
  <c r="Y122" i="4" s="1"/>
  <c r="V123" i="4"/>
  <c r="Y123" i="4" s="1"/>
  <c r="V124" i="4"/>
  <c r="Y124" i="4" s="1"/>
  <c r="V125" i="4"/>
  <c r="Y125" i="4" s="1"/>
  <c r="V126" i="4"/>
  <c r="Y126" i="4" s="1"/>
  <c r="V127" i="4"/>
  <c r="Y127" i="4" s="1"/>
  <c r="V128" i="4"/>
  <c r="Y128" i="4" s="1"/>
  <c r="V129" i="4"/>
  <c r="Y129" i="4" s="1"/>
  <c r="V130" i="4"/>
  <c r="Y130" i="4" s="1"/>
  <c r="V131" i="4"/>
  <c r="Y131" i="4" s="1"/>
  <c r="V132" i="4"/>
  <c r="Y132" i="4" s="1"/>
  <c r="V133" i="4"/>
  <c r="Y133" i="4" s="1"/>
  <c r="V134" i="4"/>
  <c r="Y134" i="4" s="1"/>
  <c r="V135" i="4"/>
  <c r="Y135" i="4" s="1"/>
  <c r="V136" i="4"/>
  <c r="Y136" i="4" s="1"/>
  <c r="V137" i="4"/>
  <c r="Y137" i="4" s="1"/>
  <c r="V138" i="4"/>
  <c r="Y138" i="4" s="1"/>
  <c r="V139" i="4"/>
  <c r="Y139" i="4" s="1"/>
  <c r="V140" i="4"/>
  <c r="Y140" i="4" s="1"/>
  <c r="V141" i="4"/>
  <c r="Y141" i="4" s="1"/>
  <c r="V142" i="4"/>
  <c r="Y142" i="4" s="1"/>
  <c r="V143" i="4"/>
  <c r="Y143" i="4" s="1"/>
  <c r="V144" i="4"/>
  <c r="Y144" i="4" s="1"/>
  <c r="V145" i="4"/>
  <c r="Y145" i="4" s="1"/>
  <c r="V146" i="4"/>
  <c r="Y146" i="4" s="1"/>
  <c r="V147" i="4"/>
  <c r="Y147" i="4" s="1"/>
  <c r="V148" i="4"/>
  <c r="Y148" i="4" s="1"/>
  <c r="V149" i="4"/>
  <c r="Y149" i="4" s="1"/>
  <c r="V150" i="4"/>
  <c r="Y150" i="4" s="1"/>
  <c r="V151" i="4"/>
  <c r="Y151" i="4" s="1"/>
  <c r="V152" i="4"/>
  <c r="Y152" i="4" s="1"/>
  <c r="V153" i="4"/>
  <c r="Y153" i="4" s="1"/>
  <c r="V154" i="4"/>
  <c r="Y154" i="4" s="1"/>
  <c r="V155" i="4"/>
  <c r="Y155" i="4" s="1"/>
  <c r="V156" i="4"/>
  <c r="Y156" i="4" s="1"/>
  <c r="V157" i="4"/>
  <c r="Y157" i="4" s="1"/>
  <c r="V158" i="4"/>
  <c r="Y158" i="4" s="1"/>
  <c r="V159" i="4"/>
  <c r="Y159" i="4" s="1"/>
  <c r="V160" i="4"/>
  <c r="Y160" i="4" s="1"/>
  <c r="V161" i="4"/>
  <c r="Y161" i="4" s="1"/>
  <c r="V162" i="4"/>
  <c r="Y162" i="4" s="1"/>
  <c r="V163" i="4"/>
  <c r="Y163" i="4" s="1"/>
  <c r="V164" i="4"/>
  <c r="Y164" i="4" s="1"/>
  <c r="V165" i="4"/>
  <c r="Y165" i="4" s="1"/>
  <c r="V166" i="4"/>
  <c r="Y166" i="4" s="1"/>
  <c r="V167" i="4"/>
  <c r="Y167" i="4" s="1"/>
  <c r="V168" i="4"/>
  <c r="Y168" i="4" s="1"/>
  <c r="V169" i="4"/>
  <c r="Y169" i="4" s="1"/>
  <c r="V170" i="4"/>
  <c r="Y170" i="4" s="1"/>
  <c r="V171" i="4"/>
  <c r="Y171" i="4" s="1"/>
  <c r="V172" i="4"/>
  <c r="Y172" i="4" s="1"/>
  <c r="V173" i="4"/>
  <c r="Y173" i="4" s="1"/>
  <c r="V174" i="4"/>
  <c r="Y174" i="4" s="1"/>
  <c r="V175" i="4"/>
  <c r="Y175" i="4" s="1"/>
  <c r="V176" i="4"/>
  <c r="Y176" i="4" s="1"/>
  <c r="V177" i="4"/>
  <c r="Y177" i="4" s="1"/>
  <c r="V178" i="4"/>
  <c r="Y178" i="4" s="1"/>
  <c r="V179" i="4"/>
  <c r="Y179" i="4" s="1"/>
  <c r="V180" i="4"/>
  <c r="Y180" i="4" s="1"/>
  <c r="V181" i="4"/>
  <c r="Y181" i="4" s="1"/>
  <c r="V182" i="4"/>
  <c r="Y182" i="4" s="1"/>
  <c r="V183" i="4"/>
  <c r="Y183" i="4" s="1"/>
  <c r="V184" i="4"/>
  <c r="Y184" i="4" s="1"/>
  <c r="V185" i="4"/>
  <c r="Y185" i="4" s="1"/>
  <c r="V186" i="4"/>
  <c r="Y186" i="4" s="1"/>
  <c r="V187" i="4"/>
  <c r="Y187" i="4" s="1"/>
  <c r="V188" i="4"/>
  <c r="Y188" i="4" s="1"/>
  <c r="V189" i="4"/>
  <c r="Y189" i="4" s="1"/>
  <c r="V190" i="4"/>
  <c r="Y190" i="4" s="1"/>
  <c r="V191" i="4"/>
  <c r="Y191" i="4" s="1"/>
  <c r="V192" i="4"/>
  <c r="Y192" i="4" s="1"/>
  <c r="V193" i="4"/>
  <c r="Y193" i="4" s="1"/>
  <c r="V194" i="4"/>
  <c r="Y194" i="4" s="1"/>
  <c r="V195" i="4"/>
  <c r="Y195" i="4" s="1"/>
  <c r="V196" i="4"/>
  <c r="Y196" i="4" s="1"/>
  <c r="V197" i="4"/>
  <c r="Y197" i="4" s="1"/>
  <c r="V198" i="4"/>
  <c r="Y198" i="4" s="1"/>
  <c r="V199" i="4"/>
  <c r="Y199" i="4" s="1"/>
  <c r="V200" i="4"/>
  <c r="Y200" i="4" s="1"/>
  <c r="V201" i="4"/>
  <c r="Y201" i="4" s="1"/>
  <c r="V202" i="4"/>
  <c r="Y202" i="4" s="1"/>
  <c r="V203" i="4"/>
  <c r="Y203" i="4" s="1"/>
  <c r="V204" i="4"/>
  <c r="Y204" i="4" s="1"/>
  <c r="V205" i="4"/>
  <c r="Y205" i="4" s="1"/>
  <c r="V206" i="4"/>
  <c r="Y206" i="4" s="1"/>
  <c r="V207" i="4"/>
  <c r="Y207" i="4" s="1"/>
  <c r="V208" i="4"/>
  <c r="Y208" i="4" s="1"/>
  <c r="V209" i="4"/>
  <c r="Y209" i="4" s="1"/>
  <c r="V210" i="4"/>
  <c r="Y210" i="4" s="1"/>
  <c r="V211" i="4"/>
  <c r="Y211" i="4" s="1"/>
  <c r="V212" i="4"/>
  <c r="Y212" i="4" s="1"/>
  <c r="V213" i="4"/>
  <c r="Y213" i="4" s="1"/>
  <c r="V214" i="4"/>
  <c r="Y214" i="4" s="1"/>
  <c r="V215" i="4"/>
  <c r="Y215" i="4" s="1"/>
  <c r="V216" i="4"/>
  <c r="Y216" i="4" s="1"/>
  <c r="V217" i="4"/>
  <c r="Y217" i="4" s="1"/>
  <c r="V218" i="4"/>
  <c r="Y218" i="4" s="1"/>
  <c r="V219" i="4"/>
  <c r="Y219" i="4" s="1"/>
  <c r="V220" i="4"/>
  <c r="Y220" i="4" s="1"/>
  <c r="V221" i="4"/>
  <c r="Y221" i="4" s="1"/>
  <c r="V222" i="4"/>
  <c r="Y222" i="4" s="1"/>
  <c r="V223" i="4"/>
  <c r="Y223" i="4" s="1"/>
  <c r="V224" i="4"/>
  <c r="Y224" i="4" s="1"/>
  <c r="V225" i="4"/>
  <c r="Y225" i="4" s="1"/>
  <c r="V226" i="4"/>
  <c r="Y226" i="4" s="1"/>
  <c r="V227" i="4"/>
  <c r="Y227" i="4" s="1"/>
  <c r="V228" i="4"/>
  <c r="Y228" i="4" s="1"/>
  <c r="V229" i="4"/>
  <c r="Y229" i="4" s="1"/>
  <c r="V230" i="4"/>
  <c r="Y230" i="4" s="1"/>
  <c r="V231" i="4"/>
  <c r="Y231" i="4" s="1"/>
  <c r="V232" i="4"/>
  <c r="Y232" i="4" s="1"/>
  <c r="V233" i="4"/>
  <c r="Y233" i="4" s="1"/>
  <c r="V234" i="4"/>
  <c r="Y234" i="4" s="1"/>
  <c r="V235" i="4"/>
  <c r="Y235" i="4" s="1"/>
  <c r="V236" i="4"/>
  <c r="Y236" i="4" s="1"/>
  <c r="V237" i="4"/>
  <c r="Y237" i="4" s="1"/>
  <c r="V238" i="4"/>
  <c r="Y238" i="4" s="1"/>
  <c r="V239" i="4"/>
  <c r="Y239" i="4" s="1"/>
  <c r="V240" i="4"/>
  <c r="Y240" i="4" s="1"/>
  <c r="V241" i="4"/>
  <c r="Y241" i="4" s="1"/>
  <c r="V242" i="4"/>
  <c r="Y242" i="4" s="1"/>
  <c r="V243" i="4"/>
  <c r="Y243" i="4" s="1"/>
  <c r="V244" i="4"/>
  <c r="Y244" i="4" s="1"/>
  <c r="V245" i="4"/>
  <c r="Y245" i="4" s="1"/>
  <c r="V246" i="4"/>
  <c r="Y246" i="4" s="1"/>
  <c r="V247" i="4"/>
  <c r="Y247" i="4" s="1"/>
  <c r="V248" i="4"/>
  <c r="Y248" i="4" s="1"/>
  <c r="V249" i="4"/>
  <c r="Y249" i="4" s="1"/>
  <c r="V250" i="4"/>
  <c r="Y250" i="4" s="1"/>
  <c r="V251" i="4"/>
  <c r="Y251" i="4" s="1"/>
  <c r="V252" i="4"/>
  <c r="Y252" i="4" s="1"/>
  <c r="V253" i="4"/>
  <c r="Y253" i="4" s="1"/>
  <c r="V254" i="4"/>
  <c r="Y254" i="4" s="1"/>
  <c r="V255" i="4"/>
  <c r="Y255" i="4" s="1"/>
  <c r="V256" i="4"/>
  <c r="Y256" i="4" s="1"/>
  <c r="V257" i="4"/>
  <c r="Y257" i="4" s="1"/>
  <c r="V258" i="4"/>
  <c r="Y258" i="4" s="1"/>
  <c r="V259" i="4"/>
  <c r="Y259" i="4" s="1"/>
  <c r="V260" i="4"/>
  <c r="Y260" i="4" s="1"/>
  <c r="V261" i="4"/>
  <c r="Y261" i="4" s="1"/>
  <c r="V262" i="4"/>
  <c r="Y262" i="4" s="1"/>
  <c r="V263" i="4"/>
  <c r="Y263" i="4" s="1"/>
  <c r="V264" i="4"/>
  <c r="Y264" i="4" s="1"/>
  <c r="V265" i="4"/>
  <c r="Y265" i="4" s="1"/>
  <c r="V266" i="4"/>
  <c r="Y266" i="4" s="1"/>
  <c r="V267" i="4"/>
  <c r="Y267" i="4" s="1"/>
  <c r="V268" i="4"/>
  <c r="Y268" i="4" s="1"/>
  <c r="V269" i="4"/>
  <c r="Y269" i="4" s="1"/>
  <c r="V270" i="4"/>
  <c r="Y270" i="4" s="1"/>
  <c r="V271" i="4"/>
  <c r="Y271" i="4" s="1"/>
  <c r="V272" i="4"/>
  <c r="Y272" i="4" s="1"/>
  <c r="V273" i="4"/>
  <c r="Y273" i="4" s="1"/>
  <c r="V274" i="4"/>
  <c r="Y274" i="4" s="1"/>
  <c r="V275" i="4"/>
  <c r="Y275" i="4" s="1"/>
  <c r="V276" i="4"/>
  <c r="Y276" i="4" s="1"/>
  <c r="V277" i="4"/>
  <c r="Y277" i="4" s="1"/>
  <c r="V278" i="4"/>
  <c r="Y278" i="4" s="1"/>
  <c r="V279" i="4"/>
  <c r="Y279" i="4" s="1"/>
  <c r="V280" i="4"/>
  <c r="Y280" i="4" s="1"/>
  <c r="V281" i="4"/>
  <c r="Y281" i="4" s="1"/>
  <c r="V282" i="4"/>
  <c r="Y282" i="4" s="1"/>
  <c r="V283" i="4"/>
  <c r="Y283" i="4" s="1"/>
  <c r="V284" i="4"/>
  <c r="Y284" i="4" s="1"/>
  <c r="V285" i="4"/>
  <c r="Y285" i="4" s="1"/>
  <c r="V286" i="4"/>
  <c r="Y286" i="4" s="1"/>
  <c r="V287" i="4"/>
  <c r="Y287" i="4" s="1"/>
  <c r="V288" i="4"/>
  <c r="Y288" i="4" s="1"/>
  <c r="V289" i="4"/>
  <c r="Y289" i="4" s="1"/>
  <c r="V290" i="4"/>
  <c r="Y290" i="4" s="1"/>
  <c r="V291" i="4"/>
  <c r="Y291" i="4" s="1"/>
  <c r="V292" i="4"/>
  <c r="Y292" i="4" s="1"/>
  <c r="V293" i="4"/>
  <c r="Y293" i="4" s="1"/>
  <c r="V294" i="4"/>
  <c r="Y294" i="4" s="1"/>
  <c r="V295" i="4"/>
  <c r="Y295" i="4" s="1"/>
  <c r="V296" i="4"/>
  <c r="Y296" i="4" s="1"/>
  <c r="V297" i="4"/>
  <c r="Y297" i="4" s="1"/>
  <c r="V298" i="4"/>
  <c r="Y298" i="4" s="1"/>
  <c r="V299" i="4"/>
  <c r="Y299" i="4" s="1"/>
  <c r="V300" i="4"/>
  <c r="Y300" i="4" s="1"/>
  <c r="V301" i="4"/>
  <c r="Y301" i="4" s="1"/>
  <c r="V302" i="4"/>
  <c r="Y302" i="4" s="1"/>
  <c r="V303" i="4"/>
  <c r="Y303" i="4" s="1"/>
  <c r="V304" i="4"/>
  <c r="Y304" i="4" s="1"/>
  <c r="V305" i="4"/>
  <c r="Y305" i="4" s="1"/>
  <c r="V306" i="4"/>
  <c r="Y306" i="4" s="1"/>
  <c r="V307" i="4"/>
  <c r="Y307" i="4" s="1"/>
  <c r="V308" i="4"/>
  <c r="Y308" i="4" s="1"/>
  <c r="V309" i="4"/>
  <c r="Y309" i="4" s="1"/>
  <c r="V310" i="4"/>
  <c r="Y310" i="4" s="1"/>
  <c r="V311" i="4"/>
  <c r="Y311" i="4" s="1"/>
  <c r="V312" i="4"/>
  <c r="Y312" i="4" s="1"/>
  <c r="V313" i="4"/>
  <c r="Y313" i="4" s="1"/>
  <c r="V314" i="4"/>
  <c r="Y314" i="4" s="1"/>
  <c r="V315" i="4"/>
  <c r="Y315" i="4" s="1"/>
  <c r="V316" i="4"/>
  <c r="Y316" i="4" s="1"/>
  <c r="V317" i="4"/>
  <c r="Y317" i="4" s="1"/>
  <c r="V318" i="4"/>
  <c r="Y318" i="4" s="1"/>
  <c r="V319" i="4"/>
  <c r="Y319" i="4" s="1"/>
  <c r="V320" i="4"/>
  <c r="Y320" i="4" s="1"/>
  <c r="V321" i="4"/>
  <c r="Y321" i="4" s="1"/>
  <c r="V322" i="4"/>
  <c r="Y322" i="4" s="1"/>
  <c r="V323" i="4"/>
  <c r="Y323" i="4" s="1"/>
  <c r="V324" i="4"/>
  <c r="Y324" i="4" s="1"/>
  <c r="V325" i="4"/>
  <c r="Y325" i="4" s="1"/>
  <c r="V326" i="4"/>
  <c r="Y326" i="4" s="1"/>
  <c r="V327" i="4"/>
  <c r="Y327" i="4" s="1"/>
  <c r="V328" i="4"/>
  <c r="Y328" i="4" s="1"/>
  <c r="V329" i="4"/>
  <c r="Y329" i="4" s="1"/>
  <c r="V330" i="4"/>
  <c r="Y330" i="4" s="1"/>
  <c r="V331" i="4"/>
  <c r="Y331" i="4" s="1"/>
  <c r="V332" i="4"/>
  <c r="Y332" i="4" s="1"/>
  <c r="V333" i="4"/>
  <c r="Y333" i="4" s="1"/>
  <c r="V334" i="4"/>
  <c r="Y334" i="4" s="1"/>
  <c r="V335" i="4"/>
  <c r="Y335" i="4" s="1"/>
  <c r="V336" i="4"/>
  <c r="Y336" i="4" s="1"/>
  <c r="V337" i="4"/>
  <c r="Y337" i="4" s="1"/>
  <c r="V338" i="4"/>
  <c r="Y338" i="4" s="1"/>
  <c r="V339" i="4"/>
  <c r="Y339" i="4" s="1"/>
  <c r="V340" i="4"/>
  <c r="Y340" i="4" s="1"/>
  <c r="V341" i="4"/>
  <c r="Y341" i="4" s="1"/>
  <c r="V342" i="4"/>
  <c r="Y342" i="4" s="1"/>
  <c r="V343" i="4"/>
  <c r="Y343" i="4" s="1"/>
  <c r="V344" i="4"/>
  <c r="Y344" i="4" s="1"/>
  <c r="V345" i="4"/>
  <c r="Y345" i="4" s="1"/>
  <c r="V346" i="4"/>
  <c r="Y346" i="4" s="1"/>
  <c r="V347" i="4"/>
  <c r="Y347" i="4" s="1"/>
  <c r="V348" i="4"/>
  <c r="Y348" i="4" s="1"/>
  <c r="V349" i="4"/>
  <c r="Y349" i="4" s="1"/>
  <c r="V350" i="4"/>
  <c r="Y350" i="4" s="1"/>
  <c r="V351" i="4"/>
  <c r="Y351" i="4" s="1"/>
  <c r="V352" i="4"/>
  <c r="Y352" i="4" s="1"/>
  <c r="V353" i="4"/>
  <c r="Y353" i="4" s="1"/>
  <c r="V354" i="4"/>
  <c r="Y354" i="4" s="1"/>
  <c r="V355" i="4"/>
  <c r="Y355" i="4" s="1"/>
  <c r="V356" i="4"/>
  <c r="Y356" i="4" s="1"/>
  <c r="V357" i="4"/>
  <c r="Y357" i="4" s="1"/>
  <c r="V358" i="4"/>
  <c r="Y358" i="4" s="1"/>
  <c r="V359" i="4"/>
  <c r="Y359" i="4" s="1"/>
  <c r="V360" i="4"/>
  <c r="Y360" i="4" s="1"/>
  <c r="V361" i="4"/>
  <c r="Y361" i="4" s="1"/>
  <c r="V362" i="4"/>
  <c r="Y362" i="4" s="1"/>
  <c r="V363" i="4"/>
  <c r="Y363" i="4" s="1"/>
  <c r="V364" i="4"/>
  <c r="Y364" i="4" s="1"/>
  <c r="V365" i="4"/>
  <c r="Y365" i="4" s="1"/>
  <c r="V366" i="4"/>
  <c r="Y366" i="4" s="1"/>
  <c r="V367" i="4"/>
  <c r="Y367" i="4" s="1"/>
  <c r="V368" i="4"/>
  <c r="Y368" i="4" s="1"/>
  <c r="V369" i="4"/>
  <c r="Y369" i="4" s="1"/>
  <c r="V370" i="4"/>
  <c r="Y370" i="4" s="1"/>
  <c r="V371" i="4"/>
  <c r="Y371" i="4" s="1"/>
  <c r="V372" i="4"/>
  <c r="Y372" i="4" s="1"/>
  <c r="V373" i="4"/>
  <c r="Y373" i="4" s="1"/>
  <c r="V374" i="4"/>
  <c r="Y374" i="4" s="1"/>
  <c r="V375" i="4"/>
  <c r="Y375" i="4" s="1"/>
  <c r="V376" i="4"/>
  <c r="Y376" i="4" s="1"/>
  <c r="V377" i="4"/>
  <c r="Y377" i="4" s="1"/>
  <c r="V378" i="4"/>
  <c r="Y378" i="4" s="1"/>
  <c r="V379" i="4"/>
  <c r="Y379" i="4" s="1"/>
  <c r="V380" i="4"/>
  <c r="Y380" i="4" s="1"/>
  <c r="V381" i="4"/>
  <c r="Y381" i="4" s="1"/>
  <c r="V382" i="4"/>
  <c r="Y382" i="4" s="1"/>
  <c r="V383" i="4"/>
  <c r="Y383" i="4" s="1"/>
  <c r="V384" i="4"/>
  <c r="Y384" i="4" s="1"/>
  <c r="V385" i="4"/>
  <c r="Y385" i="4" s="1"/>
  <c r="V386" i="4"/>
  <c r="Y386" i="4" s="1"/>
  <c r="V387" i="4"/>
  <c r="Y387" i="4" s="1"/>
  <c r="V388" i="4"/>
  <c r="Y388" i="4" s="1"/>
  <c r="V389" i="4"/>
  <c r="Y389" i="4" s="1"/>
  <c r="V390" i="4"/>
  <c r="Y390" i="4" s="1"/>
  <c r="V391" i="4"/>
  <c r="Y391" i="4" s="1"/>
  <c r="V392" i="4"/>
  <c r="Y392" i="4" s="1"/>
  <c r="V393" i="4"/>
  <c r="Y393" i="4" s="1"/>
  <c r="V394" i="4"/>
  <c r="Y394" i="4" s="1"/>
  <c r="V395" i="4"/>
  <c r="Y395" i="4" s="1"/>
  <c r="V396" i="4"/>
  <c r="Y396" i="4" s="1"/>
  <c r="V397" i="4"/>
  <c r="Y397" i="4" s="1"/>
  <c r="V398" i="4"/>
  <c r="Y398" i="4" s="1"/>
  <c r="V399" i="4"/>
  <c r="Y399" i="4" s="1"/>
  <c r="V400" i="4"/>
  <c r="Y400" i="4" s="1"/>
  <c r="V401" i="4"/>
  <c r="Y401" i="4" s="1"/>
  <c r="V402" i="4"/>
  <c r="Y402" i="4" s="1"/>
  <c r="V403" i="4"/>
  <c r="Y403" i="4" s="1"/>
  <c r="V404" i="4"/>
  <c r="Y404" i="4" s="1"/>
  <c r="V405" i="4"/>
  <c r="Y405" i="4" s="1"/>
  <c r="V406" i="4"/>
  <c r="Y406" i="4" s="1"/>
  <c r="V407" i="4"/>
  <c r="Y407" i="4" s="1"/>
  <c r="V408" i="4"/>
  <c r="Y408" i="4" s="1"/>
  <c r="V409" i="4"/>
  <c r="Y409" i="4" s="1"/>
  <c r="V410" i="4"/>
  <c r="Y410" i="4" s="1"/>
  <c r="V411" i="4"/>
  <c r="Y411" i="4" s="1"/>
  <c r="V412" i="4"/>
  <c r="Y412" i="4" s="1"/>
  <c r="V413" i="4"/>
  <c r="Y413" i="4" s="1"/>
  <c r="V414" i="4"/>
  <c r="Y414" i="4" s="1"/>
  <c r="V415" i="4"/>
  <c r="Y415" i="4" s="1"/>
  <c r="V416" i="4"/>
  <c r="Y416" i="4" s="1"/>
  <c r="V417" i="4"/>
  <c r="Y417" i="4" s="1"/>
  <c r="V418" i="4"/>
  <c r="Y418" i="4" s="1"/>
  <c r="V419" i="4"/>
  <c r="Y419" i="4" s="1"/>
  <c r="V420" i="4"/>
  <c r="Y420" i="4" s="1"/>
  <c r="V421" i="4"/>
  <c r="Y421" i="4" s="1"/>
  <c r="V422" i="4"/>
  <c r="Y422" i="4" s="1"/>
  <c r="V423" i="4"/>
  <c r="Y423" i="4" s="1"/>
  <c r="V424" i="4"/>
  <c r="Y424" i="4" s="1"/>
  <c r="V425" i="4"/>
  <c r="Y425" i="4" s="1"/>
  <c r="V426" i="4"/>
  <c r="Y426" i="4" s="1"/>
  <c r="V427" i="4"/>
  <c r="Y427" i="4" s="1"/>
  <c r="V428" i="4"/>
  <c r="Y428" i="4" s="1"/>
  <c r="V429" i="4"/>
  <c r="Y429" i="4" s="1"/>
  <c r="V430" i="4"/>
  <c r="Y430" i="4" s="1"/>
  <c r="V431" i="4"/>
  <c r="Y431" i="4" s="1"/>
  <c r="V432" i="4"/>
  <c r="Y432" i="4" s="1"/>
  <c r="V433" i="4"/>
  <c r="Y433" i="4" s="1"/>
  <c r="V434" i="4"/>
  <c r="Y434" i="4" s="1"/>
  <c r="V435" i="4"/>
  <c r="Y435" i="4" s="1"/>
  <c r="V436" i="4"/>
  <c r="Y436" i="4" s="1"/>
  <c r="V437" i="4"/>
  <c r="Y437" i="4" s="1"/>
  <c r="V438" i="4"/>
  <c r="Y438" i="4" s="1"/>
  <c r="V439" i="4"/>
  <c r="Y439" i="4" s="1"/>
  <c r="V440" i="4"/>
  <c r="Y440" i="4" s="1"/>
  <c r="V441" i="4"/>
  <c r="Y441" i="4" s="1"/>
  <c r="V442" i="4"/>
  <c r="Y442" i="4" s="1"/>
  <c r="V443" i="4"/>
  <c r="Y443" i="4" s="1"/>
  <c r="V444" i="4"/>
  <c r="Y444" i="4" s="1"/>
  <c r="V445" i="4"/>
  <c r="Y445" i="4" s="1"/>
  <c r="V446" i="4"/>
  <c r="Y446" i="4" s="1"/>
  <c r="V447" i="4"/>
  <c r="Y447" i="4" s="1"/>
  <c r="V448" i="4"/>
  <c r="Y448" i="4" s="1"/>
  <c r="V449" i="4"/>
  <c r="Y449" i="4" s="1"/>
  <c r="V450" i="4"/>
  <c r="Y450" i="4" s="1"/>
  <c r="V451" i="4"/>
  <c r="Y451" i="4" s="1"/>
  <c r="V452" i="4"/>
  <c r="Y452" i="4" s="1"/>
  <c r="V453" i="4"/>
  <c r="Y453" i="4" s="1"/>
  <c r="V454" i="4"/>
  <c r="Y454" i="4" s="1"/>
  <c r="V455" i="4"/>
  <c r="Y455" i="4" s="1"/>
  <c r="V456" i="4"/>
  <c r="Y456" i="4" s="1"/>
  <c r="V457" i="4"/>
  <c r="Y457" i="4" s="1"/>
  <c r="V458" i="4"/>
  <c r="Y458" i="4" s="1"/>
  <c r="V459" i="4"/>
  <c r="Y459" i="4" s="1"/>
  <c r="V460" i="4"/>
  <c r="Y460" i="4" s="1"/>
  <c r="V461" i="4"/>
  <c r="Y461" i="4" s="1"/>
  <c r="V462" i="4"/>
  <c r="Y462" i="4" s="1"/>
  <c r="V463" i="4"/>
  <c r="Y463" i="4" s="1"/>
  <c r="V464" i="4"/>
  <c r="Y464" i="4" s="1"/>
  <c r="V465" i="4"/>
  <c r="Y465" i="4" s="1"/>
  <c r="V466" i="4"/>
  <c r="Y466" i="4" s="1"/>
  <c r="V467" i="4"/>
  <c r="Y467" i="4" s="1"/>
  <c r="V468" i="4"/>
  <c r="Y468" i="4" s="1"/>
  <c r="V469" i="4"/>
  <c r="Y469" i="4" s="1"/>
  <c r="V470" i="4"/>
  <c r="Y470" i="4" s="1"/>
  <c r="V471" i="4"/>
  <c r="Y471" i="4" s="1"/>
  <c r="V472" i="4"/>
  <c r="Y472" i="4" s="1"/>
  <c r="V473" i="4"/>
  <c r="Y473" i="4" s="1"/>
  <c r="V474" i="4"/>
  <c r="Y474" i="4" s="1"/>
  <c r="V475" i="4"/>
  <c r="Y475" i="4" s="1"/>
  <c r="V476" i="4"/>
  <c r="Y476" i="4" s="1"/>
  <c r="V477" i="4"/>
  <c r="Y477" i="4" s="1"/>
  <c r="V478" i="4"/>
  <c r="Y478" i="4" s="1"/>
  <c r="V479" i="4"/>
  <c r="Y479" i="4" s="1"/>
  <c r="V480" i="4"/>
  <c r="Y480" i="4" s="1"/>
  <c r="V481" i="4"/>
  <c r="Y481" i="4" s="1"/>
  <c r="V482" i="4"/>
  <c r="Y482" i="4" s="1"/>
  <c r="V483" i="4"/>
  <c r="Y483" i="4" s="1"/>
  <c r="V484" i="4"/>
  <c r="Y484" i="4" s="1"/>
  <c r="V485" i="4"/>
  <c r="Y485" i="4" s="1"/>
  <c r="V486" i="4"/>
  <c r="Y486" i="4" s="1"/>
  <c r="V487" i="4"/>
  <c r="Y487" i="4" s="1"/>
  <c r="V488" i="4"/>
  <c r="Y488" i="4" s="1"/>
  <c r="V489" i="4"/>
  <c r="Y489" i="4" s="1"/>
  <c r="V490" i="4"/>
  <c r="Y490" i="4" s="1"/>
  <c r="V491" i="4"/>
  <c r="Y491" i="4" s="1"/>
  <c r="V492" i="4"/>
  <c r="Y492" i="4" s="1"/>
  <c r="V493" i="4"/>
  <c r="Y493" i="4" s="1"/>
  <c r="V494" i="4"/>
  <c r="Y494" i="4" s="1"/>
  <c r="V495" i="4"/>
  <c r="Y495" i="4" s="1"/>
  <c r="V496" i="4"/>
  <c r="Y496" i="4" s="1"/>
  <c r="V497" i="4"/>
  <c r="Y497" i="4" s="1"/>
  <c r="V498" i="4"/>
  <c r="Y498" i="4" s="1"/>
  <c r="V499" i="4"/>
  <c r="Y499" i="4" s="1"/>
  <c r="V500" i="4"/>
  <c r="Y500" i="4" s="1"/>
  <c r="V501" i="4"/>
  <c r="Y501" i="4" s="1"/>
  <c r="V502" i="4"/>
  <c r="Y502" i="4" s="1"/>
  <c r="V503" i="4"/>
  <c r="Y503" i="4" s="1"/>
  <c r="V504" i="4"/>
  <c r="Y504" i="4" s="1"/>
  <c r="V505" i="4"/>
  <c r="Y505" i="4" s="1"/>
  <c r="V506" i="4"/>
  <c r="Y506" i="4" s="1"/>
  <c r="V507" i="4"/>
  <c r="Y507" i="4" s="1"/>
  <c r="V508" i="4"/>
  <c r="Y508" i="4" s="1"/>
  <c r="V509" i="4"/>
  <c r="Y509" i="4" s="1"/>
  <c r="V510" i="4"/>
  <c r="Y510" i="4" s="1"/>
  <c r="V511" i="4"/>
  <c r="Y511" i="4" s="1"/>
  <c r="V512" i="4"/>
  <c r="Y512" i="4" s="1"/>
  <c r="V513" i="4"/>
  <c r="Y513" i="4" s="1"/>
  <c r="V514" i="4"/>
  <c r="Y514" i="4" s="1"/>
  <c r="V515" i="4"/>
  <c r="Y515" i="4" s="1"/>
  <c r="V516" i="4"/>
  <c r="Y516" i="4" s="1"/>
  <c r="V517" i="4"/>
  <c r="Y517" i="4" s="1"/>
  <c r="V518" i="4"/>
  <c r="Y518" i="4" s="1"/>
  <c r="V519" i="4"/>
  <c r="Y519" i="4" s="1"/>
  <c r="V520" i="4"/>
  <c r="Y520" i="4" s="1"/>
  <c r="V521" i="4"/>
  <c r="Y521" i="4" s="1"/>
  <c r="V522" i="4"/>
  <c r="Y522" i="4" s="1"/>
  <c r="V523" i="4"/>
  <c r="Y523" i="4" s="1"/>
  <c r="V524" i="4"/>
  <c r="Y524" i="4" s="1"/>
  <c r="V525" i="4"/>
  <c r="Y525" i="4" s="1"/>
  <c r="V526" i="4"/>
  <c r="Y526" i="4" s="1"/>
  <c r="V527" i="4"/>
  <c r="Y527" i="4" s="1"/>
  <c r="V528" i="4"/>
  <c r="Y528" i="4" s="1"/>
  <c r="V529" i="4"/>
  <c r="Y529" i="4" s="1"/>
  <c r="V530" i="4"/>
  <c r="Y530" i="4" s="1"/>
  <c r="V531" i="4"/>
  <c r="Y531" i="4" s="1"/>
  <c r="V532" i="4"/>
  <c r="Y532" i="4" s="1"/>
  <c r="V533" i="4"/>
  <c r="Y533" i="4" s="1"/>
  <c r="V534" i="4"/>
  <c r="Y534" i="4" s="1"/>
  <c r="V535" i="4"/>
  <c r="Y535" i="4" s="1"/>
  <c r="V536" i="4"/>
  <c r="Y536" i="4" s="1"/>
  <c r="V537" i="4"/>
  <c r="Y537" i="4" s="1"/>
  <c r="V538" i="4"/>
  <c r="Y538" i="4" s="1"/>
  <c r="V539" i="4"/>
  <c r="Y539" i="4" s="1"/>
  <c r="V540" i="4"/>
  <c r="Y540" i="4" s="1"/>
  <c r="V541" i="4"/>
  <c r="Y541" i="4" s="1"/>
  <c r="V542" i="4"/>
  <c r="Y542" i="4" s="1"/>
  <c r="V543" i="4"/>
  <c r="Y543" i="4" s="1"/>
  <c r="V544" i="4"/>
  <c r="Y544" i="4" s="1"/>
  <c r="V545" i="4"/>
  <c r="Y545" i="4" s="1"/>
  <c r="V546" i="4"/>
  <c r="Y546" i="4" s="1"/>
  <c r="V547" i="4"/>
  <c r="Y547" i="4" s="1"/>
  <c r="V548" i="4"/>
  <c r="Y548" i="4" s="1"/>
  <c r="V549" i="4"/>
  <c r="Y549" i="4" s="1"/>
  <c r="V550" i="4"/>
  <c r="Y550" i="4" s="1"/>
  <c r="V551" i="4"/>
  <c r="Y551" i="4" s="1"/>
  <c r="V552" i="4"/>
  <c r="Y552" i="4" s="1"/>
  <c r="V553" i="4"/>
  <c r="Y553" i="4" s="1"/>
  <c r="V554" i="4"/>
  <c r="Y554" i="4" s="1"/>
  <c r="V555" i="4"/>
  <c r="Y555" i="4" s="1"/>
  <c r="V556" i="4"/>
  <c r="Y556" i="4" s="1"/>
  <c r="V557" i="4"/>
  <c r="Y557" i="4" s="1"/>
  <c r="V558" i="4"/>
  <c r="Y558" i="4" s="1"/>
  <c r="V559" i="4"/>
  <c r="Y559" i="4" s="1"/>
  <c r="V560" i="4"/>
  <c r="Y560" i="4" s="1"/>
  <c r="V561" i="4"/>
  <c r="Y561" i="4" s="1"/>
  <c r="V562" i="4"/>
  <c r="Y562" i="4" s="1"/>
  <c r="V563" i="4"/>
  <c r="Y563" i="4" s="1"/>
  <c r="V564" i="4"/>
  <c r="Y564" i="4" s="1"/>
  <c r="V565" i="4"/>
  <c r="Y565" i="4" s="1"/>
  <c r="V566" i="4"/>
  <c r="Y566" i="4" s="1"/>
  <c r="V567" i="4"/>
  <c r="Y567" i="4" s="1"/>
  <c r="V568" i="4"/>
  <c r="Y568" i="4" s="1"/>
  <c r="V569" i="4"/>
  <c r="Y569" i="4" s="1"/>
  <c r="V570" i="4"/>
  <c r="Y570" i="4" s="1"/>
  <c r="V571" i="4"/>
  <c r="Y571" i="4" s="1"/>
  <c r="V572" i="4"/>
  <c r="Y572" i="4" s="1"/>
  <c r="V573" i="4"/>
  <c r="Y573" i="4" s="1"/>
  <c r="V574" i="4"/>
  <c r="Y574" i="4" s="1"/>
  <c r="V575" i="4"/>
  <c r="Y575" i="4" s="1"/>
  <c r="V576" i="4"/>
  <c r="Y576" i="4" s="1"/>
  <c r="V577" i="4"/>
  <c r="Y577" i="4" s="1"/>
  <c r="V578" i="4"/>
  <c r="Y578" i="4" s="1"/>
  <c r="V579" i="4"/>
  <c r="Y579" i="4" s="1"/>
  <c r="V580" i="4"/>
  <c r="Y580" i="4" s="1"/>
  <c r="V581" i="4"/>
  <c r="Y581" i="4" s="1"/>
  <c r="V582" i="4"/>
  <c r="Y582" i="4" s="1"/>
  <c r="V583" i="4"/>
  <c r="Y583" i="4" s="1"/>
  <c r="V584" i="4"/>
  <c r="Y584" i="4" s="1"/>
  <c r="V585" i="4"/>
  <c r="Y585" i="4" s="1"/>
  <c r="V586" i="4"/>
  <c r="Y586" i="4" s="1"/>
  <c r="V587" i="4"/>
  <c r="Y587" i="4" s="1"/>
  <c r="V588" i="4"/>
  <c r="Y588" i="4" s="1"/>
  <c r="V589" i="4"/>
  <c r="Y589" i="4" s="1"/>
  <c r="V590" i="4"/>
  <c r="Y590" i="4" s="1"/>
  <c r="V591" i="4"/>
  <c r="Y591" i="4" s="1"/>
  <c r="V592" i="4"/>
  <c r="Y592" i="4" s="1"/>
  <c r="V593" i="4"/>
  <c r="Y593" i="4" s="1"/>
  <c r="V594" i="4"/>
  <c r="Y594" i="4" s="1"/>
  <c r="V595" i="4"/>
  <c r="Y595" i="4" s="1"/>
  <c r="V596" i="4"/>
  <c r="Y596" i="4" s="1"/>
  <c r="V597" i="4"/>
  <c r="Y597" i="4" s="1"/>
  <c r="V598" i="4"/>
  <c r="Y598" i="4" s="1"/>
  <c r="V599" i="4"/>
  <c r="Y599" i="4" s="1"/>
  <c r="V600" i="4"/>
  <c r="Y600" i="4" s="1"/>
  <c r="V601" i="4"/>
  <c r="Y601" i="4" s="1"/>
  <c r="V602" i="4"/>
  <c r="Y602" i="4" s="1"/>
  <c r="V603" i="4"/>
  <c r="Y603" i="4" s="1"/>
  <c r="V604" i="4"/>
  <c r="Y604" i="4" s="1"/>
  <c r="V605" i="4"/>
  <c r="Y605" i="4" s="1"/>
  <c r="V606" i="4"/>
  <c r="Y606" i="4" s="1"/>
  <c r="V607" i="4"/>
  <c r="Y607" i="4" s="1"/>
  <c r="V608" i="4"/>
  <c r="Y608" i="4" s="1"/>
  <c r="V609" i="4"/>
  <c r="Y609" i="4" s="1"/>
  <c r="V610" i="4"/>
  <c r="Y610" i="4" s="1"/>
  <c r="V611" i="4"/>
  <c r="Y611" i="4" s="1"/>
  <c r="V612" i="4"/>
  <c r="Y612" i="4" s="1"/>
  <c r="V613" i="4"/>
  <c r="Y613" i="4" s="1"/>
  <c r="V614" i="4"/>
  <c r="Y614" i="4" s="1"/>
  <c r="V615" i="4"/>
  <c r="Y615" i="4" s="1"/>
  <c r="V616" i="4"/>
  <c r="Y616" i="4" s="1"/>
  <c r="V617" i="4"/>
  <c r="Y617" i="4" s="1"/>
  <c r="V618" i="4"/>
  <c r="Y618" i="4" s="1"/>
  <c r="V619" i="4"/>
  <c r="Y619" i="4" s="1"/>
  <c r="V620" i="4"/>
  <c r="Y620" i="4" s="1"/>
  <c r="V621" i="4"/>
  <c r="Y621" i="4" s="1"/>
  <c r="V622" i="4"/>
  <c r="Y622" i="4" s="1"/>
  <c r="V623" i="4"/>
  <c r="Y623" i="4" s="1"/>
  <c r="V624" i="4"/>
  <c r="Y624" i="4" s="1"/>
  <c r="V625" i="4"/>
  <c r="Y625" i="4" s="1"/>
  <c r="V626" i="4"/>
  <c r="Y626" i="4" s="1"/>
  <c r="V627" i="4"/>
  <c r="Y627" i="4" s="1"/>
  <c r="V628" i="4"/>
  <c r="Y628" i="4" s="1"/>
  <c r="V629" i="4"/>
  <c r="Y629" i="4" s="1"/>
  <c r="V630" i="4"/>
  <c r="Y630" i="4" s="1"/>
  <c r="V631" i="4"/>
  <c r="Y631" i="4" s="1"/>
  <c r="V632" i="4"/>
  <c r="Y632" i="4" s="1"/>
  <c r="V633" i="4"/>
  <c r="Y633" i="4" s="1"/>
  <c r="V634" i="4"/>
  <c r="Y634" i="4" s="1"/>
  <c r="V635" i="4"/>
  <c r="Y635" i="4" s="1"/>
  <c r="V636" i="4"/>
  <c r="Y636" i="4" s="1"/>
  <c r="V637" i="4"/>
  <c r="Y637" i="4" s="1"/>
  <c r="V638" i="4"/>
  <c r="Y638" i="4" s="1"/>
  <c r="U2" i="4"/>
  <c r="X2" i="4" s="1"/>
  <c r="U3" i="4"/>
  <c r="X3" i="4" s="1"/>
  <c r="U4" i="4"/>
  <c r="X4" i="4" s="1"/>
  <c r="U5" i="4"/>
  <c r="X5" i="4" s="1"/>
  <c r="U6" i="4"/>
  <c r="X6" i="4" s="1"/>
  <c r="U7" i="4"/>
  <c r="X7" i="4" s="1"/>
  <c r="U8" i="4"/>
  <c r="X8" i="4" s="1"/>
  <c r="U9" i="4"/>
  <c r="X9" i="4" s="1"/>
  <c r="U10" i="4"/>
  <c r="X10" i="4" s="1"/>
  <c r="U11" i="4"/>
  <c r="X11" i="4" s="1"/>
  <c r="U12" i="4"/>
  <c r="X12" i="4" s="1"/>
  <c r="U13" i="4"/>
  <c r="X13" i="4" s="1"/>
  <c r="U14" i="4"/>
  <c r="X14" i="4" s="1"/>
  <c r="U15" i="4"/>
  <c r="X15" i="4" s="1"/>
  <c r="U16" i="4"/>
  <c r="X16" i="4" s="1"/>
  <c r="U17" i="4"/>
  <c r="X17" i="4" s="1"/>
  <c r="U18" i="4"/>
  <c r="X18" i="4" s="1"/>
  <c r="U19" i="4"/>
  <c r="X19" i="4" s="1"/>
  <c r="U20" i="4"/>
  <c r="X20" i="4" s="1"/>
  <c r="U21" i="4"/>
  <c r="X21" i="4" s="1"/>
  <c r="U22" i="4"/>
  <c r="X22" i="4" s="1"/>
  <c r="U23" i="4"/>
  <c r="X23" i="4" s="1"/>
  <c r="U24" i="4"/>
  <c r="X24" i="4" s="1"/>
  <c r="U25" i="4"/>
  <c r="X25" i="4" s="1"/>
  <c r="U26" i="4"/>
  <c r="X26" i="4" s="1"/>
  <c r="U27" i="4"/>
  <c r="X27" i="4" s="1"/>
  <c r="U28" i="4"/>
  <c r="X28" i="4" s="1"/>
  <c r="U29" i="4"/>
  <c r="X29" i="4" s="1"/>
  <c r="U30" i="4"/>
  <c r="X30" i="4" s="1"/>
  <c r="U31" i="4"/>
  <c r="X31" i="4" s="1"/>
  <c r="U32" i="4"/>
  <c r="X32" i="4" s="1"/>
  <c r="U33" i="4"/>
  <c r="X33" i="4" s="1"/>
  <c r="U34" i="4"/>
  <c r="X34" i="4" s="1"/>
  <c r="U35" i="4"/>
  <c r="X35" i="4" s="1"/>
  <c r="U36" i="4"/>
  <c r="X36" i="4" s="1"/>
  <c r="U37" i="4"/>
  <c r="X37" i="4" s="1"/>
  <c r="U38" i="4"/>
  <c r="X38" i="4" s="1"/>
  <c r="U39" i="4"/>
  <c r="X39" i="4" s="1"/>
  <c r="U40" i="4"/>
  <c r="X40" i="4" s="1"/>
  <c r="U41" i="4"/>
  <c r="X41" i="4" s="1"/>
  <c r="U42" i="4"/>
  <c r="X42" i="4" s="1"/>
  <c r="U43" i="4"/>
  <c r="X43" i="4" s="1"/>
  <c r="U44" i="4"/>
  <c r="X44" i="4" s="1"/>
  <c r="U45" i="4"/>
  <c r="X45" i="4" s="1"/>
  <c r="U46" i="4"/>
  <c r="X46" i="4" s="1"/>
  <c r="U47" i="4"/>
  <c r="X47" i="4" s="1"/>
  <c r="U48" i="4"/>
  <c r="X48" i="4" s="1"/>
  <c r="U49" i="4"/>
  <c r="X49" i="4" s="1"/>
  <c r="U50" i="4"/>
  <c r="X50" i="4" s="1"/>
  <c r="U51" i="4"/>
  <c r="X51" i="4" s="1"/>
  <c r="U52" i="4"/>
  <c r="X52" i="4" s="1"/>
  <c r="U53" i="4"/>
  <c r="X53" i="4" s="1"/>
  <c r="U54" i="4"/>
  <c r="X54" i="4" s="1"/>
  <c r="U55" i="4"/>
  <c r="X55" i="4" s="1"/>
  <c r="U56" i="4"/>
  <c r="X56" i="4" s="1"/>
  <c r="U57" i="4"/>
  <c r="X57" i="4" s="1"/>
  <c r="U58" i="4"/>
  <c r="X58" i="4" s="1"/>
  <c r="U59" i="4"/>
  <c r="X59" i="4" s="1"/>
  <c r="U60" i="4"/>
  <c r="X60" i="4" s="1"/>
  <c r="U61" i="4"/>
  <c r="X61" i="4" s="1"/>
  <c r="U62" i="4"/>
  <c r="X62" i="4" s="1"/>
  <c r="U63" i="4"/>
  <c r="X63" i="4" s="1"/>
  <c r="U64" i="4"/>
  <c r="X64" i="4" s="1"/>
  <c r="U65" i="4"/>
  <c r="X65" i="4" s="1"/>
  <c r="U66" i="4"/>
  <c r="X66" i="4" s="1"/>
  <c r="U67" i="4"/>
  <c r="X67" i="4" s="1"/>
  <c r="U68" i="4"/>
  <c r="X68" i="4" s="1"/>
  <c r="U69" i="4"/>
  <c r="X69" i="4" s="1"/>
  <c r="U70" i="4"/>
  <c r="X70" i="4" s="1"/>
  <c r="U71" i="4"/>
  <c r="X71" i="4" s="1"/>
  <c r="U72" i="4"/>
  <c r="X72" i="4" s="1"/>
  <c r="U73" i="4"/>
  <c r="X73" i="4" s="1"/>
  <c r="U74" i="4"/>
  <c r="X74" i="4" s="1"/>
  <c r="U75" i="4"/>
  <c r="X75" i="4" s="1"/>
  <c r="U76" i="4"/>
  <c r="X76" i="4" s="1"/>
  <c r="U77" i="4"/>
  <c r="X77" i="4" s="1"/>
  <c r="U78" i="4"/>
  <c r="X78" i="4" s="1"/>
  <c r="U79" i="4"/>
  <c r="X79" i="4" s="1"/>
  <c r="U80" i="4"/>
  <c r="X80" i="4" s="1"/>
  <c r="U81" i="4"/>
  <c r="X81" i="4" s="1"/>
  <c r="U82" i="4"/>
  <c r="X82" i="4" s="1"/>
  <c r="U83" i="4"/>
  <c r="X83" i="4" s="1"/>
  <c r="U84" i="4"/>
  <c r="X84" i="4" s="1"/>
  <c r="U85" i="4"/>
  <c r="X85" i="4" s="1"/>
  <c r="U86" i="4"/>
  <c r="X86" i="4" s="1"/>
  <c r="U87" i="4"/>
  <c r="X87" i="4" s="1"/>
  <c r="U88" i="4"/>
  <c r="X88" i="4" s="1"/>
  <c r="U89" i="4"/>
  <c r="X89" i="4" s="1"/>
  <c r="U90" i="4"/>
  <c r="X90" i="4" s="1"/>
  <c r="U91" i="4"/>
  <c r="X91" i="4" s="1"/>
  <c r="U92" i="4"/>
  <c r="X92" i="4" s="1"/>
  <c r="U93" i="4"/>
  <c r="X93" i="4" s="1"/>
  <c r="U94" i="4"/>
  <c r="X94" i="4" s="1"/>
  <c r="U95" i="4"/>
  <c r="X95" i="4" s="1"/>
  <c r="U96" i="4"/>
  <c r="X96" i="4" s="1"/>
  <c r="U97" i="4"/>
  <c r="X97" i="4" s="1"/>
  <c r="U98" i="4"/>
  <c r="X98" i="4" s="1"/>
  <c r="U99" i="4"/>
  <c r="X99" i="4" s="1"/>
  <c r="U100" i="4"/>
  <c r="X100" i="4" s="1"/>
  <c r="U101" i="4"/>
  <c r="X101" i="4" s="1"/>
  <c r="U102" i="4"/>
  <c r="X102" i="4" s="1"/>
  <c r="U103" i="4"/>
  <c r="X103" i="4" s="1"/>
  <c r="U104" i="4"/>
  <c r="X104" i="4" s="1"/>
  <c r="U105" i="4"/>
  <c r="X105" i="4" s="1"/>
  <c r="U106" i="4"/>
  <c r="X106" i="4" s="1"/>
  <c r="U107" i="4"/>
  <c r="X107" i="4" s="1"/>
  <c r="U108" i="4"/>
  <c r="X108" i="4" s="1"/>
  <c r="U109" i="4"/>
  <c r="X109" i="4" s="1"/>
  <c r="U110" i="4"/>
  <c r="X110" i="4" s="1"/>
  <c r="U111" i="4"/>
  <c r="X111" i="4" s="1"/>
  <c r="U112" i="4"/>
  <c r="X112" i="4" s="1"/>
  <c r="U113" i="4"/>
  <c r="X113" i="4" s="1"/>
  <c r="U114" i="4"/>
  <c r="X114" i="4" s="1"/>
  <c r="U115" i="4"/>
  <c r="X115" i="4" s="1"/>
  <c r="U116" i="4"/>
  <c r="X116" i="4" s="1"/>
  <c r="U117" i="4"/>
  <c r="X117" i="4" s="1"/>
  <c r="U118" i="4"/>
  <c r="X118" i="4" s="1"/>
  <c r="U119" i="4"/>
  <c r="X119" i="4" s="1"/>
  <c r="U120" i="4"/>
  <c r="X120" i="4" s="1"/>
  <c r="U121" i="4"/>
  <c r="X121" i="4" s="1"/>
  <c r="U122" i="4"/>
  <c r="X122" i="4" s="1"/>
  <c r="U123" i="4"/>
  <c r="X123" i="4" s="1"/>
  <c r="U124" i="4"/>
  <c r="X124" i="4" s="1"/>
  <c r="U125" i="4"/>
  <c r="X125" i="4" s="1"/>
  <c r="U126" i="4"/>
  <c r="X126" i="4" s="1"/>
  <c r="U127" i="4"/>
  <c r="X127" i="4" s="1"/>
  <c r="U128" i="4"/>
  <c r="X128" i="4" s="1"/>
  <c r="U129" i="4"/>
  <c r="X129" i="4" s="1"/>
  <c r="U130" i="4"/>
  <c r="X130" i="4" s="1"/>
  <c r="U131" i="4"/>
  <c r="X131" i="4" s="1"/>
  <c r="U132" i="4"/>
  <c r="X132" i="4" s="1"/>
  <c r="U133" i="4"/>
  <c r="X133" i="4" s="1"/>
  <c r="U134" i="4"/>
  <c r="X134" i="4" s="1"/>
  <c r="U135" i="4"/>
  <c r="X135" i="4" s="1"/>
  <c r="U136" i="4"/>
  <c r="X136" i="4" s="1"/>
  <c r="U137" i="4"/>
  <c r="X137" i="4" s="1"/>
  <c r="U138" i="4"/>
  <c r="X138" i="4" s="1"/>
  <c r="U139" i="4"/>
  <c r="X139" i="4" s="1"/>
  <c r="U140" i="4"/>
  <c r="X140" i="4" s="1"/>
  <c r="U141" i="4"/>
  <c r="X141" i="4" s="1"/>
  <c r="U142" i="4"/>
  <c r="X142" i="4" s="1"/>
  <c r="U143" i="4"/>
  <c r="X143" i="4" s="1"/>
  <c r="U144" i="4"/>
  <c r="X144" i="4" s="1"/>
  <c r="U145" i="4"/>
  <c r="X145" i="4" s="1"/>
  <c r="U146" i="4"/>
  <c r="X146" i="4" s="1"/>
  <c r="U147" i="4"/>
  <c r="X147" i="4" s="1"/>
  <c r="U148" i="4"/>
  <c r="X148" i="4" s="1"/>
  <c r="U149" i="4"/>
  <c r="X149" i="4" s="1"/>
  <c r="U150" i="4"/>
  <c r="X150" i="4" s="1"/>
  <c r="U151" i="4"/>
  <c r="X151" i="4" s="1"/>
  <c r="U152" i="4"/>
  <c r="X152" i="4" s="1"/>
  <c r="U153" i="4"/>
  <c r="X153" i="4" s="1"/>
  <c r="U154" i="4"/>
  <c r="X154" i="4" s="1"/>
  <c r="U155" i="4"/>
  <c r="X155" i="4" s="1"/>
  <c r="U156" i="4"/>
  <c r="X156" i="4" s="1"/>
  <c r="U157" i="4"/>
  <c r="X157" i="4" s="1"/>
  <c r="U158" i="4"/>
  <c r="X158" i="4" s="1"/>
  <c r="U159" i="4"/>
  <c r="X159" i="4" s="1"/>
  <c r="U160" i="4"/>
  <c r="X160" i="4" s="1"/>
  <c r="U161" i="4"/>
  <c r="X161" i="4" s="1"/>
  <c r="U162" i="4"/>
  <c r="X162" i="4" s="1"/>
  <c r="U163" i="4"/>
  <c r="X163" i="4" s="1"/>
  <c r="U164" i="4"/>
  <c r="X164" i="4" s="1"/>
  <c r="U165" i="4"/>
  <c r="X165" i="4" s="1"/>
  <c r="U166" i="4"/>
  <c r="X166" i="4" s="1"/>
  <c r="U167" i="4"/>
  <c r="X167" i="4" s="1"/>
  <c r="U168" i="4"/>
  <c r="X168" i="4" s="1"/>
  <c r="U169" i="4"/>
  <c r="X169" i="4" s="1"/>
  <c r="U170" i="4"/>
  <c r="X170" i="4" s="1"/>
  <c r="U171" i="4"/>
  <c r="X171" i="4" s="1"/>
  <c r="U172" i="4"/>
  <c r="X172" i="4" s="1"/>
  <c r="U173" i="4"/>
  <c r="X173" i="4" s="1"/>
  <c r="U174" i="4"/>
  <c r="X174" i="4" s="1"/>
  <c r="U175" i="4"/>
  <c r="X175" i="4" s="1"/>
  <c r="U176" i="4"/>
  <c r="X176" i="4" s="1"/>
  <c r="U177" i="4"/>
  <c r="X177" i="4" s="1"/>
  <c r="U178" i="4"/>
  <c r="X178" i="4" s="1"/>
  <c r="U179" i="4"/>
  <c r="X179" i="4" s="1"/>
  <c r="U180" i="4"/>
  <c r="X180" i="4" s="1"/>
  <c r="U181" i="4"/>
  <c r="X181" i="4" s="1"/>
  <c r="U182" i="4"/>
  <c r="X182" i="4" s="1"/>
  <c r="U183" i="4"/>
  <c r="X183" i="4" s="1"/>
  <c r="U184" i="4"/>
  <c r="X184" i="4" s="1"/>
  <c r="U185" i="4"/>
  <c r="X185" i="4" s="1"/>
  <c r="U186" i="4"/>
  <c r="X186" i="4" s="1"/>
  <c r="U187" i="4"/>
  <c r="X187" i="4" s="1"/>
  <c r="U188" i="4"/>
  <c r="X188" i="4" s="1"/>
  <c r="U189" i="4"/>
  <c r="X189" i="4" s="1"/>
  <c r="U190" i="4"/>
  <c r="X190" i="4" s="1"/>
  <c r="U191" i="4"/>
  <c r="X191" i="4" s="1"/>
  <c r="U192" i="4"/>
  <c r="X192" i="4" s="1"/>
  <c r="U193" i="4"/>
  <c r="X193" i="4" s="1"/>
  <c r="U194" i="4"/>
  <c r="X194" i="4" s="1"/>
  <c r="U195" i="4"/>
  <c r="X195" i="4" s="1"/>
  <c r="U196" i="4"/>
  <c r="X196" i="4" s="1"/>
  <c r="U197" i="4"/>
  <c r="X197" i="4" s="1"/>
  <c r="U198" i="4"/>
  <c r="X198" i="4" s="1"/>
  <c r="U199" i="4"/>
  <c r="X199" i="4" s="1"/>
  <c r="U200" i="4"/>
  <c r="X200" i="4" s="1"/>
  <c r="U201" i="4"/>
  <c r="X201" i="4" s="1"/>
  <c r="U202" i="4"/>
  <c r="X202" i="4" s="1"/>
  <c r="U203" i="4"/>
  <c r="X203" i="4" s="1"/>
  <c r="U204" i="4"/>
  <c r="X204" i="4" s="1"/>
  <c r="U205" i="4"/>
  <c r="X205" i="4" s="1"/>
  <c r="U206" i="4"/>
  <c r="X206" i="4" s="1"/>
  <c r="U207" i="4"/>
  <c r="X207" i="4" s="1"/>
  <c r="U208" i="4"/>
  <c r="X208" i="4" s="1"/>
  <c r="U209" i="4"/>
  <c r="X209" i="4" s="1"/>
  <c r="U210" i="4"/>
  <c r="X210" i="4" s="1"/>
  <c r="U211" i="4"/>
  <c r="X211" i="4" s="1"/>
  <c r="U212" i="4"/>
  <c r="X212" i="4" s="1"/>
  <c r="U213" i="4"/>
  <c r="X213" i="4" s="1"/>
  <c r="U214" i="4"/>
  <c r="X214" i="4" s="1"/>
  <c r="U215" i="4"/>
  <c r="X215" i="4" s="1"/>
  <c r="U216" i="4"/>
  <c r="X216" i="4" s="1"/>
  <c r="U217" i="4"/>
  <c r="X217" i="4" s="1"/>
  <c r="U218" i="4"/>
  <c r="X218" i="4" s="1"/>
  <c r="U219" i="4"/>
  <c r="X219" i="4" s="1"/>
  <c r="U220" i="4"/>
  <c r="X220" i="4" s="1"/>
  <c r="U221" i="4"/>
  <c r="X221" i="4" s="1"/>
  <c r="U222" i="4"/>
  <c r="X222" i="4" s="1"/>
  <c r="U223" i="4"/>
  <c r="X223" i="4" s="1"/>
  <c r="U224" i="4"/>
  <c r="X224" i="4" s="1"/>
  <c r="U225" i="4"/>
  <c r="X225" i="4" s="1"/>
  <c r="U226" i="4"/>
  <c r="X226" i="4" s="1"/>
  <c r="U227" i="4"/>
  <c r="X227" i="4" s="1"/>
  <c r="U228" i="4"/>
  <c r="X228" i="4" s="1"/>
  <c r="U229" i="4"/>
  <c r="X229" i="4" s="1"/>
  <c r="U230" i="4"/>
  <c r="X230" i="4" s="1"/>
  <c r="U231" i="4"/>
  <c r="X231" i="4" s="1"/>
  <c r="U232" i="4"/>
  <c r="X232" i="4" s="1"/>
  <c r="U233" i="4"/>
  <c r="X233" i="4" s="1"/>
  <c r="U234" i="4"/>
  <c r="X234" i="4" s="1"/>
  <c r="U235" i="4"/>
  <c r="X235" i="4" s="1"/>
  <c r="U236" i="4"/>
  <c r="X236" i="4" s="1"/>
  <c r="U237" i="4"/>
  <c r="X237" i="4" s="1"/>
  <c r="U238" i="4"/>
  <c r="X238" i="4" s="1"/>
  <c r="U239" i="4"/>
  <c r="X239" i="4" s="1"/>
  <c r="U240" i="4"/>
  <c r="X240" i="4" s="1"/>
  <c r="U241" i="4"/>
  <c r="X241" i="4" s="1"/>
  <c r="U242" i="4"/>
  <c r="X242" i="4" s="1"/>
  <c r="U243" i="4"/>
  <c r="X243" i="4" s="1"/>
  <c r="U244" i="4"/>
  <c r="X244" i="4" s="1"/>
  <c r="U245" i="4"/>
  <c r="X245" i="4" s="1"/>
  <c r="U246" i="4"/>
  <c r="X246" i="4" s="1"/>
  <c r="U247" i="4"/>
  <c r="X247" i="4" s="1"/>
  <c r="U248" i="4"/>
  <c r="X248" i="4" s="1"/>
  <c r="U249" i="4"/>
  <c r="X249" i="4" s="1"/>
  <c r="U250" i="4"/>
  <c r="X250" i="4" s="1"/>
  <c r="U251" i="4"/>
  <c r="X251" i="4" s="1"/>
  <c r="U252" i="4"/>
  <c r="X252" i="4" s="1"/>
  <c r="U253" i="4"/>
  <c r="X253" i="4" s="1"/>
  <c r="U254" i="4"/>
  <c r="X254" i="4" s="1"/>
  <c r="U255" i="4"/>
  <c r="X255" i="4" s="1"/>
  <c r="U256" i="4"/>
  <c r="X256" i="4" s="1"/>
  <c r="U257" i="4"/>
  <c r="X257" i="4" s="1"/>
  <c r="U258" i="4"/>
  <c r="X258" i="4" s="1"/>
  <c r="U259" i="4"/>
  <c r="X259" i="4" s="1"/>
  <c r="U260" i="4"/>
  <c r="X260" i="4" s="1"/>
  <c r="U261" i="4"/>
  <c r="X261" i="4" s="1"/>
  <c r="U262" i="4"/>
  <c r="X262" i="4" s="1"/>
  <c r="U263" i="4"/>
  <c r="X263" i="4" s="1"/>
  <c r="U264" i="4"/>
  <c r="X264" i="4" s="1"/>
  <c r="U265" i="4"/>
  <c r="X265" i="4" s="1"/>
  <c r="U266" i="4"/>
  <c r="X266" i="4" s="1"/>
  <c r="U267" i="4"/>
  <c r="X267" i="4" s="1"/>
  <c r="U268" i="4"/>
  <c r="X268" i="4" s="1"/>
  <c r="U269" i="4"/>
  <c r="X269" i="4" s="1"/>
  <c r="U270" i="4"/>
  <c r="X270" i="4" s="1"/>
  <c r="U271" i="4"/>
  <c r="X271" i="4" s="1"/>
  <c r="U272" i="4"/>
  <c r="X272" i="4" s="1"/>
  <c r="U273" i="4"/>
  <c r="X273" i="4" s="1"/>
  <c r="U274" i="4"/>
  <c r="X274" i="4" s="1"/>
  <c r="U275" i="4"/>
  <c r="X275" i="4" s="1"/>
  <c r="U276" i="4"/>
  <c r="X276" i="4" s="1"/>
  <c r="U277" i="4"/>
  <c r="X277" i="4" s="1"/>
  <c r="U278" i="4"/>
  <c r="X278" i="4" s="1"/>
  <c r="U279" i="4"/>
  <c r="X279" i="4" s="1"/>
  <c r="U280" i="4"/>
  <c r="X280" i="4" s="1"/>
  <c r="U281" i="4"/>
  <c r="X281" i="4" s="1"/>
  <c r="U282" i="4"/>
  <c r="X282" i="4" s="1"/>
  <c r="U283" i="4"/>
  <c r="X283" i="4" s="1"/>
  <c r="U284" i="4"/>
  <c r="X284" i="4" s="1"/>
  <c r="U285" i="4"/>
  <c r="X285" i="4" s="1"/>
  <c r="U286" i="4"/>
  <c r="X286" i="4" s="1"/>
  <c r="U287" i="4"/>
  <c r="X287" i="4" s="1"/>
  <c r="U288" i="4"/>
  <c r="X288" i="4" s="1"/>
  <c r="U289" i="4"/>
  <c r="X289" i="4" s="1"/>
  <c r="U290" i="4"/>
  <c r="X290" i="4" s="1"/>
  <c r="U291" i="4"/>
  <c r="X291" i="4" s="1"/>
  <c r="U292" i="4"/>
  <c r="X292" i="4" s="1"/>
  <c r="U293" i="4"/>
  <c r="X293" i="4" s="1"/>
  <c r="U294" i="4"/>
  <c r="X294" i="4" s="1"/>
  <c r="U295" i="4"/>
  <c r="X295" i="4" s="1"/>
  <c r="U296" i="4"/>
  <c r="X296" i="4" s="1"/>
  <c r="U297" i="4"/>
  <c r="X297" i="4" s="1"/>
  <c r="U298" i="4"/>
  <c r="X298" i="4" s="1"/>
  <c r="U299" i="4"/>
  <c r="X299" i="4" s="1"/>
  <c r="U300" i="4"/>
  <c r="X300" i="4" s="1"/>
  <c r="U301" i="4"/>
  <c r="X301" i="4" s="1"/>
  <c r="U302" i="4"/>
  <c r="X302" i="4" s="1"/>
  <c r="U303" i="4"/>
  <c r="X303" i="4" s="1"/>
  <c r="U304" i="4"/>
  <c r="X304" i="4" s="1"/>
  <c r="U305" i="4"/>
  <c r="X305" i="4" s="1"/>
  <c r="U306" i="4"/>
  <c r="X306" i="4" s="1"/>
  <c r="U307" i="4"/>
  <c r="X307" i="4" s="1"/>
  <c r="U308" i="4"/>
  <c r="X308" i="4" s="1"/>
  <c r="U309" i="4"/>
  <c r="X309" i="4" s="1"/>
  <c r="U310" i="4"/>
  <c r="X310" i="4" s="1"/>
  <c r="U311" i="4"/>
  <c r="X311" i="4" s="1"/>
  <c r="U312" i="4"/>
  <c r="X312" i="4" s="1"/>
  <c r="U313" i="4"/>
  <c r="X313" i="4" s="1"/>
  <c r="U314" i="4"/>
  <c r="X314" i="4" s="1"/>
  <c r="U315" i="4"/>
  <c r="X315" i="4" s="1"/>
  <c r="U316" i="4"/>
  <c r="X316" i="4" s="1"/>
  <c r="U317" i="4"/>
  <c r="X317" i="4" s="1"/>
  <c r="U318" i="4"/>
  <c r="X318" i="4" s="1"/>
  <c r="U319" i="4"/>
  <c r="X319" i="4" s="1"/>
  <c r="U320" i="4"/>
  <c r="X320" i="4" s="1"/>
  <c r="U321" i="4"/>
  <c r="X321" i="4" s="1"/>
  <c r="U322" i="4"/>
  <c r="X322" i="4" s="1"/>
  <c r="U323" i="4"/>
  <c r="X323" i="4" s="1"/>
  <c r="U324" i="4"/>
  <c r="X324" i="4" s="1"/>
  <c r="U325" i="4"/>
  <c r="X325" i="4" s="1"/>
  <c r="U326" i="4"/>
  <c r="X326" i="4" s="1"/>
  <c r="U327" i="4"/>
  <c r="X327" i="4" s="1"/>
  <c r="U328" i="4"/>
  <c r="X328" i="4" s="1"/>
  <c r="U329" i="4"/>
  <c r="X329" i="4" s="1"/>
  <c r="U330" i="4"/>
  <c r="X330" i="4" s="1"/>
  <c r="U331" i="4"/>
  <c r="X331" i="4" s="1"/>
  <c r="U332" i="4"/>
  <c r="X332" i="4" s="1"/>
  <c r="U333" i="4"/>
  <c r="X333" i="4" s="1"/>
  <c r="U334" i="4"/>
  <c r="X334" i="4" s="1"/>
  <c r="U335" i="4"/>
  <c r="X335" i="4" s="1"/>
  <c r="U336" i="4"/>
  <c r="X336" i="4" s="1"/>
  <c r="U337" i="4"/>
  <c r="X337" i="4" s="1"/>
  <c r="U338" i="4"/>
  <c r="X338" i="4" s="1"/>
  <c r="U339" i="4"/>
  <c r="X339" i="4" s="1"/>
  <c r="U340" i="4"/>
  <c r="X340" i="4" s="1"/>
  <c r="U341" i="4"/>
  <c r="X341" i="4" s="1"/>
  <c r="U342" i="4"/>
  <c r="X342" i="4" s="1"/>
  <c r="U343" i="4"/>
  <c r="X343" i="4" s="1"/>
  <c r="U344" i="4"/>
  <c r="X344" i="4" s="1"/>
  <c r="U345" i="4"/>
  <c r="X345" i="4" s="1"/>
  <c r="U346" i="4"/>
  <c r="X346" i="4" s="1"/>
  <c r="U347" i="4"/>
  <c r="X347" i="4" s="1"/>
  <c r="U348" i="4"/>
  <c r="X348" i="4" s="1"/>
  <c r="U349" i="4"/>
  <c r="X349" i="4" s="1"/>
  <c r="U350" i="4"/>
  <c r="X350" i="4" s="1"/>
  <c r="U351" i="4"/>
  <c r="X351" i="4" s="1"/>
  <c r="U352" i="4"/>
  <c r="X352" i="4" s="1"/>
  <c r="U353" i="4"/>
  <c r="X353" i="4" s="1"/>
  <c r="U354" i="4"/>
  <c r="X354" i="4" s="1"/>
  <c r="U355" i="4"/>
  <c r="X355" i="4" s="1"/>
  <c r="U356" i="4"/>
  <c r="X356" i="4" s="1"/>
  <c r="U357" i="4"/>
  <c r="X357" i="4" s="1"/>
  <c r="U358" i="4"/>
  <c r="X358" i="4" s="1"/>
  <c r="U359" i="4"/>
  <c r="X359" i="4" s="1"/>
  <c r="U360" i="4"/>
  <c r="X360" i="4" s="1"/>
  <c r="U361" i="4"/>
  <c r="X361" i="4" s="1"/>
  <c r="U362" i="4"/>
  <c r="X362" i="4" s="1"/>
  <c r="U363" i="4"/>
  <c r="X363" i="4" s="1"/>
  <c r="U364" i="4"/>
  <c r="X364" i="4" s="1"/>
  <c r="U365" i="4"/>
  <c r="X365" i="4" s="1"/>
  <c r="U366" i="4"/>
  <c r="X366" i="4" s="1"/>
  <c r="U367" i="4"/>
  <c r="X367" i="4" s="1"/>
  <c r="U368" i="4"/>
  <c r="X368" i="4" s="1"/>
  <c r="U369" i="4"/>
  <c r="X369" i="4" s="1"/>
  <c r="U370" i="4"/>
  <c r="X370" i="4" s="1"/>
  <c r="U371" i="4"/>
  <c r="X371" i="4" s="1"/>
  <c r="U372" i="4"/>
  <c r="X372" i="4" s="1"/>
  <c r="U373" i="4"/>
  <c r="X373" i="4" s="1"/>
  <c r="U374" i="4"/>
  <c r="X374" i="4" s="1"/>
  <c r="U375" i="4"/>
  <c r="X375" i="4" s="1"/>
  <c r="U376" i="4"/>
  <c r="X376" i="4" s="1"/>
  <c r="U377" i="4"/>
  <c r="X377" i="4" s="1"/>
  <c r="U378" i="4"/>
  <c r="X378" i="4" s="1"/>
  <c r="U379" i="4"/>
  <c r="X379" i="4" s="1"/>
  <c r="U380" i="4"/>
  <c r="X380" i="4" s="1"/>
  <c r="U381" i="4"/>
  <c r="X381" i="4" s="1"/>
  <c r="U382" i="4"/>
  <c r="X382" i="4" s="1"/>
  <c r="U383" i="4"/>
  <c r="X383" i="4" s="1"/>
  <c r="U384" i="4"/>
  <c r="X384" i="4" s="1"/>
  <c r="U385" i="4"/>
  <c r="X385" i="4" s="1"/>
  <c r="U386" i="4"/>
  <c r="X386" i="4" s="1"/>
  <c r="U387" i="4"/>
  <c r="X387" i="4" s="1"/>
  <c r="U388" i="4"/>
  <c r="X388" i="4" s="1"/>
  <c r="U389" i="4"/>
  <c r="X389" i="4" s="1"/>
  <c r="U390" i="4"/>
  <c r="X390" i="4" s="1"/>
  <c r="U391" i="4"/>
  <c r="X391" i="4" s="1"/>
  <c r="U392" i="4"/>
  <c r="X392" i="4" s="1"/>
  <c r="U393" i="4"/>
  <c r="X393" i="4" s="1"/>
  <c r="U394" i="4"/>
  <c r="X394" i="4" s="1"/>
  <c r="U395" i="4"/>
  <c r="X395" i="4" s="1"/>
  <c r="U396" i="4"/>
  <c r="X396" i="4" s="1"/>
  <c r="U397" i="4"/>
  <c r="X397" i="4" s="1"/>
  <c r="U398" i="4"/>
  <c r="X398" i="4" s="1"/>
  <c r="U399" i="4"/>
  <c r="X399" i="4" s="1"/>
  <c r="U400" i="4"/>
  <c r="X400" i="4" s="1"/>
  <c r="U401" i="4"/>
  <c r="X401" i="4" s="1"/>
  <c r="U402" i="4"/>
  <c r="X402" i="4" s="1"/>
  <c r="U403" i="4"/>
  <c r="X403" i="4" s="1"/>
  <c r="U404" i="4"/>
  <c r="X404" i="4" s="1"/>
  <c r="U405" i="4"/>
  <c r="X405" i="4" s="1"/>
  <c r="U406" i="4"/>
  <c r="X406" i="4" s="1"/>
  <c r="U407" i="4"/>
  <c r="X407" i="4" s="1"/>
  <c r="U408" i="4"/>
  <c r="X408" i="4" s="1"/>
  <c r="U409" i="4"/>
  <c r="X409" i="4" s="1"/>
  <c r="U410" i="4"/>
  <c r="X410" i="4" s="1"/>
  <c r="U411" i="4"/>
  <c r="X411" i="4" s="1"/>
  <c r="U412" i="4"/>
  <c r="X412" i="4" s="1"/>
  <c r="U413" i="4"/>
  <c r="X413" i="4" s="1"/>
  <c r="U414" i="4"/>
  <c r="X414" i="4" s="1"/>
  <c r="U415" i="4"/>
  <c r="X415" i="4" s="1"/>
  <c r="U416" i="4"/>
  <c r="X416" i="4" s="1"/>
  <c r="U417" i="4"/>
  <c r="X417" i="4" s="1"/>
  <c r="U418" i="4"/>
  <c r="X418" i="4" s="1"/>
  <c r="U419" i="4"/>
  <c r="X419" i="4" s="1"/>
  <c r="U420" i="4"/>
  <c r="X420" i="4" s="1"/>
  <c r="U421" i="4"/>
  <c r="X421" i="4" s="1"/>
  <c r="U422" i="4"/>
  <c r="X422" i="4" s="1"/>
  <c r="U423" i="4"/>
  <c r="X423" i="4" s="1"/>
  <c r="U424" i="4"/>
  <c r="X424" i="4" s="1"/>
  <c r="U425" i="4"/>
  <c r="X425" i="4" s="1"/>
  <c r="U426" i="4"/>
  <c r="X426" i="4" s="1"/>
  <c r="U427" i="4"/>
  <c r="X427" i="4" s="1"/>
  <c r="U428" i="4"/>
  <c r="X428" i="4" s="1"/>
  <c r="U429" i="4"/>
  <c r="X429" i="4" s="1"/>
  <c r="U430" i="4"/>
  <c r="X430" i="4" s="1"/>
  <c r="U431" i="4"/>
  <c r="X431" i="4" s="1"/>
  <c r="U432" i="4"/>
  <c r="X432" i="4" s="1"/>
  <c r="U433" i="4"/>
  <c r="X433" i="4" s="1"/>
  <c r="U434" i="4"/>
  <c r="X434" i="4" s="1"/>
  <c r="U435" i="4"/>
  <c r="X435" i="4" s="1"/>
  <c r="U436" i="4"/>
  <c r="X436" i="4" s="1"/>
  <c r="U437" i="4"/>
  <c r="X437" i="4" s="1"/>
  <c r="U438" i="4"/>
  <c r="X438" i="4" s="1"/>
  <c r="U439" i="4"/>
  <c r="X439" i="4" s="1"/>
  <c r="U440" i="4"/>
  <c r="X440" i="4" s="1"/>
  <c r="U441" i="4"/>
  <c r="X441" i="4" s="1"/>
  <c r="U442" i="4"/>
  <c r="X442" i="4" s="1"/>
  <c r="U443" i="4"/>
  <c r="X443" i="4" s="1"/>
  <c r="U444" i="4"/>
  <c r="X444" i="4" s="1"/>
  <c r="U445" i="4"/>
  <c r="X445" i="4" s="1"/>
  <c r="U446" i="4"/>
  <c r="X446" i="4" s="1"/>
  <c r="U447" i="4"/>
  <c r="X447" i="4" s="1"/>
  <c r="U448" i="4"/>
  <c r="X448" i="4" s="1"/>
  <c r="U449" i="4"/>
  <c r="X449" i="4" s="1"/>
  <c r="U450" i="4"/>
  <c r="X450" i="4" s="1"/>
  <c r="U451" i="4"/>
  <c r="X451" i="4" s="1"/>
  <c r="U452" i="4"/>
  <c r="X452" i="4" s="1"/>
  <c r="U453" i="4"/>
  <c r="X453" i="4" s="1"/>
  <c r="U454" i="4"/>
  <c r="X454" i="4" s="1"/>
  <c r="U455" i="4"/>
  <c r="X455" i="4" s="1"/>
  <c r="U456" i="4"/>
  <c r="X456" i="4" s="1"/>
  <c r="U457" i="4"/>
  <c r="X457" i="4" s="1"/>
  <c r="U458" i="4"/>
  <c r="X458" i="4" s="1"/>
  <c r="U459" i="4"/>
  <c r="X459" i="4" s="1"/>
  <c r="U460" i="4"/>
  <c r="X460" i="4" s="1"/>
  <c r="U461" i="4"/>
  <c r="X461" i="4" s="1"/>
  <c r="U462" i="4"/>
  <c r="X462" i="4" s="1"/>
  <c r="U463" i="4"/>
  <c r="X463" i="4" s="1"/>
  <c r="U464" i="4"/>
  <c r="X464" i="4" s="1"/>
  <c r="U465" i="4"/>
  <c r="X465" i="4" s="1"/>
  <c r="U466" i="4"/>
  <c r="X466" i="4" s="1"/>
  <c r="U467" i="4"/>
  <c r="X467" i="4" s="1"/>
  <c r="U468" i="4"/>
  <c r="X468" i="4" s="1"/>
  <c r="U469" i="4"/>
  <c r="X469" i="4" s="1"/>
  <c r="U470" i="4"/>
  <c r="X470" i="4" s="1"/>
  <c r="U471" i="4"/>
  <c r="X471" i="4" s="1"/>
  <c r="U472" i="4"/>
  <c r="X472" i="4" s="1"/>
  <c r="U473" i="4"/>
  <c r="X473" i="4" s="1"/>
  <c r="U474" i="4"/>
  <c r="X474" i="4" s="1"/>
  <c r="U475" i="4"/>
  <c r="X475" i="4" s="1"/>
  <c r="U476" i="4"/>
  <c r="X476" i="4" s="1"/>
  <c r="U477" i="4"/>
  <c r="X477" i="4" s="1"/>
  <c r="U478" i="4"/>
  <c r="X478" i="4" s="1"/>
  <c r="U479" i="4"/>
  <c r="X479" i="4" s="1"/>
  <c r="U480" i="4"/>
  <c r="X480" i="4" s="1"/>
  <c r="U481" i="4"/>
  <c r="X481" i="4" s="1"/>
  <c r="U482" i="4"/>
  <c r="X482" i="4" s="1"/>
  <c r="U483" i="4"/>
  <c r="X483" i="4" s="1"/>
  <c r="U484" i="4"/>
  <c r="X484" i="4" s="1"/>
  <c r="U485" i="4"/>
  <c r="X485" i="4" s="1"/>
  <c r="U486" i="4"/>
  <c r="X486" i="4" s="1"/>
  <c r="U487" i="4"/>
  <c r="X487" i="4" s="1"/>
  <c r="U488" i="4"/>
  <c r="X488" i="4" s="1"/>
  <c r="U489" i="4"/>
  <c r="X489" i="4" s="1"/>
  <c r="U490" i="4"/>
  <c r="X490" i="4" s="1"/>
  <c r="U491" i="4"/>
  <c r="X491" i="4" s="1"/>
  <c r="U492" i="4"/>
  <c r="X492" i="4" s="1"/>
  <c r="U493" i="4"/>
  <c r="X493" i="4" s="1"/>
  <c r="U494" i="4"/>
  <c r="X494" i="4" s="1"/>
  <c r="U495" i="4"/>
  <c r="X495" i="4" s="1"/>
  <c r="U496" i="4"/>
  <c r="X496" i="4" s="1"/>
  <c r="U497" i="4"/>
  <c r="X497" i="4" s="1"/>
  <c r="U498" i="4"/>
  <c r="X498" i="4" s="1"/>
  <c r="U499" i="4"/>
  <c r="X499" i="4" s="1"/>
  <c r="U500" i="4"/>
  <c r="X500" i="4" s="1"/>
  <c r="U501" i="4"/>
  <c r="X501" i="4" s="1"/>
  <c r="U502" i="4"/>
  <c r="X502" i="4" s="1"/>
  <c r="U503" i="4"/>
  <c r="X503" i="4" s="1"/>
  <c r="U504" i="4"/>
  <c r="X504" i="4" s="1"/>
  <c r="U505" i="4"/>
  <c r="X505" i="4" s="1"/>
  <c r="U506" i="4"/>
  <c r="X506" i="4" s="1"/>
  <c r="U507" i="4"/>
  <c r="X507" i="4" s="1"/>
  <c r="U508" i="4"/>
  <c r="X508" i="4" s="1"/>
  <c r="U509" i="4"/>
  <c r="X509" i="4" s="1"/>
  <c r="U510" i="4"/>
  <c r="X510" i="4" s="1"/>
  <c r="U511" i="4"/>
  <c r="X511" i="4" s="1"/>
  <c r="U512" i="4"/>
  <c r="X512" i="4" s="1"/>
  <c r="U513" i="4"/>
  <c r="X513" i="4" s="1"/>
  <c r="U514" i="4"/>
  <c r="X514" i="4" s="1"/>
  <c r="U515" i="4"/>
  <c r="X515" i="4" s="1"/>
  <c r="U516" i="4"/>
  <c r="X516" i="4" s="1"/>
  <c r="U517" i="4"/>
  <c r="X517" i="4" s="1"/>
  <c r="U518" i="4"/>
  <c r="X518" i="4" s="1"/>
  <c r="U519" i="4"/>
  <c r="X519" i="4" s="1"/>
  <c r="U520" i="4"/>
  <c r="X520" i="4" s="1"/>
  <c r="U521" i="4"/>
  <c r="X521" i="4" s="1"/>
  <c r="U522" i="4"/>
  <c r="X522" i="4" s="1"/>
  <c r="U523" i="4"/>
  <c r="X523" i="4" s="1"/>
  <c r="U524" i="4"/>
  <c r="X524" i="4" s="1"/>
  <c r="U525" i="4"/>
  <c r="X525" i="4" s="1"/>
  <c r="U526" i="4"/>
  <c r="X526" i="4" s="1"/>
  <c r="U527" i="4"/>
  <c r="X527" i="4" s="1"/>
  <c r="U528" i="4"/>
  <c r="X528" i="4" s="1"/>
  <c r="U529" i="4"/>
  <c r="X529" i="4" s="1"/>
  <c r="U530" i="4"/>
  <c r="X530" i="4" s="1"/>
  <c r="U531" i="4"/>
  <c r="X531" i="4" s="1"/>
  <c r="U532" i="4"/>
  <c r="X532" i="4" s="1"/>
  <c r="U533" i="4"/>
  <c r="X533" i="4" s="1"/>
  <c r="U534" i="4"/>
  <c r="X534" i="4" s="1"/>
  <c r="U535" i="4"/>
  <c r="X535" i="4" s="1"/>
  <c r="U536" i="4"/>
  <c r="X536" i="4" s="1"/>
  <c r="U537" i="4"/>
  <c r="X537" i="4" s="1"/>
  <c r="U538" i="4"/>
  <c r="X538" i="4" s="1"/>
  <c r="U539" i="4"/>
  <c r="X539" i="4" s="1"/>
  <c r="U540" i="4"/>
  <c r="X540" i="4" s="1"/>
  <c r="U541" i="4"/>
  <c r="X541" i="4" s="1"/>
  <c r="U542" i="4"/>
  <c r="X542" i="4" s="1"/>
  <c r="U543" i="4"/>
  <c r="X543" i="4" s="1"/>
  <c r="U544" i="4"/>
  <c r="X544" i="4" s="1"/>
  <c r="U545" i="4"/>
  <c r="X545" i="4" s="1"/>
  <c r="U546" i="4"/>
  <c r="X546" i="4" s="1"/>
  <c r="U547" i="4"/>
  <c r="X547" i="4" s="1"/>
  <c r="U548" i="4"/>
  <c r="X548" i="4" s="1"/>
  <c r="U549" i="4"/>
  <c r="X549" i="4" s="1"/>
  <c r="U550" i="4"/>
  <c r="X550" i="4" s="1"/>
  <c r="U551" i="4"/>
  <c r="X551" i="4" s="1"/>
  <c r="U552" i="4"/>
  <c r="X552" i="4" s="1"/>
  <c r="U553" i="4"/>
  <c r="X553" i="4" s="1"/>
  <c r="U554" i="4"/>
  <c r="X554" i="4" s="1"/>
  <c r="U555" i="4"/>
  <c r="X555" i="4" s="1"/>
  <c r="U556" i="4"/>
  <c r="X556" i="4" s="1"/>
  <c r="U557" i="4"/>
  <c r="X557" i="4" s="1"/>
  <c r="U558" i="4"/>
  <c r="X558" i="4" s="1"/>
  <c r="U559" i="4"/>
  <c r="X559" i="4" s="1"/>
  <c r="U560" i="4"/>
  <c r="X560" i="4" s="1"/>
  <c r="U561" i="4"/>
  <c r="X561" i="4" s="1"/>
  <c r="U562" i="4"/>
  <c r="X562" i="4" s="1"/>
  <c r="U563" i="4"/>
  <c r="X563" i="4" s="1"/>
  <c r="U564" i="4"/>
  <c r="X564" i="4" s="1"/>
  <c r="U565" i="4"/>
  <c r="X565" i="4" s="1"/>
  <c r="U566" i="4"/>
  <c r="X566" i="4" s="1"/>
  <c r="U567" i="4"/>
  <c r="X567" i="4" s="1"/>
  <c r="U568" i="4"/>
  <c r="X568" i="4" s="1"/>
  <c r="U569" i="4"/>
  <c r="X569" i="4" s="1"/>
  <c r="U570" i="4"/>
  <c r="X570" i="4" s="1"/>
  <c r="U571" i="4"/>
  <c r="X571" i="4" s="1"/>
  <c r="U572" i="4"/>
  <c r="X572" i="4" s="1"/>
  <c r="U573" i="4"/>
  <c r="X573" i="4" s="1"/>
  <c r="U574" i="4"/>
  <c r="X574" i="4" s="1"/>
  <c r="U575" i="4"/>
  <c r="X575" i="4" s="1"/>
  <c r="U576" i="4"/>
  <c r="X576" i="4" s="1"/>
  <c r="U577" i="4"/>
  <c r="X577" i="4" s="1"/>
  <c r="U578" i="4"/>
  <c r="X578" i="4" s="1"/>
  <c r="U579" i="4"/>
  <c r="X579" i="4" s="1"/>
  <c r="U580" i="4"/>
  <c r="X580" i="4" s="1"/>
  <c r="U581" i="4"/>
  <c r="X581" i="4" s="1"/>
  <c r="U582" i="4"/>
  <c r="X582" i="4" s="1"/>
  <c r="U583" i="4"/>
  <c r="X583" i="4" s="1"/>
  <c r="U584" i="4"/>
  <c r="X584" i="4" s="1"/>
  <c r="U585" i="4"/>
  <c r="X585" i="4" s="1"/>
  <c r="U586" i="4"/>
  <c r="X586" i="4" s="1"/>
  <c r="U587" i="4"/>
  <c r="X587" i="4" s="1"/>
  <c r="U588" i="4"/>
  <c r="X588" i="4" s="1"/>
  <c r="U589" i="4"/>
  <c r="X589" i="4" s="1"/>
  <c r="U590" i="4"/>
  <c r="X590" i="4" s="1"/>
  <c r="U591" i="4"/>
  <c r="X591" i="4" s="1"/>
  <c r="U592" i="4"/>
  <c r="X592" i="4" s="1"/>
  <c r="U593" i="4"/>
  <c r="X593" i="4" s="1"/>
  <c r="U594" i="4"/>
  <c r="X594" i="4" s="1"/>
  <c r="U595" i="4"/>
  <c r="X595" i="4" s="1"/>
  <c r="U596" i="4"/>
  <c r="X596" i="4" s="1"/>
  <c r="U597" i="4"/>
  <c r="X597" i="4" s="1"/>
  <c r="U598" i="4"/>
  <c r="X598" i="4" s="1"/>
  <c r="U599" i="4"/>
  <c r="X599" i="4" s="1"/>
  <c r="U600" i="4"/>
  <c r="X600" i="4" s="1"/>
  <c r="U601" i="4"/>
  <c r="X601" i="4" s="1"/>
  <c r="U602" i="4"/>
  <c r="X602" i="4" s="1"/>
  <c r="U603" i="4"/>
  <c r="X603" i="4" s="1"/>
  <c r="U604" i="4"/>
  <c r="X604" i="4" s="1"/>
  <c r="U605" i="4"/>
  <c r="X605" i="4" s="1"/>
  <c r="U606" i="4"/>
  <c r="X606" i="4" s="1"/>
  <c r="U607" i="4"/>
  <c r="X607" i="4" s="1"/>
  <c r="U608" i="4"/>
  <c r="X608" i="4" s="1"/>
  <c r="U609" i="4"/>
  <c r="X609" i="4" s="1"/>
  <c r="U610" i="4"/>
  <c r="X610" i="4" s="1"/>
  <c r="U611" i="4"/>
  <c r="X611" i="4" s="1"/>
  <c r="U612" i="4"/>
  <c r="X612" i="4" s="1"/>
  <c r="U613" i="4"/>
  <c r="X613" i="4" s="1"/>
  <c r="U614" i="4"/>
  <c r="X614" i="4" s="1"/>
  <c r="U615" i="4"/>
  <c r="X615" i="4" s="1"/>
  <c r="U616" i="4"/>
  <c r="X616" i="4" s="1"/>
  <c r="U617" i="4"/>
  <c r="X617" i="4" s="1"/>
  <c r="U618" i="4"/>
  <c r="X618" i="4" s="1"/>
  <c r="U619" i="4"/>
  <c r="X619" i="4" s="1"/>
  <c r="U620" i="4"/>
  <c r="X620" i="4" s="1"/>
  <c r="U621" i="4"/>
  <c r="X621" i="4" s="1"/>
  <c r="U622" i="4"/>
  <c r="X622" i="4" s="1"/>
  <c r="U623" i="4"/>
  <c r="X623" i="4" s="1"/>
  <c r="U624" i="4"/>
  <c r="X624" i="4" s="1"/>
  <c r="U625" i="4"/>
  <c r="X625" i="4" s="1"/>
  <c r="U626" i="4"/>
  <c r="X626" i="4" s="1"/>
  <c r="U627" i="4"/>
  <c r="X627" i="4" s="1"/>
  <c r="U628" i="4"/>
  <c r="X628" i="4" s="1"/>
  <c r="U629" i="4"/>
  <c r="X629" i="4" s="1"/>
  <c r="U630" i="4"/>
  <c r="X630" i="4" s="1"/>
  <c r="U631" i="4"/>
  <c r="X631" i="4" s="1"/>
  <c r="U632" i="4"/>
  <c r="X632" i="4" s="1"/>
  <c r="U633" i="4"/>
  <c r="X633" i="4" s="1"/>
  <c r="U634" i="4"/>
  <c r="X634" i="4" s="1"/>
  <c r="U635" i="4"/>
  <c r="X635" i="4" s="1"/>
  <c r="U636" i="4"/>
  <c r="X636" i="4" s="1"/>
  <c r="U637" i="4"/>
  <c r="X637" i="4" s="1"/>
  <c r="U638" i="4"/>
  <c r="X638" i="4" s="1"/>
  <c r="T2" i="4"/>
  <c r="W2" i="4" s="1"/>
  <c r="T3" i="4"/>
  <c r="W3" i="4" s="1"/>
  <c r="T4" i="4"/>
  <c r="W4" i="4" s="1"/>
  <c r="T5" i="4"/>
  <c r="W5" i="4" s="1"/>
  <c r="T6" i="4"/>
  <c r="W6" i="4" s="1"/>
  <c r="T7" i="4"/>
  <c r="W7" i="4" s="1"/>
  <c r="T8" i="4"/>
  <c r="W8" i="4" s="1"/>
  <c r="T9" i="4"/>
  <c r="W9" i="4" s="1"/>
  <c r="T10" i="4"/>
  <c r="W10" i="4" s="1"/>
  <c r="T11" i="4"/>
  <c r="W11" i="4" s="1"/>
  <c r="T12" i="4"/>
  <c r="W12" i="4" s="1"/>
  <c r="T13" i="4"/>
  <c r="W13" i="4" s="1"/>
  <c r="T14" i="4"/>
  <c r="W14" i="4" s="1"/>
  <c r="T15" i="4"/>
  <c r="W15" i="4" s="1"/>
  <c r="T16" i="4"/>
  <c r="W16" i="4" s="1"/>
  <c r="T17" i="4"/>
  <c r="W17" i="4" s="1"/>
  <c r="T18" i="4"/>
  <c r="W18" i="4" s="1"/>
  <c r="T19" i="4"/>
  <c r="W19" i="4" s="1"/>
  <c r="T20" i="4"/>
  <c r="W20" i="4" s="1"/>
  <c r="T21" i="4"/>
  <c r="W21" i="4" s="1"/>
  <c r="T22" i="4"/>
  <c r="W22" i="4" s="1"/>
  <c r="T23" i="4"/>
  <c r="W23" i="4" s="1"/>
  <c r="T24" i="4"/>
  <c r="W24" i="4" s="1"/>
  <c r="T25" i="4"/>
  <c r="W25" i="4" s="1"/>
  <c r="T26" i="4"/>
  <c r="W26" i="4" s="1"/>
  <c r="T27" i="4"/>
  <c r="W27" i="4" s="1"/>
  <c r="T28" i="4"/>
  <c r="W28" i="4" s="1"/>
  <c r="T29" i="4"/>
  <c r="W29" i="4" s="1"/>
  <c r="T30" i="4"/>
  <c r="W30" i="4" s="1"/>
  <c r="T31" i="4"/>
  <c r="W31" i="4" s="1"/>
  <c r="T32" i="4"/>
  <c r="W32" i="4" s="1"/>
  <c r="T33" i="4"/>
  <c r="W33" i="4" s="1"/>
  <c r="T34" i="4"/>
  <c r="W34" i="4" s="1"/>
  <c r="T35" i="4"/>
  <c r="W35" i="4" s="1"/>
  <c r="T36" i="4"/>
  <c r="W36" i="4" s="1"/>
  <c r="T37" i="4"/>
  <c r="W37" i="4" s="1"/>
  <c r="T38" i="4"/>
  <c r="W38" i="4" s="1"/>
  <c r="T39" i="4"/>
  <c r="W39" i="4" s="1"/>
  <c r="T40" i="4"/>
  <c r="W40" i="4" s="1"/>
  <c r="T41" i="4"/>
  <c r="W41" i="4" s="1"/>
  <c r="T42" i="4"/>
  <c r="W42" i="4" s="1"/>
  <c r="T43" i="4"/>
  <c r="W43" i="4" s="1"/>
  <c r="T44" i="4"/>
  <c r="W44" i="4" s="1"/>
  <c r="T45" i="4"/>
  <c r="W45" i="4" s="1"/>
  <c r="T46" i="4"/>
  <c r="W46" i="4" s="1"/>
  <c r="T47" i="4"/>
  <c r="W47" i="4" s="1"/>
  <c r="T48" i="4"/>
  <c r="W48" i="4" s="1"/>
  <c r="T49" i="4"/>
  <c r="W49" i="4" s="1"/>
  <c r="T50" i="4"/>
  <c r="W50" i="4" s="1"/>
  <c r="T51" i="4"/>
  <c r="W51" i="4" s="1"/>
  <c r="T52" i="4"/>
  <c r="W52" i="4" s="1"/>
  <c r="T53" i="4"/>
  <c r="W53" i="4" s="1"/>
  <c r="T54" i="4"/>
  <c r="W54" i="4" s="1"/>
  <c r="T55" i="4"/>
  <c r="W55" i="4" s="1"/>
  <c r="T56" i="4"/>
  <c r="W56" i="4" s="1"/>
  <c r="T57" i="4"/>
  <c r="W57" i="4" s="1"/>
  <c r="T58" i="4"/>
  <c r="W58" i="4" s="1"/>
  <c r="T59" i="4"/>
  <c r="W59" i="4" s="1"/>
  <c r="T60" i="4"/>
  <c r="W60" i="4" s="1"/>
  <c r="T61" i="4"/>
  <c r="W61" i="4" s="1"/>
  <c r="T62" i="4"/>
  <c r="W62" i="4" s="1"/>
  <c r="T63" i="4"/>
  <c r="W63" i="4" s="1"/>
  <c r="T64" i="4"/>
  <c r="W64" i="4" s="1"/>
  <c r="T65" i="4"/>
  <c r="W65" i="4" s="1"/>
  <c r="T66" i="4"/>
  <c r="W66" i="4" s="1"/>
  <c r="T67" i="4"/>
  <c r="W67" i="4" s="1"/>
  <c r="T68" i="4"/>
  <c r="W68" i="4" s="1"/>
  <c r="T69" i="4"/>
  <c r="W69" i="4" s="1"/>
  <c r="T70" i="4"/>
  <c r="W70" i="4" s="1"/>
  <c r="T71" i="4"/>
  <c r="W71" i="4" s="1"/>
  <c r="T72" i="4"/>
  <c r="W72" i="4" s="1"/>
  <c r="T73" i="4"/>
  <c r="W73" i="4" s="1"/>
  <c r="T74" i="4"/>
  <c r="W74" i="4" s="1"/>
  <c r="T75" i="4"/>
  <c r="W75" i="4" s="1"/>
  <c r="T76" i="4"/>
  <c r="W76" i="4" s="1"/>
  <c r="T77" i="4"/>
  <c r="W77" i="4" s="1"/>
  <c r="T78" i="4"/>
  <c r="W78" i="4" s="1"/>
  <c r="T79" i="4"/>
  <c r="W79" i="4" s="1"/>
  <c r="T80" i="4"/>
  <c r="W80" i="4" s="1"/>
  <c r="T81" i="4"/>
  <c r="W81" i="4" s="1"/>
  <c r="T82" i="4"/>
  <c r="W82" i="4" s="1"/>
  <c r="T83" i="4"/>
  <c r="W83" i="4" s="1"/>
  <c r="T84" i="4"/>
  <c r="W84" i="4" s="1"/>
  <c r="T85" i="4"/>
  <c r="W85" i="4" s="1"/>
  <c r="T86" i="4"/>
  <c r="W86" i="4" s="1"/>
  <c r="T87" i="4"/>
  <c r="W87" i="4" s="1"/>
  <c r="T88" i="4"/>
  <c r="W88" i="4" s="1"/>
  <c r="T89" i="4"/>
  <c r="W89" i="4" s="1"/>
  <c r="T90" i="4"/>
  <c r="W90" i="4" s="1"/>
  <c r="T91" i="4"/>
  <c r="W91" i="4" s="1"/>
  <c r="T92" i="4"/>
  <c r="W92" i="4" s="1"/>
  <c r="T93" i="4"/>
  <c r="W93" i="4" s="1"/>
  <c r="T94" i="4"/>
  <c r="W94" i="4" s="1"/>
  <c r="T95" i="4"/>
  <c r="W95" i="4" s="1"/>
  <c r="T96" i="4"/>
  <c r="W96" i="4" s="1"/>
  <c r="T97" i="4"/>
  <c r="W97" i="4" s="1"/>
  <c r="T98" i="4"/>
  <c r="W98" i="4" s="1"/>
  <c r="T99" i="4"/>
  <c r="W99" i="4" s="1"/>
  <c r="T100" i="4"/>
  <c r="W100" i="4" s="1"/>
  <c r="T101" i="4"/>
  <c r="W101" i="4" s="1"/>
  <c r="T102" i="4"/>
  <c r="W102" i="4" s="1"/>
  <c r="T103" i="4"/>
  <c r="W103" i="4" s="1"/>
  <c r="T104" i="4"/>
  <c r="W104" i="4" s="1"/>
  <c r="T105" i="4"/>
  <c r="W105" i="4" s="1"/>
  <c r="T106" i="4"/>
  <c r="W106" i="4" s="1"/>
  <c r="T107" i="4"/>
  <c r="W107" i="4" s="1"/>
  <c r="T108" i="4"/>
  <c r="W108" i="4" s="1"/>
  <c r="T109" i="4"/>
  <c r="W109" i="4" s="1"/>
  <c r="T110" i="4"/>
  <c r="W110" i="4" s="1"/>
  <c r="T111" i="4"/>
  <c r="W111" i="4" s="1"/>
  <c r="T112" i="4"/>
  <c r="W112" i="4" s="1"/>
  <c r="T113" i="4"/>
  <c r="W113" i="4" s="1"/>
  <c r="T114" i="4"/>
  <c r="W114" i="4" s="1"/>
  <c r="T115" i="4"/>
  <c r="W115" i="4" s="1"/>
  <c r="T116" i="4"/>
  <c r="W116" i="4" s="1"/>
  <c r="T117" i="4"/>
  <c r="W117" i="4" s="1"/>
  <c r="T118" i="4"/>
  <c r="W118" i="4" s="1"/>
  <c r="T119" i="4"/>
  <c r="W119" i="4" s="1"/>
  <c r="T120" i="4"/>
  <c r="W120" i="4" s="1"/>
  <c r="T121" i="4"/>
  <c r="W121" i="4" s="1"/>
  <c r="T122" i="4"/>
  <c r="W122" i="4" s="1"/>
  <c r="T123" i="4"/>
  <c r="W123" i="4" s="1"/>
  <c r="T124" i="4"/>
  <c r="W124" i="4" s="1"/>
  <c r="T125" i="4"/>
  <c r="W125" i="4" s="1"/>
  <c r="T126" i="4"/>
  <c r="W126" i="4" s="1"/>
  <c r="T127" i="4"/>
  <c r="W127" i="4" s="1"/>
  <c r="T128" i="4"/>
  <c r="W128" i="4" s="1"/>
  <c r="T129" i="4"/>
  <c r="W129" i="4" s="1"/>
  <c r="T130" i="4"/>
  <c r="W130" i="4" s="1"/>
  <c r="T131" i="4"/>
  <c r="W131" i="4" s="1"/>
  <c r="T132" i="4"/>
  <c r="W132" i="4" s="1"/>
  <c r="T133" i="4"/>
  <c r="W133" i="4" s="1"/>
  <c r="T134" i="4"/>
  <c r="W134" i="4" s="1"/>
  <c r="T135" i="4"/>
  <c r="W135" i="4" s="1"/>
  <c r="T136" i="4"/>
  <c r="W136" i="4" s="1"/>
  <c r="T137" i="4"/>
  <c r="W137" i="4" s="1"/>
  <c r="T138" i="4"/>
  <c r="W138" i="4" s="1"/>
  <c r="T139" i="4"/>
  <c r="W139" i="4" s="1"/>
  <c r="T140" i="4"/>
  <c r="W140" i="4" s="1"/>
  <c r="T141" i="4"/>
  <c r="W141" i="4" s="1"/>
  <c r="T142" i="4"/>
  <c r="W142" i="4" s="1"/>
  <c r="T143" i="4"/>
  <c r="W143" i="4" s="1"/>
  <c r="T144" i="4"/>
  <c r="W144" i="4" s="1"/>
  <c r="T145" i="4"/>
  <c r="W145" i="4" s="1"/>
  <c r="T146" i="4"/>
  <c r="W146" i="4" s="1"/>
  <c r="T147" i="4"/>
  <c r="W147" i="4" s="1"/>
  <c r="T148" i="4"/>
  <c r="W148" i="4" s="1"/>
  <c r="T149" i="4"/>
  <c r="W149" i="4" s="1"/>
  <c r="T150" i="4"/>
  <c r="W150" i="4" s="1"/>
  <c r="T151" i="4"/>
  <c r="W151" i="4" s="1"/>
  <c r="T152" i="4"/>
  <c r="W152" i="4" s="1"/>
  <c r="T153" i="4"/>
  <c r="W153" i="4" s="1"/>
  <c r="T154" i="4"/>
  <c r="W154" i="4" s="1"/>
  <c r="T155" i="4"/>
  <c r="W155" i="4" s="1"/>
  <c r="T156" i="4"/>
  <c r="W156" i="4" s="1"/>
  <c r="T157" i="4"/>
  <c r="W157" i="4" s="1"/>
  <c r="T158" i="4"/>
  <c r="W158" i="4" s="1"/>
  <c r="T159" i="4"/>
  <c r="W159" i="4" s="1"/>
  <c r="T160" i="4"/>
  <c r="W160" i="4" s="1"/>
  <c r="T161" i="4"/>
  <c r="W161" i="4" s="1"/>
  <c r="T162" i="4"/>
  <c r="W162" i="4" s="1"/>
  <c r="T163" i="4"/>
  <c r="W163" i="4" s="1"/>
  <c r="T164" i="4"/>
  <c r="W164" i="4" s="1"/>
  <c r="T165" i="4"/>
  <c r="W165" i="4" s="1"/>
  <c r="T166" i="4"/>
  <c r="W166" i="4" s="1"/>
  <c r="T167" i="4"/>
  <c r="W167" i="4" s="1"/>
  <c r="T168" i="4"/>
  <c r="W168" i="4" s="1"/>
  <c r="T169" i="4"/>
  <c r="W169" i="4" s="1"/>
  <c r="T170" i="4"/>
  <c r="W170" i="4" s="1"/>
  <c r="T171" i="4"/>
  <c r="W171" i="4" s="1"/>
  <c r="T172" i="4"/>
  <c r="W172" i="4" s="1"/>
  <c r="T173" i="4"/>
  <c r="W173" i="4" s="1"/>
  <c r="T174" i="4"/>
  <c r="W174" i="4" s="1"/>
  <c r="T175" i="4"/>
  <c r="W175" i="4" s="1"/>
  <c r="T176" i="4"/>
  <c r="W176" i="4" s="1"/>
  <c r="T177" i="4"/>
  <c r="W177" i="4" s="1"/>
  <c r="T178" i="4"/>
  <c r="W178" i="4" s="1"/>
  <c r="T179" i="4"/>
  <c r="W179" i="4" s="1"/>
  <c r="T180" i="4"/>
  <c r="W180" i="4" s="1"/>
  <c r="T181" i="4"/>
  <c r="W181" i="4" s="1"/>
  <c r="T182" i="4"/>
  <c r="W182" i="4" s="1"/>
  <c r="T183" i="4"/>
  <c r="W183" i="4" s="1"/>
  <c r="T184" i="4"/>
  <c r="W184" i="4" s="1"/>
  <c r="T185" i="4"/>
  <c r="W185" i="4" s="1"/>
  <c r="T186" i="4"/>
  <c r="W186" i="4" s="1"/>
  <c r="T187" i="4"/>
  <c r="W187" i="4" s="1"/>
  <c r="T188" i="4"/>
  <c r="W188" i="4" s="1"/>
  <c r="T189" i="4"/>
  <c r="W189" i="4" s="1"/>
  <c r="T190" i="4"/>
  <c r="W190" i="4" s="1"/>
  <c r="T191" i="4"/>
  <c r="W191" i="4" s="1"/>
  <c r="T192" i="4"/>
  <c r="W192" i="4" s="1"/>
  <c r="T193" i="4"/>
  <c r="W193" i="4" s="1"/>
  <c r="T194" i="4"/>
  <c r="W194" i="4" s="1"/>
  <c r="T195" i="4"/>
  <c r="W195" i="4" s="1"/>
  <c r="T196" i="4"/>
  <c r="W196" i="4" s="1"/>
  <c r="T197" i="4"/>
  <c r="W197" i="4" s="1"/>
  <c r="T198" i="4"/>
  <c r="W198" i="4" s="1"/>
  <c r="T199" i="4"/>
  <c r="W199" i="4" s="1"/>
  <c r="T200" i="4"/>
  <c r="W200" i="4" s="1"/>
  <c r="T201" i="4"/>
  <c r="W201" i="4" s="1"/>
  <c r="T202" i="4"/>
  <c r="W202" i="4" s="1"/>
  <c r="T203" i="4"/>
  <c r="W203" i="4" s="1"/>
  <c r="T204" i="4"/>
  <c r="W204" i="4" s="1"/>
  <c r="T205" i="4"/>
  <c r="W205" i="4" s="1"/>
  <c r="T206" i="4"/>
  <c r="W206" i="4" s="1"/>
  <c r="T207" i="4"/>
  <c r="W207" i="4" s="1"/>
  <c r="T208" i="4"/>
  <c r="W208" i="4" s="1"/>
  <c r="T209" i="4"/>
  <c r="W209" i="4" s="1"/>
  <c r="T210" i="4"/>
  <c r="W210" i="4" s="1"/>
  <c r="T211" i="4"/>
  <c r="W211" i="4" s="1"/>
  <c r="T212" i="4"/>
  <c r="W212" i="4" s="1"/>
  <c r="T213" i="4"/>
  <c r="W213" i="4" s="1"/>
  <c r="T214" i="4"/>
  <c r="W214" i="4" s="1"/>
  <c r="T215" i="4"/>
  <c r="W215" i="4" s="1"/>
  <c r="T216" i="4"/>
  <c r="W216" i="4" s="1"/>
  <c r="T217" i="4"/>
  <c r="W217" i="4" s="1"/>
  <c r="T218" i="4"/>
  <c r="W218" i="4" s="1"/>
  <c r="T219" i="4"/>
  <c r="W219" i="4" s="1"/>
  <c r="T220" i="4"/>
  <c r="W220" i="4" s="1"/>
  <c r="T221" i="4"/>
  <c r="W221" i="4" s="1"/>
  <c r="T222" i="4"/>
  <c r="W222" i="4" s="1"/>
  <c r="T223" i="4"/>
  <c r="W223" i="4" s="1"/>
  <c r="T224" i="4"/>
  <c r="W224" i="4" s="1"/>
  <c r="T225" i="4"/>
  <c r="W225" i="4" s="1"/>
  <c r="T226" i="4"/>
  <c r="W226" i="4" s="1"/>
  <c r="T227" i="4"/>
  <c r="W227" i="4" s="1"/>
  <c r="T228" i="4"/>
  <c r="W228" i="4" s="1"/>
  <c r="T229" i="4"/>
  <c r="W229" i="4" s="1"/>
  <c r="T230" i="4"/>
  <c r="W230" i="4" s="1"/>
  <c r="T231" i="4"/>
  <c r="W231" i="4" s="1"/>
  <c r="T232" i="4"/>
  <c r="W232" i="4" s="1"/>
  <c r="T233" i="4"/>
  <c r="W233" i="4" s="1"/>
  <c r="T234" i="4"/>
  <c r="W234" i="4" s="1"/>
  <c r="T235" i="4"/>
  <c r="W235" i="4" s="1"/>
  <c r="T236" i="4"/>
  <c r="W236" i="4" s="1"/>
  <c r="T237" i="4"/>
  <c r="W237" i="4" s="1"/>
  <c r="T238" i="4"/>
  <c r="W238" i="4" s="1"/>
  <c r="T239" i="4"/>
  <c r="W239" i="4" s="1"/>
  <c r="T240" i="4"/>
  <c r="W240" i="4" s="1"/>
  <c r="T241" i="4"/>
  <c r="W241" i="4" s="1"/>
  <c r="T242" i="4"/>
  <c r="W242" i="4" s="1"/>
  <c r="T243" i="4"/>
  <c r="W243" i="4" s="1"/>
  <c r="T244" i="4"/>
  <c r="W244" i="4" s="1"/>
  <c r="T245" i="4"/>
  <c r="W245" i="4" s="1"/>
  <c r="T246" i="4"/>
  <c r="W246" i="4" s="1"/>
  <c r="T247" i="4"/>
  <c r="W247" i="4" s="1"/>
  <c r="T248" i="4"/>
  <c r="W248" i="4" s="1"/>
  <c r="T249" i="4"/>
  <c r="W249" i="4" s="1"/>
  <c r="T250" i="4"/>
  <c r="W250" i="4" s="1"/>
  <c r="T251" i="4"/>
  <c r="W251" i="4" s="1"/>
  <c r="T252" i="4"/>
  <c r="W252" i="4" s="1"/>
  <c r="T253" i="4"/>
  <c r="W253" i="4" s="1"/>
  <c r="T254" i="4"/>
  <c r="W254" i="4" s="1"/>
  <c r="T255" i="4"/>
  <c r="W255" i="4" s="1"/>
  <c r="T256" i="4"/>
  <c r="W256" i="4" s="1"/>
  <c r="T257" i="4"/>
  <c r="W257" i="4" s="1"/>
  <c r="T258" i="4"/>
  <c r="W258" i="4" s="1"/>
  <c r="T259" i="4"/>
  <c r="W259" i="4" s="1"/>
  <c r="T260" i="4"/>
  <c r="W260" i="4" s="1"/>
  <c r="T261" i="4"/>
  <c r="W261" i="4" s="1"/>
  <c r="T262" i="4"/>
  <c r="W262" i="4" s="1"/>
  <c r="T263" i="4"/>
  <c r="W263" i="4" s="1"/>
  <c r="T264" i="4"/>
  <c r="W264" i="4" s="1"/>
  <c r="T265" i="4"/>
  <c r="W265" i="4" s="1"/>
  <c r="T266" i="4"/>
  <c r="W266" i="4" s="1"/>
  <c r="T267" i="4"/>
  <c r="W267" i="4" s="1"/>
  <c r="T268" i="4"/>
  <c r="W268" i="4" s="1"/>
  <c r="T269" i="4"/>
  <c r="W269" i="4" s="1"/>
  <c r="T270" i="4"/>
  <c r="W270" i="4" s="1"/>
  <c r="T271" i="4"/>
  <c r="W271" i="4" s="1"/>
  <c r="T272" i="4"/>
  <c r="W272" i="4" s="1"/>
  <c r="T273" i="4"/>
  <c r="W273" i="4" s="1"/>
  <c r="T274" i="4"/>
  <c r="W274" i="4" s="1"/>
  <c r="T275" i="4"/>
  <c r="W275" i="4" s="1"/>
  <c r="T276" i="4"/>
  <c r="W276" i="4" s="1"/>
  <c r="T277" i="4"/>
  <c r="W277" i="4" s="1"/>
  <c r="T278" i="4"/>
  <c r="W278" i="4" s="1"/>
  <c r="T279" i="4"/>
  <c r="W279" i="4" s="1"/>
  <c r="T280" i="4"/>
  <c r="W280" i="4" s="1"/>
  <c r="T281" i="4"/>
  <c r="W281" i="4" s="1"/>
  <c r="T282" i="4"/>
  <c r="W282" i="4" s="1"/>
  <c r="T283" i="4"/>
  <c r="W283" i="4" s="1"/>
  <c r="T284" i="4"/>
  <c r="W284" i="4" s="1"/>
  <c r="T285" i="4"/>
  <c r="W285" i="4" s="1"/>
  <c r="T286" i="4"/>
  <c r="W286" i="4" s="1"/>
  <c r="T287" i="4"/>
  <c r="W287" i="4" s="1"/>
  <c r="T288" i="4"/>
  <c r="W288" i="4" s="1"/>
  <c r="T289" i="4"/>
  <c r="W289" i="4" s="1"/>
  <c r="T290" i="4"/>
  <c r="W290" i="4" s="1"/>
  <c r="T291" i="4"/>
  <c r="W291" i="4" s="1"/>
  <c r="T292" i="4"/>
  <c r="W292" i="4" s="1"/>
  <c r="T293" i="4"/>
  <c r="W293" i="4" s="1"/>
  <c r="T294" i="4"/>
  <c r="W294" i="4" s="1"/>
  <c r="T295" i="4"/>
  <c r="W295" i="4" s="1"/>
  <c r="T296" i="4"/>
  <c r="W296" i="4" s="1"/>
  <c r="T297" i="4"/>
  <c r="W297" i="4" s="1"/>
  <c r="T298" i="4"/>
  <c r="W298" i="4" s="1"/>
  <c r="T299" i="4"/>
  <c r="W299" i="4" s="1"/>
  <c r="T300" i="4"/>
  <c r="W300" i="4" s="1"/>
  <c r="T301" i="4"/>
  <c r="W301" i="4" s="1"/>
  <c r="T302" i="4"/>
  <c r="W302" i="4" s="1"/>
  <c r="T303" i="4"/>
  <c r="W303" i="4" s="1"/>
  <c r="T304" i="4"/>
  <c r="W304" i="4" s="1"/>
  <c r="T305" i="4"/>
  <c r="W305" i="4" s="1"/>
  <c r="T306" i="4"/>
  <c r="W306" i="4" s="1"/>
  <c r="T307" i="4"/>
  <c r="W307" i="4" s="1"/>
  <c r="T308" i="4"/>
  <c r="W308" i="4" s="1"/>
  <c r="T309" i="4"/>
  <c r="W309" i="4" s="1"/>
  <c r="T310" i="4"/>
  <c r="W310" i="4" s="1"/>
  <c r="T311" i="4"/>
  <c r="W311" i="4" s="1"/>
  <c r="T312" i="4"/>
  <c r="W312" i="4" s="1"/>
  <c r="T313" i="4"/>
  <c r="W313" i="4" s="1"/>
  <c r="T314" i="4"/>
  <c r="W314" i="4" s="1"/>
  <c r="T315" i="4"/>
  <c r="W315" i="4" s="1"/>
  <c r="T316" i="4"/>
  <c r="W316" i="4" s="1"/>
  <c r="T317" i="4"/>
  <c r="W317" i="4" s="1"/>
  <c r="T318" i="4"/>
  <c r="W318" i="4" s="1"/>
  <c r="T319" i="4"/>
  <c r="W319" i="4" s="1"/>
  <c r="T320" i="4"/>
  <c r="W320" i="4" s="1"/>
  <c r="T321" i="4"/>
  <c r="W321" i="4" s="1"/>
  <c r="T322" i="4"/>
  <c r="W322" i="4" s="1"/>
  <c r="T323" i="4"/>
  <c r="W323" i="4" s="1"/>
  <c r="T324" i="4"/>
  <c r="W324" i="4" s="1"/>
  <c r="T325" i="4"/>
  <c r="W325" i="4" s="1"/>
  <c r="T326" i="4"/>
  <c r="W326" i="4" s="1"/>
  <c r="T327" i="4"/>
  <c r="W327" i="4" s="1"/>
  <c r="T328" i="4"/>
  <c r="W328" i="4" s="1"/>
  <c r="T329" i="4"/>
  <c r="W329" i="4" s="1"/>
  <c r="T330" i="4"/>
  <c r="W330" i="4" s="1"/>
  <c r="T331" i="4"/>
  <c r="W331" i="4" s="1"/>
  <c r="T332" i="4"/>
  <c r="W332" i="4" s="1"/>
  <c r="T333" i="4"/>
  <c r="W333" i="4" s="1"/>
  <c r="T334" i="4"/>
  <c r="W334" i="4" s="1"/>
  <c r="T335" i="4"/>
  <c r="W335" i="4" s="1"/>
  <c r="T336" i="4"/>
  <c r="W336" i="4" s="1"/>
  <c r="T337" i="4"/>
  <c r="W337" i="4" s="1"/>
  <c r="T338" i="4"/>
  <c r="W338" i="4" s="1"/>
  <c r="T339" i="4"/>
  <c r="W339" i="4" s="1"/>
  <c r="T340" i="4"/>
  <c r="W340" i="4" s="1"/>
  <c r="T341" i="4"/>
  <c r="W341" i="4" s="1"/>
  <c r="T342" i="4"/>
  <c r="W342" i="4" s="1"/>
  <c r="T343" i="4"/>
  <c r="W343" i="4" s="1"/>
  <c r="T344" i="4"/>
  <c r="W344" i="4" s="1"/>
  <c r="T345" i="4"/>
  <c r="W345" i="4" s="1"/>
  <c r="T346" i="4"/>
  <c r="W346" i="4" s="1"/>
  <c r="T347" i="4"/>
  <c r="W347" i="4" s="1"/>
  <c r="T348" i="4"/>
  <c r="W348" i="4" s="1"/>
  <c r="T349" i="4"/>
  <c r="W349" i="4" s="1"/>
  <c r="T350" i="4"/>
  <c r="W350" i="4" s="1"/>
  <c r="T351" i="4"/>
  <c r="W351" i="4" s="1"/>
  <c r="T352" i="4"/>
  <c r="W352" i="4" s="1"/>
  <c r="T353" i="4"/>
  <c r="W353" i="4" s="1"/>
  <c r="T354" i="4"/>
  <c r="W354" i="4" s="1"/>
  <c r="T355" i="4"/>
  <c r="W355" i="4" s="1"/>
  <c r="T356" i="4"/>
  <c r="W356" i="4" s="1"/>
  <c r="T357" i="4"/>
  <c r="W357" i="4" s="1"/>
  <c r="T358" i="4"/>
  <c r="W358" i="4" s="1"/>
  <c r="T359" i="4"/>
  <c r="W359" i="4" s="1"/>
  <c r="T360" i="4"/>
  <c r="W360" i="4" s="1"/>
  <c r="T361" i="4"/>
  <c r="W361" i="4" s="1"/>
  <c r="T362" i="4"/>
  <c r="W362" i="4" s="1"/>
  <c r="T363" i="4"/>
  <c r="W363" i="4" s="1"/>
  <c r="T364" i="4"/>
  <c r="W364" i="4" s="1"/>
  <c r="T365" i="4"/>
  <c r="W365" i="4" s="1"/>
  <c r="T366" i="4"/>
  <c r="W366" i="4" s="1"/>
  <c r="T367" i="4"/>
  <c r="W367" i="4" s="1"/>
  <c r="T368" i="4"/>
  <c r="W368" i="4" s="1"/>
  <c r="T369" i="4"/>
  <c r="W369" i="4" s="1"/>
  <c r="T370" i="4"/>
  <c r="W370" i="4" s="1"/>
  <c r="T371" i="4"/>
  <c r="W371" i="4" s="1"/>
  <c r="T372" i="4"/>
  <c r="W372" i="4" s="1"/>
  <c r="T373" i="4"/>
  <c r="W373" i="4" s="1"/>
  <c r="T374" i="4"/>
  <c r="W374" i="4" s="1"/>
  <c r="T375" i="4"/>
  <c r="W375" i="4" s="1"/>
  <c r="T376" i="4"/>
  <c r="W376" i="4" s="1"/>
  <c r="T377" i="4"/>
  <c r="W377" i="4" s="1"/>
  <c r="T378" i="4"/>
  <c r="W378" i="4" s="1"/>
  <c r="T379" i="4"/>
  <c r="W379" i="4" s="1"/>
  <c r="T380" i="4"/>
  <c r="W380" i="4" s="1"/>
  <c r="T381" i="4"/>
  <c r="W381" i="4" s="1"/>
  <c r="T382" i="4"/>
  <c r="W382" i="4" s="1"/>
  <c r="T383" i="4"/>
  <c r="W383" i="4" s="1"/>
  <c r="T384" i="4"/>
  <c r="W384" i="4" s="1"/>
  <c r="T385" i="4"/>
  <c r="W385" i="4" s="1"/>
  <c r="T386" i="4"/>
  <c r="W386" i="4" s="1"/>
  <c r="T387" i="4"/>
  <c r="W387" i="4" s="1"/>
  <c r="T388" i="4"/>
  <c r="W388" i="4" s="1"/>
  <c r="T389" i="4"/>
  <c r="W389" i="4" s="1"/>
  <c r="T390" i="4"/>
  <c r="W390" i="4" s="1"/>
  <c r="T391" i="4"/>
  <c r="W391" i="4" s="1"/>
  <c r="T392" i="4"/>
  <c r="W392" i="4" s="1"/>
  <c r="T393" i="4"/>
  <c r="W393" i="4" s="1"/>
  <c r="T394" i="4"/>
  <c r="W394" i="4" s="1"/>
  <c r="T395" i="4"/>
  <c r="W395" i="4" s="1"/>
  <c r="T396" i="4"/>
  <c r="W396" i="4" s="1"/>
  <c r="T397" i="4"/>
  <c r="W397" i="4" s="1"/>
  <c r="T398" i="4"/>
  <c r="W398" i="4" s="1"/>
  <c r="T399" i="4"/>
  <c r="W399" i="4" s="1"/>
  <c r="T400" i="4"/>
  <c r="W400" i="4" s="1"/>
  <c r="T401" i="4"/>
  <c r="W401" i="4" s="1"/>
  <c r="T402" i="4"/>
  <c r="W402" i="4" s="1"/>
  <c r="T403" i="4"/>
  <c r="W403" i="4" s="1"/>
  <c r="T404" i="4"/>
  <c r="W404" i="4" s="1"/>
  <c r="T405" i="4"/>
  <c r="W405" i="4" s="1"/>
  <c r="T406" i="4"/>
  <c r="W406" i="4" s="1"/>
  <c r="T407" i="4"/>
  <c r="W407" i="4" s="1"/>
  <c r="T408" i="4"/>
  <c r="W408" i="4" s="1"/>
  <c r="T409" i="4"/>
  <c r="W409" i="4" s="1"/>
  <c r="T410" i="4"/>
  <c r="W410" i="4" s="1"/>
  <c r="T411" i="4"/>
  <c r="W411" i="4" s="1"/>
  <c r="T412" i="4"/>
  <c r="W412" i="4" s="1"/>
  <c r="T413" i="4"/>
  <c r="W413" i="4" s="1"/>
  <c r="T414" i="4"/>
  <c r="W414" i="4" s="1"/>
  <c r="T415" i="4"/>
  <c r="W415" i="4" s="1"/>
  <c r="T416" i="4"/>
  <c r="W416" i="4" s="1"/>
  <c r="T417" i="4"/>
  <c r="W417" i="4" s="1"/>
  <c r="T418" i="4"/>
  <c r="W418" i="4" s="1"/>
  <c r="T419" i="4"/>
  <c r="W419" i="4" s="1"/>
  <c r="T420" i="4"/>
  <c r="W420" i="4" s="1"/>
  <c r="T421" i="4"/>
  <c r="W421" i="4" s="1"/>
  <c r="T422" i="4"/>
  <c r="W422" i="4" s="1"/>
  <c r="T423" i="4"/>
  <c r="W423" i="4" s="1"/>
  <c r="T424" i="4"/>
  <c r="W424" i="4" s="1"/>
  <c r="T425" i="4"/>
  <c r="W425" i="4" s="1"/>
  <c r="T426" i="4"/>
  <c r="W426" i="4" s="1"/>
  <c r="T427" i="4"/>
  <c r="W427" i="4" s="1"/>
  <c r="T428" i="4"/>
  <c r="W428" i="4" s="1"/>
  <c r="T429" i="4"/>
  <c r="W429" i="4" s="1"/>
  <c r="T430" i="4"/>
  <c r="W430" i="4" s="1"/>
  <c r="T431" i="4"/>
  <c r="W431" i="4" s="1"/>
  <c r="T432" i="4"/>
  <c r="W432" i="4" s="1"/>
  <c r="T433" i="4"/>
  <c r="W433" i="4" s="1"/>
  <c r="T434" i="4"/>
  <c r="W434" i="4" s="1"/>
  <c r="T435" i="4"/>
  <c r="W435" i="4" s="1"/>
  <c r="T436" i="4"/>
  <c r="W436" i="4" s="1"/>
  <c r="T437" i="4"/>
  <c r="W437" i="4" s="1"/>
  <c r="T438" i="4"/>
  <c r="W438" i="4" s="1"/>
  <c r="T439" i="4"/>
  <c r="W439" i="4" s="1"/>
  <c r="T440" i="4"/>
  <c r="W440" i="4" s="1"/>
  <c r="T441" i="4"/>
  <c r="W441" i="4" s="1"/>
  <c r="T442" i="4"/>
  <c r="W442" i="4" s="1"/>
  <c r="T443" i="4"/>
  <c r="W443" i="4" s="1"/>
  <c r="T444" i="4"/>
  <c r="W444" i="4" s="1"/>
  <c r="T445" i="4"/>
  <c r="W445" i="4" s="1"/>
  <c r="T446" i="4"/>
  <c r="W446" i="4" s="1"/>
  <c r="T447" i="4"/>
  <c r="W447" i="4" s="1"/>
  <c r="T448" i="4"/>
  <c r="W448" i="4" s="1"/>
  <c r="T449" i="4"/>
  <c r="W449" i="4" s="1"/>
  <c r="T450" i="4"/>
  <c r="W450" i="4" s="1"/>
  <c r="T451" i="4"/>
  <c r="W451" i="4" s="1"/>
  <c r="T452" i="4"/>
  <c r="W452" i="4" s="1"/>
  <c r="T453" i="4"/>
  <c r="W453" i="4" s="1"/>
  <c r="T454" i="4"/>
  <c r="W454" i="4" s="1"/>
  <c r="T455" i="4"/>
  <c r="W455" i="4" s="1"/>
  <c r="T456" i="4"/>
  <c r="W456" i="4" s="1"/>
  <c r="T457" i="4"/>
  <c r="W457" i="4" s="1"/>
  <c r="T458" i="4"/>
  <c r="W458" i="4" s="1"/>
  <c r="T459" i="4"/>
  <c r="W459" i="4" s="1"/>
  <c r="T460" i="4"/>
  <c r="W460" i="4" s="1"/>
  <c r="T461" i="4"/>
  <c r="W461" i="4" s="1"/>
  <c r="T462" i="4"/>
  <c r="W462" i="4" s="1"/>
  <c r="T463" i="4"/>
  <c r="W463" i="4" s="1"/>
  <c r="T464" i="4"/>
  <c r="W464" i="4" s="1"/>
  <c r="T465" i="4"/>
  <c r="W465" i="4" s="1"/>
  <c r="T466" i="4"/>
  <c r="W466" i="4" s="1"/>
  <c r="T467" i="4"/>
  <c r="W467" i="4" s="1"/>
  <c r="T468" i="4"/>
  <c r="W468" i="4" s="1"/>
  <c r="T469" i="4"/>
  <c r="W469" i="4" s="1"/>
  <c r="T470" i="4"/>
  <c r="W470" i="4" s="1"/>
  <c r="T471" i="4"/>
  <c r="W471" i="4" s="1"/>
  <c r="T472" i="4"/>
  <c r="W472" i="4" s="1"/>
  <c r="T473" i="4"/>
  <c r="W473" i="4" s="1"/>
  <c r="T474" i="4"/>
  <c r="W474" i="4" s="1"/>
  <c r="T475" i="4"/>
  <c r="W475" i="4" s="1"/>
  <c r="T476" i="4"/>
  <c r="W476" i="4" s="1"/>
  <c r="T477" i="4"/>
  <c r="W477" i="4" s="1"/>
  <c r="T478" i="4"/>
  <c r="W478" i="4" s="1"/>
  <c r="T479" i="4"/>
  <c r="W479" i="4" s="1"/>
  <c r="T480" i="4"/>
  <c r="W480" i="4" s="1"/>
  <c r="T481" i="4"/>
  <c r="W481" i="4" s="1"/>
  <c r="T482" i="4"/>
  <c r="W482" i="4" s="1"/>
  <c r="T483" i="4"/>
  <c r="W483" i="4" s="1"/>
  <c r="T484" i="4"/>
  <c r="W484" i="4" s="1"/>
  <c r="T485" i="4"/>
  <c r="W485" i="4" s="1"/>
  <c r="T486" i="4"/>
  <c r="W486" i="4" s="1"/>
  <c r="T487" i="4"/>
  <c r="W487" i="4" s="1"/>
  <c r="T488" i="4"/>
  <c r="W488" i="4" s="1"/>
  <c r="T489" i="4"/>
  <c r="W489" i="4" s="1"/>
  <c r="T490" i="4"/>
  <c r="W490" i="4" s="1"/>
  <c r="T491" i="4"/>
  <c r="W491" i="4" s="1"/>
  <c r="T492" i="4"/>
  <c r="W492" i="4" s="1"/>
  <c r="T493" i="4"/>
  <c r="W493" i="4" s="1"/>
  <c r="T494" i="4"/>
  <c r="W494" i="4" s="1"/>
  <c r="T495" i="4"/>
  <c r="W495" i="4" s="1"/>
  <c r="T496" i="4"/>
  <c r="W496" i="4" s="1"/>
  <c r="T497" i="4"/>
  <c r="W497" i="4" s="1"/>
  <c r="T498" i="4"/>
  <c r="W498" i="4" s="1"/>
  <c r="T499" i="4"/>
  <c r="W499" i="4" s="1"/>
  <c r="T500" i="4"/>
  <c r="W500" i="4" s="1"/>
  <c r="T501" i="4"/>
  <c r="W501" i="4" s="1"/>
  <c r="T502" i="4"/>
  <c r="W502" i="4" s="1"/>
  <c r="T503" i="4"/>
  <c r="W503" i="4" s="1"/>
  <c r="T504" i="4"/>
  <c r="W504" i="4" s="1"/>
  <c r="T505" i="4"/>
  <c r="W505" i="4" s="1"/>
  <c r="T506" i="4"/>
  <c r="W506" i="4" s="1"/>
  <c r="T507" i="4"/>
  <c r="W507" i="4" s="1"/>
  <c r="T508" i="4"/>
  <c r="W508" i="4" s="1"/>
  <c r="T509" i="4"/>
  <c r="W509" i="4" s="1"/>
  <c r="T510" i="4"/>
  <c r="W510" i="4" s="1"/>
  <c r="T511" i="4"/>
  <c r="W511" i="4" s="1"/>
  <c r="T512" i="4"/>
  <c r="W512" i="4" s="1"/>
  <c r="T513" i="4"/>
  <c r="W513" i="4" s="1"/>
  <c r="T514" i="4"/>
  <c r="W514" i="4" s="1"/>
  <c r="T515" i="4"/>
  <c r="W515" i="4" s="1"/>
  <c r="T516" i="4"/>
  <c r="W516" i="4" s="1"/>
  <c r="T517" i="4"/>
  <c r="W517" i="4" s="1"/>
  <c r="T518" i="4"/>
  <c r="W518" i="4" s="1"/>
  <c r="T519" i="4"/>
  <c r="W519" i="4" s="1"/>
  <c r="T520" i="4"/>
  <c r="W520" i="4" s="1"/>
  <c r="T521" i="4"/>
  <c r="W521" i="4" s="1"/>
  <c r="T522" i="4"/>
  <c r="W522" i="4" s="1"/>
  <c r="T523" i="4"/>
  <c r="W523" i="4" s="1"/>
  <c r="T524" i="4"/>
  <c r="W524" i="4" s="1"/>
  <c r="T525" i="4"/>
  <c r="W525" i="4" s="1"/>
  <c r="T526" i="4"/>
  <c r="W526" i="4" s="1"/>
  <c r="T527" i="4"/>
  <c r="W527" i="4" s="1"/>
  <c r="T528" i="4"/>
  <c r="W528" i="4" s="1"/>
  <c r="T529" i="4"/>
  <c r="W529" i="4" s="1"/>
  <c r="T530" i="4"/>
  <c r="W530" i="4" s="1"/>
  <c r="T531" i="4"/>
  <c r="W531" i="4" s="1"/>
  <c r="T532" i="4"/>
  <c r="W532" i="4" s="1"/>
  <c r="T533" i="4"/>
  <c r="W533" i="4" s="1"/>
  <c r="T534" i="4"/>
  <c r="W534" i="4" s="1"/>
  <c r="T535" i="4"/>
  <c r="W535" i="4" s="1"/>
  <c r="T536" i="4"/>
  <c r="W536" i="4" s="1"/>
  <c r="T537" i="4"/>
  <c r="W537" i="4" s="1"/>
  <c r="T538" i="4"/>
  <c r="W538" i="4" s="1"/>
  <c r="T539" i="4"/>
  <c r="W539" i="4" s="1"/>
  <c r="T540" i="4"/>
  <c r="W540" i="4" s="1"/>
  <c r="T541" i="4"/>
  <c r="W541" i="4" s="1"/>
  <c r="T542" i="4"/>
  <c r="W542" i="4" s="1"/>
  <c r="T543" i="4"/>
  <c r="W543" i="4" s="1"/>
  <c r="T544" i="4"/>
  <c r="W544" i="4" s="1"/>
  <c r="T545" i="4"/>
  <c r="W545" i="4" s="1"/>
  <c r="T546" i="4"/>
  <c r="W546" i="4" s="1"/>
  <c r="T547" i="4"/>
  <c r="W547" i="4" s="1"/>
  <c r="T548" i="4"/>
  <c r="W548" i="4" s="1"/>
  <c r="T549" i="4"/>
  <c r="W549" i="4" s="1"/>
  <c r="T550" i="4"/>
  <c r="W550" i="4" s="1"/>
  <c r="T551" i="4"/>
  <c r="W551" i="4" s="1"/>
  <c r="T552" i="4"/>
  <c r="W552" i="4" s="1"/>
  <c r="T553" i="4"/>
  <c r="W553" i="4" s="1"/>
  <c r="T554" i="4"/>
  <c r="W554" i="4" s="1"/>
  <c r="T555" i="4"/>
  <c r="W555" i="4" s="1"/>
  <c r="T556" i="4"/>
  <c r="W556" i="4" s="1"/>
  <c r="T557" i="4"/>
  <c r="W557" i="4" s="1"/>
  <c r="T558" i="4"/>
  <c r="W558" i="4" s="1"/>
  <c r="T559" i="4"/>
  <c r="W559" i="4" s="1"/>
  <c r="T560" i="4"/>
  <c r="W560" i="4" s="1"/>
  <c r="T561" i="4"/>
  <c r="W561" i="4" s="1"/>
  <c r="T562" i="4"/>
  <c r="W562" i="4" s="1"/>
  <c r="T563" i="4"/>
  <c r="W563" i="4" s="1"/>
  <c r="T564" i="4"/>
  <c r="W564" i="4" s="1"/>
  <c r="T565" i="4"/>
  <c r="W565" i="4" s="1"/>
  <c r="T566" i="4"/>
  <c r="W566" i="4" s="1"/>
  <c r="T567" i="4"/>
  <c r="W567" i="4" s="1"/>
  <c r="T568" i="4"/>
  <c r="W568" i="4" s="1"/>
  <c r="T569" i="4"/>
  <c r="W569" i="4" s="1"/>
  <c r="T570" i="4"/>
  <c r="W570" i="4" s="1"/>
  <c r="T571" i="4"/>
  <c r="W571" i="4" s="1"/>
  <c r="T572" i="4"/>
  <c r="W572" i="4" s="1"/>
  <c r="T573" i="4"/>
  <c r="W573" i="4" s="1"/>
  <c r="T574" i="4"/>
  <c r="W574" i="4" s="1"/>
  <c r="T575" i="4"/>
  <c r="W575" i="4" s="1"/>
  <c r="T576" i="4"/>
  <c r="W576" i="4" s="1"/>
  <c r="T577" i="4"/>
  <c r="W577" i="4" s="1"/>
  <c r="T578" i="4"/>
  <c r="W578" i="4" s="1"/>
  <c r="T579" i="4"/>
  <c r="W579" i="4" s="1"/>
  <c r="T580" i="4"/>
  <c r="W580" i="4" s="1"/>
  <c r="T581" i="4"/>
  <c r="W581" i="4" s="1"/>
  <c r="T582" i="4"/>
  <c r="W582" i="4" s="1"/>
  <c r="T583" i="4"/>
  <c r="W583" i="4" s="1"/>
  <c r="T584" i="4"/>
  <c r="W584" i="4" s="1"/>
  <c r="T585" i="4"/>
  <c r="W585" i="4" s="1"/>
  <c r="T586" i="4"/>
  <c r="W586" i="4" s="1"/>
  <c r="T587" i="4"/>
  <c r="W587" i="4" s="1"/>
  <c r="T588" i="4"/>
  <c r="W588" i="4" s="1"/>
  <c r="T589" i="4"/>
  <c r="W589" i="4" s="1"/>
  <c r="T590" i="4"/>
  <c r="W590" i="4" s="1"/>
  <c r="T591" i="4"/>
  <c r="W591" i="4" s="1"/>
  <c r="T592" i="4"/>
  <c r="W592" i="4" s="1"/>
  <c r="T593" i="4"/>
  <c r="W593" i="4" s="1"/>
  <c r="T594" i="4"/>
  <c r="W594" i="4" s="1"/>
  <c r="T595" i="4"/>
  <c r="W595" i="4" s="1"/>
  <c r="T596" i="4"/>
  <c r="W596" i="4" s="1"/>
  <c r="T597" i="4"/>
  <c r="W597" i="4" s="1"/>
  <c r="T598" i="4"/>
  <c r="W598" i="4" s="1"/>
  <c r="T599" i="4"/>
  <c r="W599" i="4" s="1"/>
  <c r="T600" i="4"/>
  <c r="W600" i="4" s="1"/>
  <c r="T601" i="4"/>
  <c r="W601" i="4" s="1"/>
  <c r="T602" i="4"/>
  <c r="W602" i="4" s="1"/>
  <c r="T603" i="4"/>
  <c r="W603" i="4" s="1"/>
  <c r="T604" i="4"/>
  <c r="W604" i="4" s="1"/>
  <c r="T605" i="4"/>
  <c r="W605" i="4" s="1"/>
  <c r="T606" i="4"/>
  <c r="W606" i="4" s="1"/>
  <c r="T607" i="4"/>
  <c r="W607" i="4" s="1"/>
  <c r="T608" i="4"/>
  <c r="W608" i="4" s="1"/>
  <c r="T609" i="4"/>
  <c r="W609" i="4" s="1"/>
  <c r="T610" i="4"/>
  <c r="W610" i="4" s="1"/>
  <c r="T611" i="4"/>
  <c r="W611" i="4" s="1"/>
  <c r="T612" i="4"/>
  <c r="W612" i="4" s="1"/>
  <c r="T613" i="4"/>
  <c r="W613" i="4" s="1"/>
  <c r="T614" i="4"/>
  <c r="W614" i="4" s="1"/>
  <c r="T615" i="4"/>
  <c r="W615" i="4" s="1"/>
  <c r="T616" i="4"/>
  <c r="W616" i="4" s="1"/>
  <c r="T617" i="4"/>
  <c r="W617" i="4" s="1"/>
  <c r="T618" i="4"/>
  <c r="W618" i="4" s="1"/>
  <c r="T619" i="4"/>
  <c r="W619" i="4" s="1"/>
  <c r="T620" i="4"/>
  <c r="W620" i="4" s="1"/>
  <c r="T621" i="4"/>
  <c r="W621" i="4" s="1"/>
  <c r="T622" i="4"/>
  <c r="W622" i="4" s="1"/>
  <c r="T623" i="4"/>
  <c r="W623" i="4" s="1"/>
  <c r="T624" i="4"/>
  <c r="W624" i="4" s="1"/>
  <c r="T625" i="4"/>
  <c r="W625" i="4" s="1"/>
  <c r="T626" i="4"/>
  <c r="W626" i="4" s="1"/>
  <c r="T627" i="4"/>
  <c r="W627" i="4" s="1"/>
  <c r="T628" i="4"/>
  <c r="W628" i="4" s="1"/>
  <c r="T629" i="4"/>
  <c r="W629" i="4" s="1"/>
  <c r="T630" i="4"/>
  <c r="W630" i="4" s="1"/>
  <c r="T631" i="4"/>
  <c r="W631" i="4" s="1"/>
  <c r="T632" i="4"/>
  <c r="W632" i="4" s="1"/>
  <c r="T633" i="4"/>
  <c r="W633" i="4" s="1"/>
  <c r="T634" i="4"/>
  <c r="W634" i="4" s="1"/>
  <c r="T635" i="4"/>
  <c r="W635" i="4" s="1"/>
  <c r="T636" i="4"/>
  <c r="W636" i="4" s="1"/>
  <c r="T637" i="4"/>
  <c r="W637" i="4" s="1"/>
  <c r="T638" i="4"/>
  <c r="W638" i="4" s="1"/>
  <c r="B50" i="8"/>
  <c r="D50" i="8" s="1"/>
  <c r="A29" i="8"/>
  <c r="B29" i="8" s="1"/>
  <c r="D29" i="8" s="1"/>
  <c r="Z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B38" i="8"/>
  <c r="D38" i="8" s="1"/>
  <c r="A152" i="3"/>
  <c r="A153" i="3"/>
  <c r="A154" i="3"/>
  <c r="A155" i="3"/>
  <c r="A138" i="4"/>
  <c r="B19" i="6"/>
  <c r="D19" i="6" s="1"/>
  <c r="B39" i="8"/>
  <c r="D39" i="8" s="1"/>
  <c r="G27" i="6"/>
  <c r="G26" i="6"/>
  <c r="B18" i="6"/>
  <c r="D18" i="6" s="1"/>
  <c r="B17" i="6"/>
  <c r="D17" i="6" s="1"/>
  <c r="A419" i="4"/>
  <c r="Q419" i="4"/>
  <c r="R419" i="4"/>
  <c r="A420" i="4"/>
  <c r="Q420" i="4"/>
  <c r="R420" i="4"/>
  <c r="A421" i="4"/>
  <c r="Q421" i="4"/>
  <c r="R421" i="4"/>
  <c r="A422" i="4"/>
  <c r="Q422" i="4"/>
  <c r="R422" i="4"/>
  <c r="A423" i="4"/>
  <c r="Q423" i="4"/>
  <c r="R423" i="4"/>
  <c r="A424" i="4"/>
  <c r="Q424" i="4"/>
  <c r="R424" i="4"/>
  <c r="B40" i="8"/>
  <c r="D40" i="8" s="1"/>
  <c r="B41" i="8"/>
  <c r="D41" i="8" s="1"/>
  <c r="B37" i="8"/>
  <c r="D37" i="8" s="1"/>
  <c r="A10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B36" i="8"/>
  <c r="D36" i="8" s="1"/>
  <c r="B30" i="8"/>
  <c r="D30" i="8" s="1"/>
  <c r="B31" i="8"/>
  <c r="D31" i="8" s="1"/>
  <c r="B32" i="8"/>
  <c r="D32" i="8" s="1"/>
  <c r="B33" i="8"/>
  <c r="D33" i="8" s="1"/>
  <c r="B34" i="8"/>
  <c r="D34" i="8" s="1"/>
  <c r="B35" i="8"/>
  <c r="D35" i="8" s="1"/>
  <c r="B28" i="8"/>
  <c r="D28" i="8" s="1"/>
  <c r="I15" i="8"/>
  <c r="A634" i="4"/>
  <c r="A635" i="4"/>
  <c r="A636" i="4"/>
  <c r="A637" i="4"/>
  <c r="A638" i="4"/>
  <c r="A633" i="4"/>
  <c r="A625" i="4"/>
  <c r="A626" i="4"/>
  <c r="A627" i="4"/>
  <c r="A628" i="4"/>
  <c r="A629" i="4"/>
  <c r="A630" i="4"/>
  <c r="A631" i="4"/>
  <c r="A632" i="4"/>
  <c r="A619" i="4"/>
  <c r="A620" i="4"/>
  <c r="A621" i="4"/>
  <c r="A622" i="4"/>
  <c r="A623" i="4"/>
  <c r="A624" i="4"/>
  <c r="A199" i="4"/>
  <c r="A200" i="4"/>
  <c r="A343" i="4"/>
  <c r="A344" i="4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A540" i="4"/>
  <c r="A541" i="4"/>
  <c r="A542" i="4"/>
  <c r="A543" i="4"/>
  <c r="A544" i="4"/>
  <c r="A545" i="4"/>
  <c r="A546" i="4"/>
  <c r="A547" i="4"/>
  <c r="A548" i="4"/>
  <c r="A529" i="4"/>
  <c r="A530" i="4"/>
  <c r="A531" i="4"/>
  <c r="A532" i="4"/>
  <c r="A533" i="4"/>
  <c r="A534" i="4"/>
  <c r="A535" i="4"/>
  <c r="A536" i="4"/>
  <c r="A537" i="4"/>
  <c r="A538" i="4"/>
  <c r="A539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493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28" i="4"/>
  <c r="A429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25" i="4"/>
  <c r="A426" i="4"/>
  <c r="A427" i="4"/>
  <c r="A308" i="4"/>
  <c r="A309" i="4"/>
  <c r="A310" i="4"/>
  <c r="A311" i="4"/>
  <c r="A312" i="4"/>
  <c r="A313" i="4"/>
  <c r="A299" i="4"/>
  <c r="A300" i="4"/>
  <c r="A301" i="4"/>
  <c r="A302" i="4"/>
  <c r="A303" i="4"/>
  <c r="A304" i="4"/>
  <c r="A305" i="4"/>
  <c r="A306" i="4"/>
  <c r="A293" i="4"/>
  <c r="A294" i="4"/>
  <c r="A295" i="4"/>
  <c r="A296" i="4"/>
  <c r="A297" i="4"/>
  <c r="A298" i="4"/>
  <c r="A307" i="4"/>
  <c r="A286" i="4"/>
  <c r="A287" i="4"/>
  <c r="A288" i="4"/>
  <c r="A289" i="4"/>
  <c r="A290" i="4"/>
  <c r="A291" i="4"/>
  <c r="A292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5" i="4"/>
  <c r="A346" i="4"/>
  <c r="A347" i="4"/>
  <c r="A348" i="4"/>
  <c r="A349" i="4"/>
  <c r="A350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351" i="4"/>
  <c r="A352" i="4"/>
  <c r="A353" i="4"/>
  <c r="A354" i="4"/>
  <c r="A198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194" i="4"/>
  <c r="A195" i="4"/>
  <c r="A196" i="4"/>
  <c r="A197" i="4"/>
  <c r="A257" i="4"/>
  <c r="A258" i="4"/>
  <c r="A259" i="4"/>
  <c r="A260" i="4"/>
  <c r="A261" i="4"/>
  <c r="A262" i="4"/>
  <c r="A263" i="4"/>
  <c r="A264" i="4"/>
  <c r="A265" i="4"/>
  <c r="A355" i="4"/>
  <c r="A356" i="4"/>
  <c r="A357" i="4"/>
  <c r="A358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36" i="4"/>
  <c r="A137" i="4"/>
  <c r="A139" i="4"/>
  <c r="A140" i="4"/>
  <c r="A141" i="4"/>
  <c r="A186" i="4"/>
  <c r="A187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88" i="4"/>
  <c r="A189" i="4"/>
  <c r="A190" i="4"/>
  <c r="A191" i="4"/>
  <c r="A192" i="4"/>
  <c r="A193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70" i="4"/>
  <c r="A71" i="4"/>
  <c r="A72" i="4"/>
  <c r="A73" i="4"/>
  <c r="A74" i="4"/>
  <c r="A75" i="4"/>
  <c r="A76" i="4"/>
  <c r="A77" i="4"/>
  <c r="A78" i="4"/>
  <c r="A79" i="4"/>
  <c r="A80" i="4"/>
  <c r="A8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56" i="4"/>
  <c r="A57" i="4"/>
  <c r="A58" i="4"/>
  <c r="A59" i="4"/>
  <c r="A60" i="4"/>
  <c r="A6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2" i="4"/>
  <c r="A3" i="4"/>
  <c r="A4" i="4"/>
  <c r="A5" i="4"/>
  <c r="A6" i="4"/>
  <c r="A7" i="4"/>
  <c r="A8" i="4"/>
  <c r="A9" i="4"/>
  <c r="A11" i="4"/>
  <c r="A12" i="4"/>
  <c r="A13" i="4"/>
  <c r="A14" i="4"/>
  <c r="A15" i="4"/>
  <c r="A16" i="4"/>
  <c r="A17" i="4"/>
  <c r="A18" i="4"/>
  <c r="A19" i="4"/>
  <c r="A20" i="4"/>
  <c r="A21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B42" i="8"/>
  <c r="D42" i="8" s="1"/>
  <c r="A595" i="4"/>
  <c r="A596" i="4"/>
  <c r="A597" i="4"/>
  <c r="A598" i="4"/>
  <c r="A599" i="4"/>
  <c r="A600" i="4"/>
  <c r="A601" i="4"/>
  <c r="A602" i="4"/>
  <c r="A603" i="4"/>
  <c r="A604" i="4"/>
  <c r="A605" i="4"/>
  <c r="B43" i="8"/>
  <c r="D43" i="8" s="1"/>
  <c r="A582" i="4"/>
  <c r="A583" i="4"/>
  <c r="A584" i="4"/>
  <c r="A585" i="4"/>
  <c r="A586" i="4"/>
  <c r="A581" i="4"/>
  <c r="A587" i="4"/>
  <c r="A588" i="4"/>
  <c r="A589" i="4"/>
  <c r="A590" i="4"/>
  <c r="A591" i="4"/>
  <c r="A592" i="4"/>
  <c r="A593" i="4"/>
  <c r="A594" i="4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B44" i="8"/>
  <c r="D44" i="8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62" i="4"/>
  <c r="A63" i="4"/>
  <c r="A64" i="4"/>
  <c r="A65" i="4"/>
  <c r="A66" i="4"/>
  <c r="A67" i="4"/>
  <c r="A68" i="4"/>
  <c r="A69" i="4"/>
  <c r="A486" i="4"/>
  <c r="A487" i="4"/>
  <c r="A488" i="4"/>
  <c r="A489" i="4"/>
  <c r="A490" i="4"/>
  <c r="A491" i="4"/>
  <c r="A492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2" i="3"/>
  <c r="A14" i="3"/>
  <c r="A7" i="3"/>
  <c r="A3" i="3"/>
  <c r="A4" i="3"/>
  <c r="A5" i="3"/>
  <c r="A6" i="3"/>
  <c r="A8" i="3"/>
  <c r="A9" i="3"/>
  <c r="A10" i="3"/>
  <c r="A11" i="3"/>
  <c r="A12" i="3"/>
  <c r="A13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B45" i="8"/>
  <c r="D45" i="8" s="1"/>
  <c r="B46" i="8"/>
  <c r="D46" i="8" s="1"/>
  <c r="B47" i="8"/>
  <c r="D47" i="8" s="1"/>
  <c r="B48" i="8"/>
  <c r="D48" i="8" s="1"/>
  <c r="B49" i="8"/>
  <c r="D49" i="8" s="1"/>
  <c r="I17" i="16" l="1"/>
  <c r="S64" i="4"/>
  <c r="S63" i="4"/>
  <c r="S585" i="4"/>
  <c r="S103" i="4"/>
  <c r="S422" i="4"/>
  <c r="S609" i="4"/>
  <c r="S573" i="4"/>
  <c r="S415" i="4"/>
  <c r="S247" i="4"/>
  <c r="S223" i="4"/>
  <c r="S207" i="4"/>
  <c r="S199" i="4"/>
  <c r="S191" i="4"/>
  <c r="S127" i="4"/>
  <c r="S95" i="4"/>
  <c r="S87" i="4"/>
  <c r="S55" i="4"/>
  <c r="S23" i="4"/>
  <c r="S8" i="4"/>
  <c r="S427" i="4"/>
  <c r="S237" i="4"/>
  <c r="S391" i="4"/>
  <c r="S343" i="4"/>
  <c r="I17" i="8"/>
  <c r="S375" i="4"/>
  <c r="S550" i="4"/>
  <c r="S244" i="4"/>
  <c r="S232" i="4"/>
  <c r="S138" i="4"/>
  <c r="S124" i="4"/>
  <c r="S106" i="4"/>
  <c r="S10" i="4"/>
  <c r="S421" i="4"/>
  <c r="S162" i="4"/>
  <c r="F34" i="11" a="1"/>
  <c r="F34" i="11" s="1"/>
  <c r="S344" i="4"/>
  <c r="S104" i="4"/>
  <c r="G28" i="6"/>
  <c r="F31" i="12" a="1"/>
  <c r="F31" i="12" s="1"/>
  <c r="S424" i="4"/>
  <c r="S420" i="4"/>
  <c r="S423" i="4"/>
  <c r="S419" i="4"/>
  <c r="H33" i="11" a="1"/>
  <c r="H33" i="11" s="1"/>
  <c r="S638" i="4"/>
  <c r="S637" i="4"/>
  <c r="S636" i="4"/>
  <c r="S635" i="4"/>
  <c r="S634" i="4"/>
  <c r="S632" i="4"/>
  <c r="S629" i="4"/>
  <c r="S628" i="4"/>
  <c r="S627" i="4"/>
  <c r="S626" i="4"/>
  <c r="S623" i="4"/>
  <c r="S621" i="4"/>
  <c r="S620" i="4"/>
  <c r="S619" i="4"/>
  <c r="S613" i="4"/>
  <c r="S612" i="4"/>
  <c r="S611" i="4"/>
  <c r="S610" i="4"/>
  <c r="S608" i="4"/>
  <c r="S606" i="4"/>
  <c r="S605" i="4"/>
  <c r="S604" i="4"/>
  <c r="S603" i="4"/>
  <c r="S602" i="4"/>
  <c r="S599" i="4"/>
  <c r="S597" i="4"/>
  <c r="S596" i="4"/>
  <c r="S595" i="4"/>
  <c r="S593" i="4"/>
  <c r="S591" i="4"/>
  <c r="S589" i="4"/>
  <c r="S588" i="4"/>
  <c r="S587" i="4"/>
  <c r="S586" i="4"/>
  <c r="S583" i="4"/>
  <c r="S582" i="4"/>
  <c r="S581" i="4"/>
  <c r="S580" i="4"/>
  <c r="S579" i="4"/>
  <c r="S578" i="4"/>
  <c r="S577" i="4"/>
  <c r="S575" i="4"/>
  <c r="S572" i="4"/>
  <c r="S571" i="4"/>
  <c r="S570" i="4"/>
  <c r="S568" i="4"/>
  <c r="S567" i="4"/>
  <c r="S566" i="4"/>
  <c r="S565" i="4"/>
  <c r="S564" i="4"/>
  <c r="S563" i="4"/>
  <c r="S562" i="4"/>
  <c r="S561" i="4"/>
  <c r="S558" i="4"/>
  <c r="S557" i="4"/>
  <c r="S556" i="4"/>
  <c r="S555" i="4"/>
  <c r="S554" i="4"/>
  <c r="S553" i="4"/>
  <c r="S551" i="4"/>
  <c r="S549" i="4"/>
  <c r="S548" i="4"/>
  <c r="S547" i="4"/>
  <c r="S546" i="4"/>
  <c r="S545" i="4"/>
  <c r="S544" i="4"/>
  <c r="S542" i="4"/>
  <c r="S541" i="4"/>
  <c r="S540" i="4"/>
  <c r="S539" i="4"/>
  <c r="S538" i="4"/>
  <c r="S537" i="4"/>
  <c r="S535" i="4"/>
  <c r="S534" i="4"/>
  <c r="S533" i="4"/>
  <c r="S532" i="4"/>
  <c r="S531" i="4"/>
  <c r="S530" i="4"/>
  <c r="S526" i="4"/>
  <c r="S525" i="4"/>
  <c r="S524" i="4"/>
  <c r="S523" i="4"/>
  <c r="S520" i="4"/>
  <c r="S518" i="4"/>
  <c r="S517" i="4"/>
  <c r="S516" i="4"/>
  <c r="S515" i="4"/>
  <c r="S514" i="4"/>
  <c r="S511" i="4"/>
  <c r="S510" i="4"/>
  <c r="S509" i="4"/>
  <c r="S508" i="4"/>
  <c r="S507" i="4"/>
  <c r="S506" i="4"/>
  <c r="S505" i="4"/>
  <c r="S503" i="4"/>
  <c r="S501" i="4"/>
  <c r="S500" i="4"/>
  <c r="S499" i="4"/>
  <c r="S498" i="4"/>
  <c r="S496" i="4"/>
  <c r="S495" i="4"/>
  <c r="S493" i="4"/>
  <c r="S492" i="4"/>
  <c r="S491" i="4"/>
  <c r="S490" i="4"/>
  <c r="S486" i="4"/>
  <c r="S485" i="4"/>
  <c r="S484" i="4"/>
  <c r="S483" i="4"/>
  <c r="S482" i="4"/>
  <c r="S480" i="4"/>
  <c r="S479" i="4"/>
  <c r="S478" i="4"/>
  <c r="S477" i="4"/>
  <c r="S476" i="4"/>
  <c r="S475" i="4"/>
  <c r="S474" i="4"/>
  <c r="S471" i="4"/>
  <c r="S470" i="4"/>
  <c r="S469" i="4"/>
  <c r="S468" i="4"/>
  <c r="S467" i="4"/>
  <c r="S466" i="4"/>
  <c r="S465" i="4"/>
  <c r="S462" i="4"/>
  <c r="S461" i="4"/>
  <c r="S460" i="4"/>
  <c r="S459" i="4"/>
  <c r="S457" i="4"/>
  <c r="S456" i="4"/>
  <c r="S455" i="4"/>
  <c r="S454" i="4"/>
  <c r="S453" i="4"/>
  <c r="S452" i="4"/>
  <c r="S451" i="4"/>
  <c r="S450" i="4"/>
  <c r="S446" i="4"/>
  <c r="S445" i="4"/>
  <c r="S444" i="4"/>
  <c r="S443" i="4"/>
  <c r="S442" i="4"/>
  <c r="S438" i="4"/>
  <c r="S437" i="4"/>
  <c r="S436" i="4"/>
  <c r="S435" i="4"/>
  <c r="S434" i="4"/>
  <c r="S431" i="4"/>
  <c r="S429" i="4"/>
  <c r="S428" i="4"/>
  <c r="S426" i="4"/>
  <c r="S425" i="4"/>
  <c r="S417" i="4"/>
  <c r="S416" i="4"/>
  <c r="S414" i="4"/>
  <c r="S413" i="4"/>
  <c r="S412" i="4"/>
  <c r="S411" i="4"/>
  <c r="S408" i="4"/>
  <c r="S407" i="4"/>
  <c r="S406" i="4"/>
  <c r="S405" i="4"/>
  <c r="S404" i="4"/>
  <c r="S401" i="4"/>
  <c r="S400" i="4"/>
  <c r="S399" i="4"/>
  <c r="S398" i="4"/>
  <c r="S397" i="4"/>
  <c r="S396" i="4"/>
  <c r="S395" i="4"/>
  <c r="S393" i="4"/>
  <c r="S390" i="4"/>
  <c r="S389" i="4"/>
  <c r="S388" i="4"/>
  <c r="S387" i="4"/>
  <c r="S385" i="4"/>
  <c r="S384" i="4"/>
  <c r="S383" i="4"/>
  <c r="S382" i="4"/>
  <c r="S381" i="4"/>
  <c r="S380" i="4"/>
  <c r="S378" i="4"/>
  <c r="S376" i="4"/>
  <c r="S374" i="4"/>
  <c r="S373" i="4"/>
  <c r="S372" i="4"/>
  <c r="S370" i="4"/>
  <c r="S369" i="4"/>
  <c r="S368" i="4"/>
  <c r="S367" i="4"/>
  <c r="S366" i="4"/>
  <c r="S365" i="4"/>
  <c r="S364" i="4"/>
  <c r="S362" i="4"/>
  <c r="S360" i="4"/>
  <c r="S359" i="4"/>
  <c r="S358" i="4"/>
  <c r="S357" i="4"/>
  <c r="S356" i="4"/>
  <c r="S352" i="4"/>
  <c r="S350" i="4"/>
  <c r="S349" i="4"/>
  <c r="S348" i="4"/>
  <c r="S346" i="4"/>
  <c r="S345" i="4"/>
  <c r="S342" i="4"/>
  <c r="S341" i="4"/>
  <c r="S340" i="4"/>
  <c r="S339" i="4"/>
  <c r="S336" i="4"/>
  <c r="S335" i="4"/>
  <c r="S334" i="4"/>
  <c r="S333" i="4"/>
  <c r="S332" i="4"/>
  <c r="S330" i="4"/>
  <c r="S329" i="4"/>
  <c r="S327" i="4"/>
  <c r="S326" i="4"/>
  <c r="S325" i="4"/>
  <c r="S324" i="4"/>
  <c r="S321" i="4"/>
  <c r="S320" i="4"/>
  <c r="S319" i="4"/>
  <c r="S318" i="4"/>
  <c r="S317" i="4"/>
  <c r="S316" i="4"/>
  <c r="S315" i="4"/>
  <c r="S313" i="4"/>
  <c r="S312" i="4"/>
  <c r="S311" i="4"/>
  <c r="S310" i="4"/>
  <c r="S309" i="4"/>
  <c r="S308" i="4"/>
  <c r="S307" i="4"/>
  <c r="S305" i="4"/>
  <c r="S304" i="4"/>
  <c r="S303" i="4"/>
  <c r="S302" i="4"/>
  <c r="S301" i="4"/>
  <c r="S300" i="4"/>
  <c r="S298" i="4"/>
  <c r="S296" i="4"/>
  <c r="S295" i="4"/>
  <c r="S294" i="4"/>
  <c r="S293" i="4"/>
  <c r="S292" i="4"/>
  <c r="S290" i="4"/>
  <c r="S289" i="4"/>
  <c r="S288" i="4"/>
  <c r="S287" i="4"/>
  <c r="S286" i="4"/>
  <c r="S285" i="4"/>
  <c r="S284" i="4"/>
  <c r="S283" i="4"/>
  <c r="S282" i="4"/>
  <c r="S280" i="4"/>
  <c r="S279" i="4"/>
  <c r="S278" i="4"/>
  <c r="S277" i="4"/>
  <c r="S276" i="4"/>
  <c r="S273" i="4"/>
  <c r="S272" i="4"/>
  <c r="S271" i="4"/>
  <c r="S270" i="4"/>
  <c r="S269" i="4"/>
  <c r="S268" i="4"/>
  <c r="S267" i="4"/>
  <c r="S264" i="4"/>
  <c r="S263" i="4"/>
  <c r="S262" i="4"/>
  <c r="S261" i="4"/>
  <c r="S260" i="4"/>
  <c r="S257" i="4"/>
  <c r="S256" i="4"/>
  <c r="S255" i="4"/>
  <c r="S254" i="4"/>
  <c r="S253" i="4"/>
  <c r="S252" i="4"/>
  <c r="S249" i="4"/>
  <c r="S248" i="4"/>
  <c r="S246" i="4"/>
  <c r="S245" i="4"/>
  <c r="S243" i="4"/>
  <c r="S240" i="4"/>
  <c r="S239" i="4"/>
  <c r="S238" i="4"/>
  <c r="S236" i="4"/>
  <c r="S234" i="4"/>
  <c r="S231" i="4"/>
  <c r="S230" i="4"/>
  <c r="S229" i="4"/>
  <c r="S228" i="4"/>
  <c r="S225" i="4"/>
  <c r="S224" i="4"/>
  <c r="S222" i="4"/>
  <c r="S221" i="4"/>
  <c r="S220" i="4"/>
  <c r="S218" i="4"/>
  <c r="S217" i="4"/>
  <c r="S216" i="4"/>
  <c r="S215" i="4"/>
  <c r="S214" i="4"/>
  <c r="S213" i="4"/>
  <c r="S212" i="4"/>
  <c r="S209" i="4"/>
  <c r="S208" i="4"/>
  <c r="S206" i="4"/>
  <c r="S205" i="4"/>
  <c r="S204" i="4"/>
  <c r="S203" i="4"/>
  <c r="S202" i="4"/>
  <c r="S201" i="4"/>
  <c r="S200" i="4"/>
  <c r="S198" i="4"/>
  <c r="S197" i="4"/>
  <c r="S196" i="4"/>
  <c r="S195" i="4"/>
  <c r="S193" i="4"/>
  <c r="S192" i="4"/>
  <c r="S190" i="4"/>
  <c r="S189" i="4"/>
  <c r="S188" i="4"/>
  <c r="S184" i="4"/>
  <c r="S183" i="4"/>
  <c r="S182" i="4"/>
  <c r="S181" i="4"/>
  <c r="S180" i="4"/>
  <c r="S178" i="4"/>
  <c r="S177" i="4"/>
  <c r="S176" i="4"/>
  <c r="S175" i="4"/>
  <c r="S174" i="4"/>
  <c r="S173" i="4"/>
  <c r="S172" i="4"/>
  <c r="S168" i="4"/>
  <c r="S167" i="4"/>
  <c r="S166" i="4"/>
  <c r="S165" i="4"/>
  <c r="S164" i="4"/>
  <c r="S160" i="4"/>
  <c r="S159" i="4"/>
  <c r="S158" i="4"/>
  <c r="S157" i="4"/>
  <c r="S156" i="4"/>
  <c r="S155" i="4"/>
  <c r="S154" i="4"/>
  <c r="S152" i="4"/>
  <c r="S151" i="4"/>
  <c r="S150" i="4"/>
  <c r="S149" i="4"/>
  <c r="S148" i="4"/>
  <c r="S145" i="4"/>
  <c r="S144" i="4"/>
  <c r="S143" i="4"/>
  <c r="S142" i="4"/>
  <c r="S141" i="4"/>
  <c r="S140" i="4"/>
  <c r="S139" i="4"/>
  <c r="S137" i="4"/>
  <c r="S136" i="4"/>
  <c r="S135" i="4"/>
  <c r="S134" i="4"/>
  <c r="S133" i="4"/>
  <c r="S132" i="4"/>
  <c r="S129" i="4"/>
  <c r="S128" i="4"/>
  <c r="S126" i="4"/>
  <c r="S125" i="4"/>
  <c r="S123" i="4"/>
  <c r="S121" i="4"/>
  <c r="S120" i="4"/>
  <c r="S119" i="4"/>
  <c r="S118" i="4"/>
  <c r="S117" i="4"/>
  <c r="S116" i="4"/>
  <c r="S114" i="4"/>
  <c r="S113" i="4"/>
  <c r="S112" i="4"/>
  <c r="S111" i="4"/>
  <c r="S110" i="4"/>
  <c r="S109" i="4"/>
  <c r="S108" i="4"/>
  <c r="S107" i="4"/>
  <c r="S105" i="4"/>
  <c r="S102" i="4"/>
  <c r="S101" i="4"/>
  <c r="S100" i="4"/>
  <c r="S96" i="4"/>
  <c r="S94" i="4"/>
  <c r="S93" i="4"/>
  <c r="S92" i="4"/>
  <c r="S90" i="4"/>
  <c r="S89" i="4"/>
  <c r="S88" i="4"/>
  <c r="S86" i="4"/>
  <c r="S85" i="4"/>
  <c r="S84" i="4"/>
  <c r="S83" i="4"/>
  <c r="S81" i="4"/>
  <c r="S79" i="4"/>
  <c r="S78" i="4"/>
  <c r="S77" i="4"/>
  <c r="S76" i="4"/>
  <c r="S73" i="4"/>
  <c r="S71" i="4"/>
  <c r="S70" i="4"/>
  <c r="S69" i="4"/>
  <c r="S68" i="4"/>
  <c r="S67" i="4"/>
  <c r="S66" i="4"/>
  <c r="S65" i="4"/>
  <c r="S62" i="4"/>
  <c r="S61" i="4"/>
  <c r="S60" i="4"/>
  <c r="S57" i="4"/>
  <c r="S56" i="4"/>
  <c r="S54" i="4"/>
  <c r="S53" i="4"/>
  <c r="S52" i="4"/>
  <c r="S49" i="4"/>
  <c r="S48" i="4"/>
  <c r="S47" i="4"/>
  <c r="S46" i="4"/>
  <c r="S45" i="4"/>
  <c r="S44" i="4"/>
  <c r="S43" i="4"/>
  <c r="S40" i="4"/>
  <c r="S39" i="4"/>
  <c r="S38" i="4"/>
  <c r="S37" i="4"/>
  <c r="S36" i="4"/>
  <c r="S35" i="4"/>
  <c r="S33" i="4"/>
  <c r="S32" i="4"/>
  <c r="S31" i="4"/>
  <c r="S30" i="4"/>
  <c r="S29" i="4"/>
  <c r="S28" i="4"/>
  <c r="S27" i="4"/>
  <c r="S25" i="4"/>
  <c r="S24" i="4"/>
  <c r="S22" i="4"/>
  <c r="S21" i="4"/>
  <c r="S20" i="4"/>
  <c r="S16" i="4"/>
  <c r="S15" i="4"/>
  <c r="S14" i="4"/>
  <c r="S13" i="4"/>
  <c r="S12" i="4"/>
  <c r="S9" i="4"/>
  <c r="S7" i="4"/>
  <c r="S6" i="4"/>
  <c r="S5" i="4"/>
  <c r="S4" i="4"/>
  <c r="S3" i="4"/>
  <c r="S58" i="4"/>
  <c r="S50" i="4"/>
  <c r="S42" i="4"/>
  <c r="S34" i="4"/>
  <c r="S26" i="4"/>
  <c r="S18" i="4"/>
  <c r="S2" i="4"/>
  <c r="S633" i="4"/>
  <c r="S625" i="4"/>
  <c r="S617" i="4"/>
  <c r="S601" i="4"/>
  <c r="S569" i="4"/>
  <c r="S529" i="4"/>
  <c r="S521" i="4"/>
  <c r="S513" i="4"/>
  <c r="S497" i="4"/>
  <c r="S489" i="4"/>
  <c r="S481" i="4"/>
  <c r="S473" i="4"/>
  <c r="S449" i="4"/>
  <c r="S441" i="4"/>
  <c r="S433" i="4"/>
  <c r="S403" i="4"/>
  <c r="S379" i="4"/>
  <c r="S371" i="4"/>
  <c r="S363" i="4"/>
  <c r="S355" i="4"/>
  <c r="S347" i="4"/>
  <c r="S331" i="4"/>
  <c r="S323" i="4"/>
  <c r="S299" i="4"/>
  <c r="S291" i="4"/>
  <c r="S275" i="4"/>
  <c r="S259" i="4"/>
  <c r="S251" i="4"/>
  <c r="S235" i="4"/>
  <c r="S227" i="4"/>
  <c r="S219" i="4"/>
  <c r="S211" i="4"/>
  <c r="S187" i="4"/>
  <c r="S179" i="4"/>
  <c r="S171" i="4"/>
  <c r="S163" i="4"/>
  <c r="S147" i="4"/>
  <c r="S131" i="4"/>
  <c r="S115" i="4"/>
  <c r="S99" i="4"/>
  <c r="S91" i="4"/>
  <c r="S75" i="4"/>
  <c r="S59" i="4"/>
  <c r="S51" i="4"/>
  <c r="S19" i="4"/>
  <c r="S11" i="4"/>
  <c r="S97" i="4"/>
  <c r="S41" i="4"/>
  <c r="S17" i="4"/>
  <c r="S594" i="4"/>
  <c r="S522" i="4"/>
  <c r="S458" i="4"/>
  <c r="S630" i="4"/>
  <c r="S622" i="4"/>
  <c r="S614" i="4"/>
  <c r="S598" i="4"/>
  <c r="S590" i="4"/>
  <c r="S574" i="4"/>
  <c r="S502" i="4"/>
  <c r="S494" i="4"/>
  <c r="S430" i="4"/>
  <c r="S392" i="4"/>
  <c r="S328" i="4"/>
  <c r="S80" i="4"/>
  <c r="S72" i="4"/>
  <c r="S600" i="4"/>
  <c r="S584" i="4"/>
  <c r="S560" i="4"/>
  <c r="S536" i="4"/>
  <c r="S512" i="4"/>
  <c r="S410" i="4"/>
  <c r="S616" i="4"/>
  <c r="S592" i="4"/>
  <c r="S576" i="4"/>
  <c r="S552" i="4"/>
  <c r="S528" i="4"/>
  <c r="S504" i="4"/>
  <c r="S488" i="4"/>
  <c r="S472" i="4"/>
  <c r="S464" i="4"/>
  <c r="S448" i="4"/>
  <c r="S440" i="4"/>
  <c r="S432" i="4"/>
  <c r="S418" i="4"/>
  <c r="S402" i="4"/>
  <c r="S394" i="4"/>
  <c r="S386" i="4"/>
  <c r="S354" i="4"/>
  <c r="S338" i="4"/>
  <c r="S322" i="4"/>
  <c r="S314" i="4"/>
  <c r="S306" i="4"/>
  <c r="S274" i="4"/>
  <c r="S266" i="4"/>
  <c r="S258" i="4"/>
  <c r="S250" i="4"/>
  <c r="S242" i="4"/>
  <c r="S226" i="4"/>
  <c r="S210" i="4"/>
  <c r="S194" i="4"/>
  <c r="S186" i="4"/>
  <c r="S170" i="4"/>
  <c r="S146" i="4"/>
  <c r="S130" i="4"/>
  <c r="S122" i="4"/>
  <c r="S98" i="4"/>
  <c r="S82" i="4"/>
  <c r="S74" i="4"/>
  <c r="S618" i="4"/>
  <c r="S624" i="4"/>
  <c r="G33" i="12" a="1"/>
  <c r="G33" i="12" s="1"/>
  <c r="G23" i="12" a="1"/>
  <c r="G23" i="12" s="1"/>
  <c r="E25" i="12" a="1"/>
  <c r="E25" i="12" s="1"/>
  <c r="E31" i="12" a="1"/>
  <c r="E31" i="12" s="1"/>
  <c r="H16" i="12" a="1"/>
  <c r="H16" i="12" s="1"/>
  <c r="F30" i="12" a="1"/>
  <c r="F30" i="12" s="1"/>
  <c r="E16" i="12" a="1"/>
  <c r="E16" i="12" s="1"/>
  <c r="F17" i="12" a="1"/>
  <c r="F17" i="12" s="1"/>
  <c r="F25" i="12" a="1"/>
  <c r="F25" i="12" s="1"/>
  <c r="F33" i="12" a="1"/>
  <c r="F33" i="12" s="1"/>
  <c r="F16" i="12" a="1"/>
  <c r="F16" i="12" s="1"/>
  <c r="H30" i="12" a="1"/>
  <c r="H30" i="12" s="1"/>
  <c r="F23" i="12" a="1"/>
  <c r="F23" i="12" s="1"/>
  <c r="G25" i="12" a="1"/>
  <c r="G25" i="12" s="1"/>
  <c r="F19" i="12" a="1"/>
  <c r="F19" i="12" s="1"/>
  <c r="H22" i="12" a="1"/>
  <c r="H22" i="12" s="1"/>
  <c r="G20" i="12" a="1"/>
  <c r="G20" i="12" s="1"/>
  <c r="E15" i="12" a="1"/>
  <c r="E15" i="12" s="1"/>
  <c r="E33" i="12" a="1"/>
  <c r="E33" i="12" s="1"/>
  <c r="F14" i="12" a="1"/>
  <c r="F14" i="12" s="1"/>
  <c r="H27" i="12" a="1"/>
  <c r="H27" i="12" s="1"/>
  <c r="H32" i="12" a="1"/>
  <c r="H32" i="12" s="1"/>
  <c r="H20" i="12" a="1"/>
  <c r="H20" i="12" s="1"/>
  <c r="E19" i="12" a="1"/>
  <c r="E19" i="12" s="1"/>
  <c r="G19" i="12" a="1"/>
  <c r="G19" i="12" s="1"/>
  <c r="F20" i="12" a="1"/>
  <c r="F20" i="12" s="1"/>
  <c r="E18" i="12" a="1"/>
  <c r="E18" i="12" s="1"/>
  <c r="E17" i="12" a="1"/>
  <c r="E17" i="12" s="1"/>
  <c r="G12" i="12" a="1"/>
  <c r="G12" i="12" s="1"/>
  <c r="H12" i="12" a="1"/>
  <c r="H12" i="12" s="1"/>
  <c r="G13" i="12" a="1"/>
  <c r="G13" i="12" s="1"/>
  <c r="H14" i="12" a="1"/>
  <c r="H14" i="12" s="1"/>
  <c r="G26" i="12" a="1"/>
  <c r="G26" i="12" s="1"/>
  <c r="E26" i="12" a="1"/>
  <c r="E26" i="12" s="1"/>
  <c r="F22" i="12" a="1"/>
  <c r="F22" i="12" s="1"/>
  <c r="G33" i="11" a="1"/>
  <c r="G33" i="11" s="1"/>
  <c r="E34" i="11" a="1"/>
  <c r="E34" i="11" s="1"/>
  <c r="G34" i="11" a="1"/>
  <c r="G34" i="11" s="1"/>
  <c r="H34" i="11" a="1"/>
  <c r="H34" i="11" s="1"/>
  <c r="G32" i="11" a="1"/>
  <c r="G32" i="11" s="1"/>
  <c r="E33" i="11" a="1"/>
  <c r="E33" i="11" s="1"/>
  <c r="F32" i="11" a="1"/>
  <c r="F32" i="11" s="1"/>
  <c r="E32" i="11" a="1"/>
  <c r="E32" i="11" s="1"/>
  <c r="H32" i="11" a="1"/>
  <c r="H32" i="11" s="1"/>
  <c r="F33" i="11" a="1"/>
  <c r="F33" i="11" s="1"/>
  <c r="H18" i="12" a="1"/>
  <c r="H18" i="12" s="1"/>
  <c r="H23" i="12" a="1"/>
  <c r="H23" i="12" s="1"/>
  <c r="H29" i="12" a="1"/>
  <c r="H29" i="12" s="1"/>
  <c r="G32" i="12" a="1"/>
  <c r="G32" i="12" s="1"/>
  <c r="F5" i="12" a="1"/>
  <c r="F5" i="12" s="1"/>
  <c r="F13" i="12" a="1"/>
  <c r="F13" i="12" s="1"/>
  <c r="E30" i="12" a="1"/>
  <c r="E30" i="12" s="1"/>
  <c r="H26" i="12" a="1"/>
  <c r="H26" i="12" s="1"/>
  <c r="H31" i="12" a="1"/>
  <c r="H31" i="12" s="1"/>
  <c r="E5" i="12" a="1"/>
  <c r="E5" i="12" s="1"/>
  <c r="E20" i="12" a="1"/>
  <c r="E20" i="12" s="1"/>
  <c r="E21" i="12" a="1"/>
  <c r="E21" i="12" s="1"/>
  <c r="F12" i="12" a="1"/>
  <c r="F12" i="12" s="1"/>
  <c r="H11" i="12" a="1"/>
  <c r="H11" i="12" s="1"/>
  <c r="H24" i="12" a="1"/>
  <c r="H24" i="12" s="1"/>
  <c r="E11" i="12" a="1"/>
  <c r="E11" i="12" s="1"/>
  <c r="E28" i="12" a="1"/>
  <c r="E28" i="12" s="1"/>
  <c r="E29" i="12" a="1"/>
  <c r="E29" i="12" s="1"/>
  <c r="F29" i="12" a="1"/>
  <c r="F29" i="12" s="1"/>
  <c r="E12" i="12" a="1"/>
  <c r="E12" i="12" s="1"/>
  <c r="E23" i="12" a="1"/>
  <c r="E23" i="12" s="1"/>
  <c r="G11" i="12" a="1"/>
  <c r="G11" i="12" s="1"/>
  <c r="E27" i="12" a="1"/>
  <c r="E27" i="12" s="1"/>
  <c r="G28" i="12" a="1"/>
  <c r="G28" i="12" s="1"/>
  <c r="H17" i="12" a="1"/>
  <c r="H17" i="12" s="1"/>
  <c r="G30" i="12" a="1"/>
  <c r="G30" i="12" s="1"/>
  <c r="H15" i="12" a="1"/>
  <c r="H15" i="12" s="1"/>
  <c r="F26" i="12" a="1"/>
  <c r="F26" i="12" s="1"/>
  <c r="G29" i="12" a="1"/>
  <c r="G29" i="12" s="1"/>
  <c r="G22" i="12" a="1"/>
  <c r="G22" i="12" s="1"/>
  <c r="G24" i="12" a="1"/>
  <c r="G24" i="12" s="1"/>
  <c r="H25" i="12" a="1"/>
  <c r="H25" i="12" s="1"/>
  <c r="H13" i="12" a="1"/>
  <c r="H13" i="12" s="1"/>
  <c r="E24" i="12" a="1"/>
  <c r="E24" i="12" s="1"/>
  <c r="F27" i="12" a="1"/>
  <c r="F27" i="12" s="1"/>
  <c r="E32" i="12" a="1"/>
  <c r="E32" i="12" s="1"/>
  <c r="E14" i="12" a="1"/>
  <c r="E14" i="12" s="1"/>
  <c r="H33" i="12" a="1"/>
  <c r="H33" i="12" s="1"/>
  <c r="H21" i="12" a="1"/>
  <c r="H21" i="12" s="1"/>
  <c r="F28" i="12" a="1"/>
  <c r="F28" i="12" s="1"/>
  <c r="F21" i="12" a="1"/>
  <c r="F21" i="12" s="1"/>
  <c r="G16" i="12" a="1"/>
  <c r="G16" i="12" s="1"/>
  <c r="E22" i="12" a="1"/>
  <c r="E22" i="12" s="1"/>
  <c r="G15" i="12" a="1"/>
  <c r="G15" i="12" s="1"/>
  <c r="G17" i="12" a="1"/>
  <c r="G17" i="12" s="1"/>
  <c r="F24" i="12" a="1"/>
  <c r="F24" i="12" s="1"/>
  <c r="G14" i="12" a="1"/>
  <c r="G14" i="12" s="1"/>
  <c r="F18" i="12" a="1"/>
  <c r="F18" i="12" s="1"/>
  <c r="G27" i="12" a="1"/>
  <c r="G27" i="12" s="1"/>
  <c r="F15" i="12" a="1"/>
  <c r="F15" i="12" s="1"/>
  <c r="H28" i="12" a="1"/>
  <c r="H28" i="12" s="1"/>
  <c r="H19" i="12" a="1"/>
  <c r="H19" i="12" s="1"/>
  <c r="E13" i="12" a="1"/>
  <c r="E13" i="12" s="1"/>
  <c r="F11" i="12" a="1"/>
  <c r="F11" i="12" s="1"/>
  <c r="G21" i="12" a="1"/>
  <c r="G21" i="12" s="1"/>
  <c r="F32" i="12" a="1"/>
  <c r="F32" i="12" s="1"/>
  <c r="G18" i="12" a="1"/>
  <c r="G18" i="12" s="1"/>
  <c r="H5" i="12" a="1"/>
  <c r="H5" i="12" s="1"/>
  <c r="G31" i="12" a="1"/>
  <c r="G31" i="12" s="1"/>
  <c r="S631" i="4"/>
  <c r="S615" i="4"/>
  <c r="S607" i="4"/>
  <c r="S559" i="4"/>
  <c r="S543" i="4"/>
  <c r="S527" i="4"/>
  <c r="S519" i="4"/>
  <c r="S487" i="4"/>
  <c r="S463" i="4"/>
  <c r="S447" i="4"/>
  <c r="S439" i="4"/>
  <c r="S409" i="4"/>
  <c r="S377" i="4"/>
  <c r="S361" i="4"/>
  <c r="S353" i="4"/>
  <c r="S337" i="4"/>
  <c r="S297" i="4"/>
  <c r="S281" i="4"/>
  <c r="S265" i="4"/>
  <c r="S241" i="4"/>
  <c r="S233" i="4"/>
  <c r="S185" i="4"/>
  <c r="S169" i="4"/>
  <c r="S161" i="4"/>
  <c r="S153" i="4"/>
  <c r="S351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<sst xmlns="http://schemas.openxmlformats.org/spreadsheetml/2006/main" count="8429" uniqueCount="1663">
  <si>
    <t>Tipo</t>
  </si>
  <si>
    <t>Cenário</t>
  </si>
  <si>
    <t>Processo de Negócio</t>
  </si>
  <si>
    <t>Tipo OV</t>
  </si>
  <si>
    <t>Cenário de teste</t>
  </si>
  <si>
    <t>Usina</t>
  </si>
  <si>
    <t>Cliente</t>
  </si>
  <si>
    <t>Material</t>
  </si>
  <si>
    <t>OV Referência</t>
  </si>
  <si>
    <t>J1BTax</t>
  </si>
  <si>
    <t>CFOP</t>
  </si>
  <si>
    <t>OV no BEC</t>
  </si>
  <si>
    <t>Val. Fiscal</t>
  </si>
  <si>
    <t>Remessa</t>
  </si>
  <si>
    <t>Fatura</t>
  </si>
  <si>
    <t>NF - DocNum</t>
  </si>
  <si>
    <t>Val. Contabil</t>
  </si>
  <si>
    <t>Val. Tax SAP</t>
  </si>
  <si>
    <t>Val. Tax One</t>
  </si>
  <si>
    <t>Observação</t>
  </si>
  <si>
    <t>C_001</t>
  </si>
  <si>
    <t>Venda Etanol Hidratado D.E</t>
  </si>
  <si>
    <t>Y002</t>
  </si>
  <si>
    <t>Venda de etanol hidratado dentro do estado</t>
  </si>
  <si>
    <t>Tarefa</t>
  </si>
  <si>
    <t>YDEV</t>
  </si>
  <si>
    <t>Retorno da Venda de etanol hidratado dentro do estado</t>
  </si>
  <si>
    <t>YRET</t>
  </si>
  <si>
    <t>Recusa da venda de hidratado dentro do estado</t>
  </si>
  <si>
    <t>C_002</t>
  </si>
  <si>
    <t>Venda Etanol Hidratado F.E</t>
  </si>
  <si>
    <t>Venda de etanol hidratado fora do estado</t>
  </si>
  <si>
    <t>Retorno da Venda de etanol hidratado fora do estado</t>
  </si>
  <si>
    <t>Recusa da venda de hidratado fora do estado</t>
  </si>
  <si>
    <t>C_003</t>
  </si>
  <si>
    <t>Venda Etanol Anidro F.E - Distribuidora</t>
  </si>
  <si>
    <t>Venda de etanol Anidro fora do estado - Distribuidora</t>
  </si>
  <si>
    <t>Venda Etanol Anidro F.E</t>
  </si>
  <si>
    <t>Retorno da Venda de etanol Anidro fora do estado</t>
  </si>
  <si>
    <t>Recusa da venda de Anidro fora do estado</t>
  </si>
  <si>
    <t>C_004</t>
  </si>
  <si>
    <t>Venda Etanol Anidro D.E - Distribuidora</t>
  </si>
  <si>
    <t>Venda de etanol Anidro dentro do estado - Distribuidora</t>
  </si>
  <si>
    <t>C_005</t>
  </si>
  <si>
    <t>Venda Etanol Anidro F.E -  Comercializadora</t>
  </si>
  <si>
    <t>Venda de etanol Anidro fora do estado -  Comercializadora</t>
  </si>
  <si>
    <t>C_006</t>
  </si>
  <si>
    <t>Venda Etanol Anidro D.E - Comercializadora</t>
  </si>
  <si>
    <t>Venda de etanol Anidro dentro do estado - Comercializadora</t>
  </si>
  <si>
    <t>C_007</t>
  </si>
  <si>
    <t>Armazenagem de Terceiros (Logum)</t>
  </si>
  <si>
    <t>Y035</t>
  </si>
  <si>
    <t>Saída para armazenagem de etanol Hidratado na Logum</t>
  </si>
  <si>
    <t>Y235</t>
  </si>
  <si>
    <t>Recusa da saida de etanol Hidratado para armazenagem Logum1</t>
  </si>
  <si>
    <t>Retorno simbólico (Logum)</t>
  </si>
  <si>
    <t>YR35</t>
  </si>
  <si>
    <t>Retorno da saida de etanol Hidratado para armazenagem Logum</t>
  </si>
  <si>
    <t>C_008</t>
  </si>
  <si>
    <t>Venda depois do retorno simbólico (Logum)</t>
  </si>
  <si>
    <t>YAR1</t>
  </si>
  <si>
    <t>Venda depois do retorno simbólico de etanol Hidratado armazenado na Logum</t>
  </si>
  <si>
    <t>YRR3</t>
  </si>
  <si>
    <t>Recusa da venda depois do ret. simb. de etanol Hidratado armazenado na Logum</t>
  </si>
  <si>
    <t>YRR2</t>
  </si>
  <si>
    <t>Retorno da venda depois do ret. simb. de etanol Hidratado armazenado na Logum</t>
  </si>
  <si>
    <t>C_009</t>
  </si>
  <si>
    <t>Armazenagem de Terceiros (OPLA)</t>
  </si>
  <si>
    <t>Saída para armazenagem de etanol hidratado na OPLA</t>
  </si>
  <si>
    <t>Recusa da saida de etanol Hidratado para armazenagem OPLA</t>
  </si>
  <si>
    <t>Retorno da saida de etanol Hidratado para armazenagem OPLA</t>
  </si>
  <si>
    <t>C_010</t>
  </si>
  <si>
    <t>Venda antes do retorno simbólico (OPLA)</t>
  </si>
  <si>
    <t>YAR2</t>
  </si>
  <si>
    <t>Venda de etanol hidratado armazenado na OPLA</t>
  </si>
  <si>
    <t>YRR5</t>
  </si>
  <si>
    <t>Recusa da venda de etanol hidratado armazenado na OPLA</t>
  </si>
  <si>
    <t>YRR4</t>
  </si>
  <si>
    <t>Retorno da venda de etanol hidratado armazenado na OPLA</t>
  </si>
  <si>
    <t>C_011</t>
  </si>
  <si>
    <t>Venda doméstica Açúcar – espec. exportação</t>
  </si>
  <si>
    <t>Y036</t>
  </si>
  <si>
    <t>Venda de açucar VHP intercompany com fim específico de exportação</t>
  </si>
  <si>
    <t>Recusa da venda de açucar VHP intercompany com fim específico exportação</t>
  </si>
  <si>
    <t>Retorno da venda de açucar VHP intercompany com fim específico exportação</t>
  </si>
  <si>
    <t>C_012</t>
  </si>
  <si>
    <t>Venda exportação Formação de Lote - FCA</t>
  </si>
  <si>
    <t>Y006</t>
  </si>
  <si>
    <t>C_013</t>
  </si>
  <si>
    <t>Formação de Lote - açucar</t>
  </si>
  <si>
    <t>Cockpit</t>
  </si>
  <si>
    <t>C_014</t>
  </si>
  <si>
    <t>Retorno Formação de Lote - açucar</t>
  </si>
  <si>
    <t>C_015</t>
  </si>
  <si>
    <t>C_016</t>
  </si>
  <si>
    <t>Venda exportação EXW</t>
  </si>
  <si>
    <t>Y062</t>
  </si>
  <si>
    <t>C_017</t>
  </si>
  <si>
    <t>Venda doméstica Açúcar – SPOT</t>
  </si>
  <si>
    <t>Y0R1</t>
  </si>
  <si>
    <t>Venda de açucar VHP Especial PARCERIA SPOT</t>
  </si>
  <si>
    <t>Recusa da venda de açucar VHP Especial PARCERIA_SPOT</t>
  </si>
  <si>
    <t>Retorno da venda de açucar VHP Especial PARCERIA_SPOT</t>
  </si>
  <si>
    <t>C_018</t>
  </si>
  <si>
    <t>Venda doméstica Açúcar – CTR</t>
  </si>
  <si>
    <t>Y073</t>
  </si>
  <si>
    <t>Venda de açucar C1C para Femsa_CTR</t>
  </si>
  <si>
    <t>Recusa da venda de açucar C1C para Femsa_CTR</t>
  </si>
  <si>
    <t>Retorno da venda de açucar C1C para Femsa_CTR</t>
  </si>
  <si>
    <t>C_019</t>
  </si>
  <si>
    <t>Venda Etanol Anidro ZFM</t>
  </si>
  <si>
    <t>Venda de etanol Anidro Zona Franca de Manaus</t>
  </si>
  <si>
    <t>Retorno da Venda de etanol Anidro Zona Franca de Manaus</t>
  </si>
  <si>
    <t>Recusa da venda de Anidro Zona Franca de Manaus</t>
  </si>
  <si>
    <t>C_020</t>
  </si>
  <si>
    <t>VEF - Receita Antecipada</t>
  </si>
  <si>
    <t>YVFP </t>
  </si>
  <si>
    <t>Remessa VEF - Receita Antecipada</t>
  </si>
  <si>
    <t>YRFP</t>
  </si>
  <si>
    <t>YVRC</t>
  </si>
  <si>
    <t>Recusa da VEF - Etanol (YVRC)</t>
  </si>
  <si>
    <t>YVRE</t>
  </si>
  <si>
    <t>Retorno da VEF - Etanol (YVRE)</t>
  </si>
  <si>
    <t>C_021</t>
  </si>
  <si>
    <t>FA - Simples Faturamento</t>
  </si>
  <si>
    <t>Y003</t>
  </si>
  <si>
    <t>FA- Simples Faturamento</t>
  </si>
  <si>
    <t>Remessa da FA - Receita Remessa</t>
  </si>
  <si>
    <t>Y033</t>
  </si>
  <si>
    <t>Y3RC</t>
  </si>
  <si>
    <t>Recusa da FA - Etanol (Y3RC)</t>
  </si>
  <si>
    <t>Y3RE</t>
  </si>
  <si>
    <t>Retorno da FA - Etanol (Y3RE)</t>
  </si>
  <si>
    <t>C_022</t>
  </si>
  <si>
    <t>Venda Conta e Ordem</t>
  </si>
  <si>
    <t>Y032</t>
  </si>
  <si>
    <t>Remessa Conta e Ordem</t>
  </si>
  <si>
    <t>Y044</t>
  </si>
  <si>
    <t>YSRS</t>
  </si>
  <si>
    <t>Recusa da Conta e Ordem - Etanol (YSRS)</t>
  </si>
  <si>
    <t>YDSR</t>
  </si>
  <si>
    <t>Retorno da Conta e Ordem - Etanol (YDSR)</t>
  </si>
  <si>
    <t>C_023</t>
  </si>
  <si>
    <t>Venda a Ordem</t>
  </si>
  <si>
    <t>Y904</t>
  </si>
  <si>
    <t>Y90R</t>
  </si>
  <si>
    <t>Recusa da nota mãe - Venda a Ordem - Etanol (Y90R)</t>
  </si>
  <si>
    <t>Remessa Venda a Ordem</t>
  </si>
  <si>
    <t>Y903</t>
  </si>
  <si>
    <t>Y90C</t>
  </si>
  <si>
    <t>Recusa da nota filha - Venda a Ordem - Etanol (Y90C)</t>
  </si>
  <si>
    <t>Y90T</t>
  </si>
  <si>
    <t>Retorno da nota filha - Venda a Ordem - Etanol (Y90T)</t>
  </si>
  <si>
    <t>C_024</t>
  </si>
  <si>
    <t>Venda Subproduto Oleo Fusel</t>
  </si>
  <si>
    <t>Retorno da venda Subproduto Oleo Fusel</t>
  </si>
  <si>
    <t>Recusa da venda Subproduto Oleo Fusel</t>
  </si>
  <si>
    <t>C_025</t>
  </si>
  <si>
    <t>Venda Bagaço_ YBIO</t>
  </si>
  <si>
    <t>YBIO</t>
  </si>
  <si>
    <t>Retorno da venda Bagaço</t>
  </si>
  <si>
    <t>Recusa da venda Bagaço</t>
  </si>
  <si>
    <t>C_026</t>
  </si>
  <si>
    <t>Venda Energia Dentro Estado Consumo</t>
  </si>
  <si>
    <t>Anulação</t>
  </si>
  <si>
    <t>C_027</t>
  </si>
  <si>
    <t>Revenda Energia Fora Estado</t>
  </si>
  <si>
    <t>Y202</t>
  </si>
  <si>
    <t>C_028</t>
  </si>
  <si>
    <t>Venda Energia Fora Estado Consumo</t>
  </si>
  <si>
    <t>C_029</t>
  </si>
  <si>
    <t>Lastro Energia</t>
  </si>
  <si>
    <t>Y205</t>
  </si>
  <si>
    <t>C_030</t>
  </si>
  <si>
    <t>Venda Energia Biomassa</t>
  </si>
  <si>
    <t>C_033</t>
  </si>
  <si>
    <t>Complemento de débito</t>
  </si>
  <si>
    <t>Y014</t>
  </si>
  <si>
    <t>C_049</t>
  </si>
  <si>
    <t>Venda Intercompany (Depósito-ANP)</t>
  </si>
  <si>
    <t>Y045</t>
  </si>
  <si>
    <t>ME21N</t>
  </si>
  <si>
    <t>Y038</t>
  </si>
  <si>
    <t>YE13</t>
  </si>
  <si>
    <t>YR01</t>
  </si>
  <si>
    <t>YE14</t>
  </si>
  <si>
    <t>Coluna1</t>
  </si>
  <si>
    <t>C_031</t>
  </si>
  <si>
    <t>Venda Melaço</t>
  </si>
  <si>
    <t>Y007</t>
  </si>
  <si>
    <t>C_032</t>
  </si>
  <si>
    <t>Venda Agua Vapor</t>
  </si>
  <si>
    <t>C_034</t>
  </si>
  <si>
    <t>Transferencia Matriz/Filial</t>
  </si>
  <si>
    <t>PIMS</t>
  </si>
  <si>
    <t>Insumos</t>
  </si>
  <si>
    <t>C_035</t>
  </si>
  <si>
    <t>Diesel</t>
  </si>
  <si>
    <t>C_036</t>
  </si>
  <si>
    <t>Doação</t>
  </si>
  <si>
    <t>Y013</t>
  </si>
  <si>
    <t>C_037</t>
  </si>
  <si>
    <t>Doação com Movimentação</t>
  </si>
  <si>
    <t>Y103</t>
  </si>
  <si>
    <t>C_038</t>
  </si>
  <si>
    <t>Venda Ativo F.E</t>
  </si>
  <si>
    <t>Y005</t>
  </si>
  <si>
    <t>Recusa da venda de ativo F.E</t>
  </si>
  <si>
    <t>C_039</t>
  </si>
  <si>
    <t>Venda Sucata - Residuo</t>
  </si>
  <si>
    <t>YRE8</t>
  </si>
  <si>
    <t>Recusa da venda sucata</t>
  </si>
  <si>
    <t>YDE8</t>
  </si>
  <si>
    <t>Retorno da venda sucata</t>
  </si>
  <si>
    <t>C_040</t>
  </si>
  <si>
    <t xml:space="preserve">Venda de Serviços </t>
  </si>
  <si>
    <t>Y017</t>
  </si>
  <si>
    <t>C_041</t>
  </si>
  <si>
    <t>Peças.Aplicadas</t>
  </si>
  <si>
    <t>Y066</t>
  </si>
  <si>
    <t>C_042</t>
  </si>
  <si>
    <t>Remessa Conserto</t>
  </si>
  <si>
    <t>YSCO</t>
  </si>
  <si>
    <t>C_043</t>
  </si>
  <si>
    <t>YRCO</t>
  </si>
  <si>
    <t>C_044</t>
  </si>
  <si>
    <t>Repasse Óleo Diesel</t>
  </si>
  <si>
    <t>Y601</t>
  </si>
  <si>
    <t>C_045</t>
  </si>
  <si>
    <t>Venda Cana de Açucar</t>
  </si>
  <si>
    <t>Y602</t>
  </si>
  <si>
    <t>C_046</t>
  </si>
  <si>
    <t>Venda de Insumos</t>
  </si>
  <si>
    <t>Y603</t>
  </si>
  <si>
    <t>C_047</t>
  </si>
  <si>
    <t>Venda Combustivel Próprio</t>
  </si>
  <si>
    <t>Y604</t>
  </si>
  <si>
    <t>C_048</t>
  </si>
  <si>
    <t>Simples Remessa</t>
  </si>
  <si>
    <t>Y803</t>
  </si>
  <si>
    <t>Remessa Residuo</t>
  </si>
  <si>
    <t>C_050</t>
  </si>
  <si>
    <t>Inutilização</t>
  </si>
  <si>
    <t>Intercompany (inutilização)</t>
  </si>
  <si>
    <t>ID</t>
  </si>
  <si>
    <t>Liberado para Testes?</t>
  </si>
  <si>
    <t>Sequência</t>
  </si>
  <si>
    <t>Descrição</t>
  </si>
  <si>
    <t>Responsável</t>
  </si>
  <si>
    <t>BEC (Pedido/Docnum)</t>
  </si>
  <si>
    <t>Doc Ref BEP</t>
  </si>
  <si>
    <t>Conferência Elo</t>
  </si>
  <si>
    <t>Status</t>
  </si>
  <si>
    <t>Dt Inicial</t>
  </si>
  <si>
    <t>Tempo Previsto</t>
  </si>
  <si>
    <t>Dt Conclusão</t>
  </si>
  <si>
    <t>ID Tarefa Precedente</t>
  </si>
  <si>
    <t>Tarefas por Cenário</t>
  </si>
  <si>
    <t>Tarefas Concluídas</t>
  </si>
  <si>
    <t>Cenário Concluído</t>
  </si>
  <si>
    <t xml:space="preserve">Elo - Em correção </t>
  </si>
  <si>
    <t>Keyuser - Aguardando tarefa precedente</t>
  </si>
  <si>
    <t>Não liberado  para testes</t>
  </si>
  <si>
    <t>Em correção?</t>
  </si>
  <si>
    <t>Precedentes?</t>
  </si>
  <si>
    <t>Bloqueado?</t>
  </si>
  <si>
    <t>Dias em pendente Keyuser</t>
  </si>
  <si>
    <t>Impedindo processeguir?</t>
  </si>
  <si>
    <t>CT01 - CTe Vendas </t>
  </si>
  <si>
    <t>Gerar cenário e pedido</t>
  </si>
  <si>
    <t>Edson Oliveira</t>
  </si>
  <si>
    <t xml:space="preserve">Keyuser - Concluído </t>
  </si>
  <si>
    <t>Efetuar lançamento (escrituração fiscal)</t>
  </si>
  <si>
    <t>Configurar/Parametrizar IVAs</t>
  </si>
  <si>
    <t>Lívia Martins</t>
  </si>
  <si>
    <t>Keyuser - Pendente</t>
  </si>
  <si>
    <t>Validar ICMS</t>
  </si>
  <si>
    <t>Giovana Gonçalves</t>
  </si>
  <si>
    <t>Validar PIS/COFINS/IBS/CBS</t>
  </si>
  <si>
    <t>Talita Andrade</t>
  </si>
  <si>
    <t>Validar Retenções</t>
  </si>
  <si>
    <t>Raquel dos Santos</t>
  </si>
  <si>
    <t>Validação da contabilização</t>
  </si>
  <si>
    <t>Naiara Toledo</t>
  </si>
  <si>
    <t>Validação título financeiro</t>
  </si>
  <si>
    <t>Elisa Alves</t>
  </si>
  <si>
    <t>Realizar validação Obrigações Acessórias - TaxOne</t>
  </si>
  <si>
    <t>Sergio Souza / Giovana Gonçalves</t>
  </si>
  <si>
    <t>CT02 - CTe Compras - Débito Posterior</t>
  </si>
  <si>
    <t>TNV - Em correção</t>
  </si>
  <si>
    <t>Erro no item 2 - Tributação IBS incorreta</t>
  </si>
  <si>
    <t>CT05 - CTe  Writer</t>
  </si>
  <si>
    <t>Ajustes nas linhas de IBS/CBS</t>
  </si>
  <si>
    <t>CT09 - CTe Outros com folha</t>
  </si>
  <si>
    <t>Não se Aplica</t>
  </si>
  <si>
    <t>CT09B - CTe Outros sem folha</t>
  </si>
  <si>
    <t>CT10 - CTe Serviços 67</t>
  </si>
  <si>
    <t>Dump durante a execução: Time Out</t>
  </si>
  <si>
    <t>MD01 - Fatura Energia</t>
  </si>
  <si>
    <t>Configuração IBS/CBS na categoria do cenário</t>
  </si>
  <si>
    <t>MD03 - Nota de Débito</t>
  </si>
  <si>
    <t>Corrigir campo imposto estatístico</t>
  </si>
  <si>
    <t>MD04 - Telecomunicações</t>
  </si>
  <si>
    <t>MD06 - Locação</t>
  </si>
  <si>
    <t>MD08 - RPA</t>
  </si>
  <si>
    <t>NS01 - Serviços Diversos</t>
  </si>
  <si>
    <t>NS02 - Serviços DPO</t>
  </si>
  <si>
    <t>NS03 - Serviços - Folha de Serviço</t>
  </si>
  <si>
    <t>Josiane Florenço</t>
  </si>
  <si>
    <t>Kelly Ribeiro</t>
  </si>
  <si>
    <t>Livia Beserra</t>
  </si>
  <si>
    <t>Macos Nunes</t>
  </si>
  <si>
    <t>Caruline/Talita/Breno</t>
  </si>
  <si>
    <t xml:space="preserve">OUTBOUND </t>
  </si>
  <si>
    <t>Testes QTD</t>
  </si>
  <si>
    <t>Testes %</t>
  </si>
  <si>
    <t>Total Geral</t>
  </si>
  <si>
    <t>META DO DIA</t>
  </si>
  <si>
    <t>Expectativa para conclusão</t>
  </si>
  <si>
    <t>Dias uteis até conclusão</t>
  </si>
  <si>
    <t>Testes Pendentes</t>
  </si>
  <si>
    <t>Meta para o dia</t>
  </si>
  <si>
    <t>Contagem de ID</t>
  </si>
  <si>
    <t>TNV-CT02_12</t>
  </si>
  <si>
    <t>TNV-CT05_20</t>
  </si>
  <si>
    <t>TNV-CT10_48</t>
  </si>
  <si>
    <t>TNV-MD01_57</t>
  </si>
  <si>
    <t>Data</t>
  </si>
  <si>
    <t>Concluídos</t>
  </si>
  <si>
    <t>Méta Dia</t>
  </si>
  <si>
    <t>Saldo Dia</t>
  </si>
  <si>
    <t>TNV-MD03_66</t>
  </si>
  <si>
    <t>TNV-MD04_75</t>
  </si>
  <si>
    <t>TNV-MD06_84</t>
  </si>
  <si>
    <t>TNV-NS01_102</t>
  </si>
  <si>
    <t>TNV-NS02_111</t>
  </si>
  <si>
    <t>TNV-NS03_120</t>
  </si>
  <si>
    <t xml:space="preserve">LIBERADOS </t>
  </si>
  <si>
    <t>(vazio)</t>
  </si>
  <si>
    <t>(Tudo)</t>
  </si>
  <si>
    <t>TNV-CT01_4</t>
  </si>
  <si>
    <t>TNV-CT09_40</t>
  </si>
  <si>
    <t>TNV-CT01_9</t>
  </si>
  <si>
    <t>TNV-CT09_45</t>
  </si>
  <si>
    <t>TNV-CT01_8</t>
  </si>
  <si>
    <t>TNV-CT09_44</t>
  </si>
  <si>
    <t>TNV-CT01_5</t>
  </si>
  <si>
    <t>TNV-CT09_41</t>
  </si>
  <si>
    <t>TNV-CT01_10</t>
  </si>
  <si>
    <t>TNV-CT09_46</t>
  </si>
  <si>
    <t>TNV-CT01_6</t>
  </si>
  <si>
    <t>TNV-CT09_42</t>
  </si>
  <si>
    <t>TNV-CT01_7</t>
  </si>
  <si>
    <t>TNV-CT09_43</t>
  </si>
  <si>
    <t>COM PROBLEMAS</t>
  </si>
  <si>
    <t/>
  </si>
  <si>
    <t>TI bp - Em correção</t>
  </si>
  <si>
    <t>DOC BEC</t>
  </si>
  <si>
    <t>Sim</t>
  </si>
  <si>
    <t>Venda Etanol Hidratado D.E (Y002)</t>
  </si>
  <si>
    <t>Criar ordem de venda</t>
  </si>
  <si>
    <t>Vania Esteves</t>
  </si>
  <si>
    <t>15603600 </t>
  </si>
  <si>
    <t>BEP: 15572935</t>
  </si>
  <si>
    <t>OK</t>
  </si>
  <si>
    <t>Realizar validação tributária - Ordem de venda</t>
  </si>
  <si>
    <t>Liberar ordem de venda</t>
  </si>
  <si>
    <t>Patrick Vianna / Aline Russo</t>
  </si>
  <si>
    <t>Realizar faturamento</t>
  </si>
  <si>
    <t>Francisco Netto</t>
  </si>
  <si>
    <t>DocNum - 46482170</t>
  </si>
  <si>
    <t>Realizar validação tributária - SAP,  XML  e DANFE</t>
  </si>
  <si>
    <t>Realizar validação tributária - SAP (xml e DANFE)</t>
  </si>
  <si>
    <t>Realizar validação contábil</t>
  </si>
  <si>
    <t>Não</t>
  </si>
  <si>
    <t>Realizar validação Títulos Financeiros</t>
  </si>
  <si>
    <t>Venda Etanol Hidratado D.E (YDEV)</t>
  </si>
  <si>
    <t>Marcos Nunes</t>
  </si>
  <si>
    <t>Doc Num - 46482274</t>
  </si>
  <si>
    <t>Nota nr 149727</t>
  </si>
  <si>
    <t>Venda Etanol Hidratado D.E (YRET)</t>
  </si>
  <si>
    <t>DocNum - 46482290</t>
  </si>
  <si>
    <t>Nota nr 149732</t>
  </si>
  <si>
    <t>Venda Etanol Hidratado F.E (Y002)</t>
  </si>
  <si>
    <t>BEP: 15608806</t>
  </si>
  <si>
    <t>DocNum - 46482219</t>
  </si>
  <si>
    <t>Doc Num - 46482219</t>
  </si>
  <si>
    <t>Venda Etanol Hidratado F.E (YDEV)</t>
  </si>
  <si>
    <t>DocNum - 46482285</t>
  </si>
  <si>
    <t>Nota nr 18089</t>
  </si>
  <si>
    <t>Venda Etanol Hidratado F.E (YRET)</t>
  </si>
  <si>
    <t>DocNum - 46482293</t>
  </si>
  <si>
    <t>Nota nr 313</t>
  </si>
  <si>
    <t>Venda Etanol Anidro F.E - Distribuidora (Y002)</t>
  </si>
  <si>
    <t>BEP: 15581731</t>
  </si>
  <si>
    <t>DocNum - 46482197</t>
  </si>
  <si>
    <t>Venda Etanol Anidro F.E - Distribuidora (YDEV)</t>
  </si>
  <si>
    <t>DocNum - 46482286</t>
  </si>
  <si>
    <t>Nota nr 70463</t>
  </si>
  <si>
    <t>Venda Etanol Anidro F.E - Distribuidora (YRET)</t>
  </si>
  <si>
    <t>DocNum - 46482294</t>
  </si>
  <si>
    <t>Nota nr 681</t>
  </si>
  <si>
    <t>Venda Etanol Anidro D.E - Distribuidora (Y002)</t>
  </si>
  <si>
    <t>15603630 </t>
  </si>
  <si>
    <t>BEP: 15597290</t>
  </si>
  <si>
    <t>DocNum - 46482220</t>
  </si>
  <si>
    <t>Doc Num - 46482220</t>
  </si>
  <si>
    <t>Venda Etanol Anidro D.E - Distribuidora (YDEV)</t>
  </si>
  <si>
    <t>DocNum - 46482287</t>
  </si>
  <si>
    <t>Nota nr 367457</t>
  </si>
  <si>
    <t>Venda Etanol Anidro D.E - Distribuidora (YRET)</t>
  </si>
  <si>
    <t>DocNum - 46482295</t>
  </si>
  <si>
    <t>Nota nr 3458</t>
  </si>
  <si>
    <t>Venda Etanol Anidro F.E - Comercializadora (Y002)</t>
  </si>
  <si>
    <t>NT</t>
  </si>
  <si>
    <t>DocNum - 46482202</t>
  </si>
  <si>
    <t>Venda Etanol Anidro F.E - Comercializadora (YDEV)</t>
  </si>
  <si>
    <t>DocNum - 46482288</t>
  </si>
  <si>
    <t>Nota nr 214297</t>
  </si>
  <si>
    <t>Venda Etanol Anidro F.E - Comercializadora (YRET)</t>
  </si>
  <si>
    <t>DocNum - 46482296</t>
  </si>
  <si>
    <t>Nota nr 1564</t>
  </si>
  <si>
    <t>Venda Etanol Anidro D.E - Comercializadora (Y002)</t>
  </si>
  <si>
    <t>BEP: 15620560</t>
  </si>
  <si>
    <t>DocNum - 46482204</t>
  </si>
  <si>
    <t>Venda Etanol Anidro D.E - Comercializadora (YDEV)</t>
  </si>
  <si>
    <t>DocNum - 46482273</t>
  </si>
  <si>
    <t>Nota nr 155821</t>
  </si>
  <si>
    <t>Venda Etanol Anidro D.E - Comercializadora (YRET)</t>
  </si>
  <si>
    <t>DocNum - 46482289</t>
  </si>
  <si>
    <t>Nota nr 1627</t>
  </si>
  <si>
    <t>Armazenagem de Terceiros (Logum) (Y035)</t>
  </si>
  <si>
    <t>BEP: 15550186</t>
  </si>
  <si>
    <t>DocNum - 46482272</t>
  </si>
  <si>
    <t>Realizar validação tributária - SAP,  XML e DANFE</t>
  </si>
  <si>
    <t>Realizar validação do status e documentos (xml e DANFE)</t>
  </si>
  <si>
    <t>Armazenagem de Terceiros (Logum) (Y235) - Recusa</t>
  </si>
  <si>
    <t>DocNum -  46482722</t>
  </si>
  <si>
    <t>Nota nr 000214302</t>
  </si>
  <si>
    <t>Armazenagem de Terceiros (Logum) (YR35) - Retorno</t>
  </si>
  <si>
    <t>DocNum - 46482416</t>
  </si>
  <si>
    <t>Nota nr 000001569</t>
  </si>
  <si>
    <t>Venda depois do retorno simbólico (Logum) (YAR1)</t>
  </si>
  <si>
    <t>BEP: 15566193</t>
  </si>
  <si>
    <t>DocNum - 46482266</t>
  </si>
  <si>
    <t>Venda depois do retorno simbólico (Logum) (YRR3) - Recusa</t>
  </si>
  <si>
    <t>DocNum - 46482342</t>
  </si>
  <si>
    <t>Venda depois do retorno simbólico (Logum) (YRR2) - Retorno</t>
  </si>
  <si>
    <t>DocNum - 46482383</t>
  </si>
  <si>
    <t>Nota nr 1568</t>
  </si>
  <si>
    <t>Armazenagem de Terceiros (OPLA) (Y035)</t>
  </si>
  <si>
    <t>BEP: 15591100</t>
  </si>
  <si>
    <t>DocNum - 46482479</t>
  </si>
  <si>
    <t>15603639 </t>
  </si>
  <si>
    <t>Armazenagem de Terceiros (OPLA) (Y235) - Retorno</t>
  </si>
  <si>
    <t>DocNum - 46482608</t>
  </si>
  <si>
    <t>Nota nr 000149746</t>
  </si>
  <si>
    <t>Armazenagem de Terceiros (OPLA) (YR35) - Recusa</t>
  </si>
  <si>
    <t>DocNum - 46482774</t>
  </si>
  <si>
    <t>Nota nr 000149756</t>
  </si>
  <si>
    <t>Venda antes do retorno simbólico (OPLA) (YAR2)</t>
  </si>
  <si>
    <t>BEP: 15593813</t>
  </si>
  <si>
    <t>DocNum - 46482264</t>
  </si>
  <si>
    <t>Venda antes do retorno simbólico (OPLA) (YRR5) - Recusa</t>
  </si>
  <si>
    <t>DocNum - 46482343</t>
  </si>
  <si>
    <t>Venda antes do retorno simbólico (OPLA) (YRR4) - Retorno</t>
  </si>
  <si>
    <t>DocNum - 46482344</t>
  </si>
  <si>
    <t>Nota 149739</t>
  </si>
  <si>
    <t>Venda doméstica Açúcar – espec. exportação (Y036)</t>
  </si>
  <si>
    <t>Compra Intercompany</t>
  </si>
  <si>
    <t>Ordem de Venda Y036</t>
  </si>
  <si>
    <t>BEP: 15577293</t>
  </si>
  <si>
    <t>Validação Pedido Compras e OV</t>
  </si>
  <si>
    <t>Cadastrar tarifa de frete</t>
  </si>
  <si>
    <t>Criação do Agendamento no Carga Pontual</t>
  </si>
  <si>
    <t>Criação da remessa da OV</t>
  </si>
  <si>
    <t>Criação Documento de Transporte</t>
  </si>
  <si>
    <t>Geração da Ordem de Carregamento</t>
  </si>
  <si>
    <t>Execução do 3° botão da DT para integração da Pesagem SAP x PIMS/GATEC</t>
  </si>
  <si>
    <t>Pesagem Entrada</t>
  </si>
  <si>
    <t>Execução do 4° botão da DT para integração da Pesagem SAP x PIMS/GATEC</t>
  </si>
  <si>
    <t>Validação da atualização da quantidade d remessa ao executar o 4° botão do DT</t>
  </si>
  <si>
    <t>Faturamento</t>
  </si>
  <si>
    <t>DocNum - 46482377</t>
  </si>
  <si>
    <t>Validação fiscal da NF</t>
  </si>
  <si>
    <t>Validar custo de frete</t>
  </si>
  <si>
    <t>Monitor de Ciclo de Carregamento</t>
  </si>
  <si>
    <t>Entrada mercadoria</t>
  </si>
  <si>
    <t>MIGO - 5026020565</t>
  </si>
  <si>
    <t>Entrada fiscal</t>
  </si>
  <si>
    <t>Doc Num - 46482415</t>
  </si>
  <si>
    <t>Validação entrada do estoque</t>
  </si>
  <si>
    <t>Doc Entrada 5026020565</t>
  </si>
  <si>
    <t>Entrada feita no estoque do volume da NF no dep 2206 centro 2493</t>
  </si>
  <si>
    <t>Validação fiscal da entrada da NF</t>
  </si>
  <si>
    <t>Criaçao da Ordem de Venda para exportação tipo Y006</t>
  </si>
  <si>
    <t>Validação OV</t>
  </si>
  <si>
    <t>Criação da remessa da OV para exportação e realizar saida da mercadoria</t>
  </si>
  <si>
    <t>Inserir remessa com quatidade para sair no XML da NFe de exportação</t>
  </si>
  <si>
    <t>Realizar saida da mercadoria da remessa de exportação</t>
  </si>
  <si>
    <t>Faturamento da remessa</t>
  </si>
  <si>
    <t>Doc Num - 46482513</t>
  </si>
  <si>
    <t>Validar da baixa do estoque</t>
  </si>
  <si>
    <t>Validar emissão e baixar NFe no Triangulus</t>
  </si>
  <si>
    <t>Validação fiscal da NF de Venda de exportação</t>
  </si>
  <si>
    <t>Validação contábil processo de exportação</t>
  </si>
  <si>
    <t>Validação Fiscal</t>
  </si>
  <si>
    <t>Remessa Formação de Lote  (Cockpit)</t>
  </si>
  <si>
    <t>Gerar o cockpit</t>
  </si>
  <si>
    <t>DocNum - 46482205</t>
  </si>
  <si>
    <t>Retorno Formação de Lote  (Cockpit)</t>
  </si>
  <si>
    <t>DocNum - 46482498</t>
  </si>
  <si>
    <t>Venda exportação Formação de Lote - (Y006)</t>
  </si>
  <si>
    <t>BEP: 15613977</t>
  </si>
  <si>
    <t xml:space="preserve">Nova OV </t>
  </si>
  <si>
    <t>DocNum - 46482499</t>
  </si>
  <si>
    <t>Venda doméstica Açúcar – SPOT (YOR1)</t>
  </si>
  <si>
    <t>BEP:15578219</t>
  </si>
  <si>
    <t>DocNum - 46482187</t>
  </si>
  <si>
    <t>Venda doméstica Açúcar – CTR (YDEV)</t>
  </si>
  <si>
    <t>DocNum - 46482275</t>
  </si>
  <si>
    <t>Nota nr 149728</t>
  </si>
  <si>
    <t>Venda doméstica Açúcar – CTR (YRET)</t>
  </si>
  <si>
    <t>DocNum - 46482306</t>
  </si>
  <si>
    <t>Nota nr 000149737</t>
  </si>
  <si>
    <t>Venda doméstica Açúcar – CTR (Y073)</t>
  </si>
  <si>
    <t> 15603627 </t>
  </si>
  <si>
    <t>BEP:15597893</t>
  </si>
  <si>
    <t>DocNum - 46482221</t>
  </si>
  <si>
    <t>Doc Num - 46482221</t>
  </si>
  <si>
    <t>DocNum - 46482276</t>
  </si>
  <si>
    <t>Nota nr 149729</t>
  </si>
  <si>
    <t>29/10/2025</t>
  </si>
  <si>
    <t>30/10/2025</t>
  </si>
  <si>
    <t>DocNum - 46482307</t>
  </si>
  <si>
    <t>Nota nr 000149738</t>
  </si>
  <si>
    <t>VEF - Receita Antecipada (YVFP)</t>
  </si>
  <si>
    <t>BEP:70578960</t>
  </si>
  <si>
    <t>DocNum - 46482486</t>
  </si>
  <si>
    <t>25/11/2025</t>
  </si>
  <si>
    <t>VEF - Receita Antecipada (YRFP)</t>
  </si>
  <si>
    <t>BEP: 70579207</t>
  </si>
  <si>
    <t>DocNum 46482647</t>
  </si>
  <si>
    <t>A contabilização nas contas ficaram correta, mas o valor no estorno de prvisão da baixa do estoque ficou errado por conta do cálculo na unidade de medida, mas como em BEP, não funciona esse cenário validei como certo</t>
  </si>
  <si>
    <t>VEF - Receita Antecipada (YVRC) - Recusa</t>
  </si>
  <si>
    <t>DocNum - 46482775</t>
  </si>
  <si>
    <t>Nota nr 000001572</t>
  </si>
  <si>
    <t>VEF - Receita Antecipada (YVRE) - Retorno</t>
  </si>
  <si>
    <t>DocNum - 46482776</t>
  </si>
  <si>
    <t>Nota nr 000214325</t>
  </si>
  <si>
    <t>FA - Simples Faturamento (Y003)</t>
  </si>
  <si>
    <t>BEP:70583255</t>
  </si>
  <si>
    <t>Ok</t>
  </si>
  <si>
    <t>DocNum - 46482648</t>
  </si>
  <si>
    <t>FA - Simples Faturamento (Y033)</t>
  </si>
  <si>
    <t>BEP: 15601113</t>
  </si>
  <si>
    <t>DocNum 46482652</t>
  </si>
  <si>
    <t>FA - Simples Faturamento (Y3RC) - Recusa</t>
  </si>
  <si>
    <t>DocNum - 46482760</t>
  </si>
  <si>
    <t>Nota nr 000001628</t>
  </si>
  <si>
    <t>FA - Simples Faturamento (Y3RE) - Retorno</t>
  </si>
  <si>
    <t>DocNum - 46482761</t>
  </si>
  <si>
    <t>Nota nr 000155833</t>
  </si>
  <si>
    <t>Venda Conta e Ordem - (Y032)</t>
  </si>
  <si>
    <t>BEP: 70578789</t>
  </si>
  <si>
    <t>24/11/2025</t>
  </si>
  <si>
    <t>DocNum 46482575</t>
  </si>
  <si>
    <t>27/11/2025</t>
  </si>
  <si>
    <t>Remessa Conta e Ordem - (Y044)</t>
  </si>
  <si>
    <t>BEP: 15589197</t>
  </si>
  <si>
    <t>DocNum 46482576</t>
  </si>
  <si>
    <t>Remessa Conta e Ordem - (YSRS) - Recusa</t>
  </si>
  <si>
    <t>Entrada YSRS   não existente em TVAK (verificar a entrada)</t>
  </si>
  <si>
    <t>Remessa Conta e Ordem - (YDSR) - Retorno</t>
  </si>
  <si>
    <t>DocNum - 46482625</t>
  </si>
  <si>
    <t>Nota nr 000214318</t>
  </si>
  <si>
    <t>Contabilização incorreta,contabilizou como venda,  mas em produção também esta assim</t>
  </si>
  <si>
    <t>Venda a Ordem - (Y904)</t>
  </si>
  <si>
    <t>BEP: 70588444</t>
  </si>
  <si>
    <t>DocNum - 46482562</t>
  </si>
  <si>
    <t>Venda a Ordem - (Y90R) - Recusa</t>
  </si>
  <si>
    <t>DocNum - 46482619</t>
  </si>
  <si>
    <t>Nota nr 000001570</t>
  </si>
  <si>
    <t>Erro de calculo INSS a maior -  em produção tbem está errado, favor seguir com a abertura de chamado com as evidencias (NFE 1580-2 07/06/2024)</t>
  </si>
  <si>
    <t>Com a observação do Tax</t>
  </si>
  <si>
    <t>Remessa Venda a Ordem - (Y903)</t>
  </si>
  <si>
    <t>BEP: 70588445</t>
  </si>
  <si>
    <t>Docnum - 46482561</t>
  </si>
  <si>
    <t>Remessa Venda a Ordem - (Y90C) - Recusa</t>
  </si>
  <si>
    <t>DocNum - 46482620</t>
  </si>
  <si>
    <t>Nota nr 000001571</t>
  </si>
  <si>
    <t>Remessa Venda a Ordem - (Y90T) - Retorno</t>
  </si>
  <si>
    <t>DocNum - 46482762</t>
  </si>
  <si>
    <t>Nota nr 000214312</t>
  </si>
  <si>
    <t>Obs. A NF contabilizou o cliente conta (1121001) erroneamento, deveria ser transitória contra transitória, em produção tbém esta assim</t>
  </si>
  <si>
    <t>Venda Subproduto Oleo Fusel - (Y002)</t>
  </si>
  <si>
    <t>BEP:15548099</t>
  </si>
  <si>
    <t>DocNum - 46482210</t>
  </si>
  <si>
    <t>20/10/2025</t>
  </si>
  <si>
    <t>Venda Bagaço - (YBIO)</t>
  </si>
  <si>
    <t>BEP: 15593169</t>
  </si>
  <si>
    <t>DocNum - 46482213</t>
  </si>
  <si>
    <t>22/10/2025</t>
  </si>
  <si>
    <t>Venda Bagaço - (YDEV) - Retorno</t>
  </si>
  <si>
    <t>Não está prevista a cópia do tipo documento vendas YBIO para YDEV</t>
  </si>
  <si>
    <t>Venda Bagaço - (YRET) - Recusa</t>
  </si>
  <si>
    <t>DocNum - 46482346</t>
  </si>
  <si>
    <t>Nota nr 157809</t>
  </si>
  <si>
    <t>Venda Energia Dentro Estado Consumo - (Y202)</t>
  </si>
  <si>
    <t>BEP: 15573627</t>
  </si>
  <si>
    <t>DocNum - 46482259</t>
  </si>
  <si>
    <t>28/10/2025</t>
  </si>
  <si>
    <t>Venda Energia Dentro Estado Consumo  - (YRET) - Anulação</t>
  </si>
  <si>
    <t>DocNum - 46482363</t>
  </si>
  <si>
    <t>Nota nr 3463</t>
  </si>
  <si>
    <t>Revenda Energia Fora Estado - (Y202)</t>
  </si>
  <si>
    <t>BEP: 15578780</t>
  </si>
  <si>
    <t>27/10/2025</t>
  </si>
  <si>
    <t>DocNum - 46482267</t>
  </si>
  <si>
    <t>Lastro Energia - (Y205)</t>
  </si>
  <si>
    <t>BEP: 15611065</t>
  </si>
  <si>
    <t>DocNum - 46482322</t>
  </si>
  <si>
    <t>Não calculou INSS, SENAR e GILRAT - em PRD está Ok</t>
  </si>
  <si>
    <t>Venda Energia Biomassa - (Y202)</t>
  </si>
  <si>
    <t>BEP: 15602850</t>
  </si>
  <si>
    <t>DocNum - 46482249</t>
  </si>
  <si>
    <t>VendaMelaço - (Y007)</t>
  </si>
  <si>
    <t>15603671 </t>
  </si>
  <si>
    <t>BEP: 15614236</t>
  </si>
  <si>
    <t>DocNum - 46482352</t>
  </si>
  <si>
    <t>Observamos que em PRD também encontra com o mesmo erro, será aberto chamado para correção e testado</t>
  </si>
  <si>
    <t>VendaMelaço - (YDEV) - Retorno</t>
  </si>
  <si>
    <t>Não está prevista a cópia do tipo documento vendas Y007 para YDEV</t>
  </si>
  <si>
    <t>VendaMelaço - (DEV) - Retorno</t>
  </si>
  <si>
    <t>VendaMelaço - (YRET) - Recusa</t>
  </si>
  <si>
    <t>Não está prevista a cópia do tipo documento vendas Y007 para YRET</t>
  </si>
  <si>
    <t>VendaMelaço - (RET) - Recusa</t>
  </si>
  <si>
    <t>Venda Agua Vapor (Y002)</t>
  </si>
  <si>
    <t>BEP:15612675</t>
  </si>
  <si>
    <t>DocNum - 46482250</t>
  </si>
  <si>
    <t>Complemento de débito (Y014)</t>
  </si>
  <si>
    <t>DocNum - 46482353</t>
  </si>
  <si>
    <t>Doação (Y013)</t>
  </si>
  <si>
    <t>Josiane Florenco</t>
  </si>
  <si>
    <t>BEP: 15645777</t>
  </si>
  <si>
    <t>DocNum - 46482200</t>
  </si>
  <si>
    <t>Nota nr 117232</t>
  </si>
  <si>
    <t>Doação com Movimentação (Y103)</t>
  </si>
  <si>
    <t>BEP: 15602934</t>
  </si>
  <si>
    <t>DocNum - 46482347</t>
  </si>
  <si>
    <t>Nota nr 367467</t>
  </si>
  <si>
    <t>Não houve contabilização</t>
  </si>
  <si>
    <t>Venda Ativo (Y005)</t>
  </si>
  <si>
    <t>BEP: 15610891</t>
  </si>
  <si>
    <t>DocNum - 46482225</t>
  </si>
  <si>
    <t>Nota nr 70465</t>
  </si>
  <si>
    <t>Contabilizou o ICMS na conta  3222002 ICMS Venda intercompany e o correto é na conta de ICMS outras, mas em produção tbém esta errado.</t>
  </si>
  <si>
    <t>Venda Sucata - Residuo (Y007)</t>
  </si>
  <si>
    <t>BEP: 15608379</t>
  </si>
  <si>
    <t>DocNum - 46482207</t>
  </si>
  <si>
    <t>Nota nr 180610</t>
  </si>
  <si>
    <t>Venda de Serviços  (Y017)</t>
  </si>
  <si>
    <t>BEP: 15599913</t>
  </si>
  <si>
    <t>DocNum - 46482570</t>
  </si>
  <si>
    <t>Nota nr 18</t>
  </si>
  <si>
    <t>Peças.Aplicadas (Y066)</t>
  </si>
  <si>
    <t>BEP: 15606846</t>
  </si>
  <si>
    <t>DocNum - 46482227</t>
  </si>
  <si>
    <t>Nota nr 157791</t>
  </si>
  <si>
    <t>24/10/2025</t>
  </si>
  <si>
    <t>Remessa Conserto (YSCO)</t>
  </si>
  <si>
    <t>BEP: 15564730</t>
  </si>
  <si>
    <t>DocNum - 46482211</t>
  </si>
  <si>
    <t>Nota nr 180611</t>
  </si>
  <si>
    <t>Remessa Conserto (YRCO) - Retorno</t>
  </si>
  <si>
    <t>DocNum - 46482263</t>
  </si>
  <si>
    <t>Repasse Óleo Diesel - (Y601)</t>
  </si>
  <si>
    <t>BEP: 15614047</t>
  </si>
  <si>
    <t>DocNum - 46482372</t>
  </si>
  <si>
    <t>Nota nr 000367469</t>
  </si>
  <si>
    <t>Venda Cana de Açucar - (Y602)</t>
  </si>
  <si>
    <t>BEP: 15614234</t>
  </si>
  <si>
    <t>DocNum - 46482230</t>
  </si>
  <si>
    <t>Nota nr 367459</t>
  </si>
  <si>
    <t>Venda de Insumos - (Y603)</t>
  </si>
  <si>
    <t>BEP: 15611568</t>
  </si>
  <si>
    <t>DocNum - 46482238</t>
  </si>
  <si>
    <t>Nota nr 155824</t>
  </si>
  <si>
    <t>Venda Combustivel Próprio - (Y604)</t>
  </si>
  <si>
    <t>BEP: 70586390</t>
  </si>
  <si>
    <t xml:space="preserve">Keyuser - Com problemas </t>
  </si>
  <si>
    <t>Erro aprovação SEFAZ</t>
  </si>
  <si>
    <t>Simples Remessa - Análise - (Y803)</t>
  </si>
  <si>
    <t>BEP: 70592682</t>
  </si>
  <si>
    <t>DocNum - 46482252</t>
  </si>
  <si>
    <t>Nota nr 155826</t>
  </si>
  <si>
    <t>Venda Intercompany (Depósito-ANP) (ME21N)</t>
  </si>
  <si>
    <t>Criar Pedido de Compras</t>
  </si>
  <si>
    <t>Aprovar Pedido</t>
  </si>
  <si>
    <t>TI - Pedro Aguiar</t>
  </si>
  <si>
    <t>Lançar Nota Fiscal de Entrada</t>
  </si>
  <si>
    <t>Edson</t>
  </si>
  <si>
    <t>Doc Num - 46482417</t>
  </si>
  <si>
    <t>Realização Validação Fiscal</t>
  </si>
  <si>
    <t>Aliquota de PIS/Cofins desatualizada</t>
  </si>
  <si>
    <t>Realização Validação Contábil</t>
  </si>
  <si>
    <t>Venda Intercompany (Depósito-ANP) (Y045)</t>
  </si>
  <si>
    <t>Doc Num - 46482398</t>
  </si>
  <si>
    <t>Venda Intercompany (Depósito-ANP) (Y038)</t>
  </si>
  <si>
    <t>Criar Ordem de Armazenagem</t>
  </si>
  <si>
    <t>DocNum 46482637</t>
  </si>
  <si>
    <t>Venda Intercompany (Depósito-ANP) (YE13)</t>
  </si>
  <si>
    <t>Criar um ordem de entrada Armazenagem</t>
  </si>
  <si>
    <t> 60668357</t>
  </si>
  <si>
    <t>DocNum 46482715</t>
  </si>
  <si>
    <t>Venda Intercompany (Depósito-ANP) (YR01)</t>
  </si>
  <si>
    <t>Criar um ordem de Retorno Armazenagem</t>
  </si>
  <si>
    <t>15603734 </t>
  </si>
  <si>
    <t>DocNum 46482786</t>
  </si>
  <si>
    <t>Venda Intercompany (Depósito-ANP) (YE14)</t>
  </si>
  <si>
    <t>Criar um ordem de Entrada Retorno Armazenagem</t>
  </si>
  <si>
    <t> 60668373 </t>
  </si>
  <si>
    <t>DocNum 46482832</t>
  </si>
  <si>
    <t>Venda Intercompany (Depósito-ANP) (Y002)</t>
  </si>
  <si>
    <t>DocNum 46482833</t>
  </si>
  <si>
    <t>Venda Intercompany (Depósito-ANP) (Y903)</t>
  </si>
  <si>
    <t>Criar um ordem para acompanhamento do CT</t>
  </si>
  <si>
    <t>DocNum 46482839</t>
  </si>
  <si>
    <t>(Vários itens)</t>
  </si>
  <si>
    <t>OUT-Y604_576</t>
  </si>
  <si>
    <t>OUT-Y604_578</t>
  </si>
  <si>
    <t>OUT-Y604_577</t>
  </si>
  <si>
    <t>OUT-Y604_580</t>
  </si>
  <si>
    <t>Elo - Em correção</t>
  </si>
  <si>
    <t>Keyuser com problemas</t>
  </si>
  <si>
    <t>Nr Documento SAP</t>
  </si>
  <si>
    <t>G5 - MM Ind.: PIS+COFINS c/cred.</t>
  </si>
  <si>
    <t>Criar requisição de compras</t>
  </si>
  <si>
    <t>Criar e liberar pedido de compras</t>
  </si>
  <si>
    <t>Realizar validação tributária - Pedido de compras</t>
  </si>
  <si>
    <t>NF 975109</t>
  </si>
  <si>
    <t>Realizar pré-recebimento da nota fiscal - Geração da remessa</t>
  </si>
  <si>
    <t>Cadastrar MIGO</t>
  </si>
  <si>
    <t>Realizar validação de estoque</t>
  </si>
  <si>
    <t>Cadastrar MIRO</t>
  </si>
  <si>
    <t>Realizar validação tributária - SAP</t>
  </si>
  <si>
    <t>Campo atribuição sem a informação de pedido de compras</t>
  </si>
  <si>
    <t>C9 - MM Consumo: ICMS+DIFAL s/cred.+PIS+COFINS c/cred.</t>
  </si>
  <si>
    <t>NF 511420 DOC 46482394</t>
  </si>
  <si>
    <t>P9 - MM Ind.: ICMS s/cred.+PIS+COFINS c/cred.</t>
  </si>
  <si>
    <t>NF 164056</t>
  </si>
  <si>
    <t>Tem redução do ICMS porem trouxe base cheia</t>
  </si>
  <si>
    <t>P1 - MM Ind.: ICMS+PIS+COFINS c/cred.</t>
  </si>
  <si>
    <t>NF 85512</t>
  </si>
  <si>
    <t>CG - MM Consumo: ICMS+ICMS ST s/cre.+PIS+COFINS c/cred.</t>
  </si>
  <si>
    <t>NF 425180</t>
  </si>
  <si>
    <t>C8 - MM Consumo: PIS+COFINS c/cred. - Oper. Inter</t>
  </si>
  <si>
    <t>NF 15858</t>
  </si>
  <si>
    <t>Todos os itens do boletim 183855905  não subiu para estoque</t>
  </si>
  <si>
    <t>IP - MM Industrial:ICMS+COFINS+PIS c/cred.+IPI s/cred</t>
  </si>
  <si>
    <t>NF 71360</t>
  </si>
  <si>
    <t>Bases PIS/COFINS _ IBS/CBS incorretas</t>
  </si>
  <si>
    <t>P0 - MM Ind.: Sem Impostos</t>
  </si>
  <si>
    <t>NF 196344</t>
  </si>
  <si>
    <t>CS - MM Consumo/Ativo: Optante SN - DIFAL</t>
  </si>
  <si>
    <t>NF 22296</t>
  </si>
  <si>
    <t>T2 - MM Ativo: ICMS + ICMS ST s/cred.  Com FCP</t>
  </si>
  <si>
    <t>-</t>
  </si>
  <si>
    <t>NF 594814</t>
  </si>
  <si>
    <t>Material 670912 não subiu para estoque</t>
  </si>
  <si>
    <t>P2 - MM Ind.: ICMS c/cred.  - ICMS Desonerado Sem Desconto</t>
  </si>
  <si>
    <t>não trouxe redução do ICMS, sem o montante base excluida</t>
  </si>
  <si>
    <t>P2 - MM Ind.: ICMS c/cred.  - ICMS Desonerado Com Desconto</t>
  </si>
  <si>
    <t>NF 158505</t>
  </si>
  <si>
    <t>HL - MM Entr. Futura - RF: Consumo Sem Impostos</t>
  </si>
  <si>
    <t>NF 17452</t>
  </si>
  <si>
    <t>Obs.: Alterado para o IVA H1</t>
  </si>
  <si>
    <t>IBS / CBS não flegado como estatistico</t>
  </si>
  <si>
    <t>REMESSA OUTRAS ENTRADAS - 5949/6949</t>
  </si>
  <si>
    <t>Realizar lançamento DRC</t>
  </si>
  <si>
    <t>Realizar validação via J1B3N</t>
  </si>
  <si>
    <t>Validado com ressalva (Cclastrib veio incorreta_000001-Situações tributadas integralmente pelo IBS e CBS_Correto seria esse: 410999-Operações não onerosas sem tributação)</t>
  </si>
  <si>
    <t>REMESSA COMODATO  - 5908/6909</t>
  </si>
  <si>
    <t>REMESSA COMODATO  - 5908/6908</t>
  </si>
  <si>
    <t>REMESSA COMODATO  - 5908/6911</t>
  </si>
  <si>
    <t>Outros Testes</t>
  </si>
  <si>
    <t>Relatório 180 dias</t>
  </si>
  <si>
    <t>Notas de transferencia de Cana e Insumos Matriz x Fazenda Filial</t>
  </si>
  <si>
    <t>Pricilla Silva</t>
  </si>
  <si>
    <t>Nota Compra de Cana PIMS</t>
  </si>
  <si>
    <t>Nota de Transferencia Insumos Moema (Fabrica Fertilizantes x Moema Filial)</t>
  </si>
  <si>
    <t>Transferencia Matriz/Filial (PIMS) - Insumos</t>
  </si>
  <si>
    <t>Transferencia Matriz/Filial (PIMS) - Combútivel</t>
  </si>
  <si>
    <t>Transferencia Matriz/Filial (PIMS) - Diesel</t>
  </si>
  <si>
    <t>INBOUND - STATUS ATIVIDADES</t>
  </si>
  <si>
    <t>Rótulos de Linha</t>
  </si>
  <si>
    <t>PEDENTES KEYUSERS / PROBLEMAS</t>
  </si>
  <si>
    <t>INB-P0_89</t>
  </si>
  <si>
    <t>INB-T2_111</t>
  </si>
  <si>
    <t>INB-P2_122</t>
  </si>
  <si>
    <t>INB-Ou_148</t>
  </si>
  <si>
    <t>INB-IP_75</t>
  </si>
  <si>
    <t>INB-P2_119</t>
  </si>
  <si>
    <t>INB-HL_138</t>
  </si>
  <si>
    <t>Incluir</t>
  </si>
  <si>
    <t>?</t>
  </si>
  <si>
    <t>Venda Etanol Anidro F.E -  Comercializadora (Y002)</t>
  </si>
  <si>
    <t>Venda Etanol Anidro ZFM (Y002)</t>
  </si>
  <si>
    <t>Remessa da FA - Receita Remessa (Y033)</t>
  </si>
  <si>
    <t>Venda exportação EXW (Y062)</t>
  </si>
  <si>
    <t>Revenda Energia Fora Estado (Y202)</t>
  </si>
  <si>
    <t>Venda Energia Biomassa (Y202)</t>
  </si>
  <si>
    <t>Lastro Energia (Y205)</t>
  </si>
  <si>
    <t>Armazenagem de Terceiros (Logum) (Y235)</t>
  </si>
  <si>
    <t>Armazenagem de Terceiros (OPLA) (Y235)</t>
  </si>
  <si>
    <t>Remessa da FA - Receita Remessa (Y3RC)</t>
  </si>
  <si>
    <t>Remessa da FA - Receita Remessa (Y3RE)</t>
  </si>
  <si>
    <t>Remessa Venda a Ordem (Y903)</t>
  </si>
  <si>
    <t>Venda a Ordem (Y904)</t>
  </si>
  <si>
    <t>Remessa Venda a Ordem (Y90C)</t>
  </si>
  <si>
    <t>Venda a Ordem (Y90R)</t>
  </si>
  <si>
    <t>Remessa Venda a Ordem (Y90T)</t>
  </si>
  <si>
    <t>Venda doméstica Açúcar – espec. exportação (YDEV)</t>
  </si>
  <si>
    <t>Venda doméstica Açúcar – SPOT (YDEV)</t>
  </si>
  <si>
    <t>Venda Etanol Anidro F.E (YDEV)</t>
  </si>
  <si>
    <t>Venda Subproduto Oleo Fusel (YDEV)</t>
  </si>
  <si>
    <t>Remessa Conta e Ordem (YDSR)</t>
  </si>
  <si>
    <t>Armazenagem de Terceiros (OPLA) (YR35)</t>
  </si>
  <si>
    <t>Venda Subproduto Oleo Fusel (YRET)</t>
  </si>
  <si>
    <t>Venda depois do retorno simbólico (Logum) (YRR2)</t>
  </si>
  <si>
    <t>Venda depois do retorno simbólico (Logum) (YRR3)</t>
  </si>
  <si>
    <t>Venda antes do retorno simbólico (OPLA) (YRR4)</t>
  </si>
  <si>
    <t>Venda antes do retorno simbólico (OPLA) (YRR5)</t>
  </si>
  <si>
    <t>Remessa Conta e Ordem (YSRS)</t>
  </si>
  <si>
    <t>Remessa VEF - Receita Antecipada (YVRC)</t>
  </si>
  <si>
    <t>Remessa VEF - Receita Antecipada (YVRE)</t>
  </si>
  <si>
    <r>
      <t xml:space="preserve">OUTBOUND - PLANILHA A SER USADA SOMENTE PELA </t>
    </r>
    <r>
      <rPr>
        <b/>
        <sz val="28"/>
        <color rgb="FFFF0000"/>
        <rFont val="Aptos Narrow"/>
        <family val="2"/>
        <scheme val="minor"/>
      </rPr>
      <t>EQUIPE ELO</t>
    </r>
  </si>
  <si>
    <t>DADOS DIGITADOS</t>
  </si>
  <si>
    <t>FÓRMULAS</t>
  </si>
  <si>
    <t>ID Teste</t>
  </si>
  <si>
    <t>ID Elo</t>
  </si>
  <si>
    <t>Retorno ELO</t>
  </si>
  <si>
    <t>Dt Problema</t>
  </si>
  <si>
    <t>Status Teste</t>
  </si>
  <si>
    <t>Processo</t>
  </si>
  <si>
    <t>Descrição do Problema</t>
  </si>
  <si>
    <t>Aberto por</t>
  </si>
  <si>
    <t>Solução</t>
  </si>
  <si>
    <t>DT Solução</t>
  </si>
  <si>
    <t>OUT-Y603_569</t>
  </si>
  <si>
    <t>Corrigido 20/10</t>
  </si>
  <si>
    <t xml:space="preserve">Na nfe gerada não saiu as linhas de redução de 60% IBS e CBS </t>
  </si>
  <si>
    <t>OUT-Y036_201</t>
  </si>
  <si>
    <t>Corrigido 03/11</t>
  </si>
  <si>
    <t>Rejeição: Classificação Tributária do IBS e da CBS informada obriga informação (erro 1065)</t>
  </si>
  <si>
    <t>OUT-Y032_345</t>
  </si>
  <si>
    <t>Em análise BP em 31/10</t>
  </si>
  <si>
    <t>Rejeição: Grupo IBS/CBS Monofásico não informado (consta a tax situation na ordem mas não tras a linha do calculo e nem em valores totais)</t>
  </si>
  <si>
    <t>OUT-Y202_462</t>
  </si>
  <si>
    <t>Corrigido 21/10</t>
  </si>
  <si>
    <t>Rejeição: Total da NF difere do somatório dos Valores que compõe o valor Total d</t>
  </si>
  <si>
    <t>Não há erro</t>
  </si>
  <si>
    <t>Erro ao registrar saída de mercadoria conforme Remessa 811951437</t>
  </si>
  <si>
    <t>Marcos Nunes / Natalia Veloso</t>
  </si>
  <si>
    <t>Gustavo</t>
  </si>
  <si>
    <t>OUT-Logum_143</t>
  </si>
  <si>
    <t>Corrigido 24/10</t>
  </si>
  <si>
    <t>Não trouxe a TAX Situation parametrizada na ZSDR2</t>
  </si>
  <si>
    <t>OUT-OPLA_181</t>
  </si>
  <si>
    <t>OUT-Logum_125</t>
  </si>
  <si>
    <t>Corrigido 29/10</t>
  </si>
  <si>
    <t>Solucionado</t>
  </si>
  <si>
    <t>Ctg.item YZ02 não encontrada para tipo doc.de vendas Y035</t>
  </si>
  <si>
    <t>Erro de cenário. Usuário utilizando documento errado.</t>
  </si>
  <si>
    <t>OUT-Y904_371</t>
  </si>
  <si>
    <t>OUT-YRET_262</t>
  </si>
  <si>
    <t>OUT-YRET_282</t>
  </si>
  <si>
    <t>Nota nr 149734</t>
  </si>
  <si>
    <t>OUT-YVFP_289</t>
  </si>
  <si>
    <t>Rejeição: Grupo IBS/CBS não informado [nItem: 1]</t>
  </si>
  <si>
    <t>Criar novo cenário, pois ocorreu um conflito entre os cadastros na VK11</t>
  </si>
  <si>
    <t>OUT-Y003_318</t>
  </si>
  <si>
    <t>Não há erro - Nota 46482241 autorizada. Favor verificar</t>
  </si>
  <si>
    <t>BC IBC/CBS não está correta, e não está contabilizando o Pis/Cofins.</t>
  </si>
  <si>
    <t>OUT-Cockpit_234</t>
  </si>
  <si>
    <t>Cod Rejeição 1022 - Rejeição: Grupo IBS/CBS não informado [nItem: 1]</t>
  </si>
  <si>
    <t>OUT-Y014_495</t>
  </si>
  <si>
    <t>Cod Rejeição 610 - Rejeição: Total da NF difere do somatório dos Valores que compõe o valor Total d</t>
  </si>
  <si>
    <t>OUT-Y017_530</t>
  </si>
  <si>
    <t>Não Trouxe a linha de IBS</t>
  </si>
  <si>
    <t>Corrigido 04/11</t>
  </si>
  <si>
    <t>OUT-Cockpit_235</t>
  </si>
  <si>
    <t>Corrigido 19/11</t>
  </si>
  <si>
    <t>Trouxe indevidamente as linhas do CBS e IBS</t>
  </si>
  <si>
    <t>Pendente conversa com Luis Novais</t>
  </si>
  <si>
    <t>suspenso 19/11</t>
  </si>
  <si>
    <t>Rejeição 1116: Grupo IBS/CBS Monofásico não informado [nItem: 1]</t>
  </si>
  <si>
    <t>Criada a Nota 46482391 sem Tax Sit M01 e foi aprovada</t>
  </si>
  <si>
    <t>OUT-OPLA_176</t>
  </si>
  <si>
    <t xml:space="preserve">Retorno 14/11 </t>
  </si>
  <si>
    <t>Armazenagem de Terceiros (OPLA) (YR35) - Retorno</t>
  </si>
  <si>
    <t>Rejeicao 1022: Grupo IBS/CBS nao informado[nItem: 1] Nota 1566 estornada</t>
  </si>
  <si>
    <t>No momento da criação da OV 60668354 com referência a fatura 0914012313, as condiçõões de IBS/CBS não foram transferidas para a pricing. Mas ao refazer o cenário ou recalcular a pricing, as condiçòes aparecem normalmente</t>
  </si>
  <si>
    <t>OUT-Y017_531</t>
  </si>
  <si>
    <t>Não há erro -  24/11</t>
  </si>
  <si>
    <t>não houve a exclusão do ISS na base de calculo IBS/CBS</t>
  </si>
  <si>
    <t>Novo cenário emitido sem IBS/CBS com os mesmos valores de impostos. Condição ZBP3 já exibe o valor bruto, base usada para todos os impostos</t>
  </si>
  <si>
    <t>OUT-Y3RC_330</t>
  </si>
  <si>
    <t>desconsiderado 19/11</t>
  </si>
  <si>
    <t>OUT-Y3RE_336</t>
  </si>
  <si>
    <t>OUT-OPLA_178</t>
  </si>
  <si>
    <t>não deduziu o ICMS nas linhas IBS/CBS</t>
  </si>
  <si>
    <t xml:space="preserve">Nota 46482538 emitida com valores corretos. Provável problema de conversão entre unidade de medida de M3 para L do Preço Interno do material </t>
  </si>
  <si>
    <t>OUT-Depósito-ANP_604</t>
  </si>
  <si>
    <t>DOCNUM com cclastrib. Enviado no grupo para Sérgio</t>
  </si>
  <si>
    <t>o docnum 46482586 sem o tax situation foi um teste que eu fiz sem nenhuma informação da reforma. O cenário precisa ser criado novamente desde a Ordem de Venda</t>
  </si>
  <si>
    <t>Nota estornada e faturada novamente. Com rejeição 909, que não tem relação com a reforma</t>
  </si>
  <si>
    <t>não está relacionado com a reforma</t>
  </si>
  <si>
    <t>Inbound/Outbound/Acompanhamento</t>
  </si>
  <si>
    <t>DEPARTAMENTO</t>
  </si>
  <si>
    <t>KEY USER</t>
  </si>
  <si>
    <t>Reunião Op1</t>
  </si>
  <si>
    <t>Reunião Op2</t>
  </si>
  <si>
    <t>Reunião de Trabalho</t>
  </si>
  <si>
    <t>OVs AMBIENTE</t>
  </si>
  <si>
    <t>OVs TESTES INTEGRADOS OUTBOUND</t>
  </si>
  <si>
    <t xml:space="preserve">Elo - Liberado para testes </t>
  </si>
  <si>
    <t>Acompanhamento</t>
  </si>
  <si>
    <t>Contratos Agrícolas</t>
  </si>
  <si>
    <t>Marcos Marquetti</t>
  </si>
  <si>
    <t>TpDV</t>
  </si>
  <si>
    <t>OV</t>
  </si>
  <si>
    <t>DESCRIÇÃO OV</t>
  </si>
  <si>
    <t>OPERAÇAO</t>
  </si>
  <si>
    <t>Controles Internos</t>
  </si>
  <si>
    <t xml:space="preserve">Carlos Siqueira </t>
  </si>
  <si>
    <t>n/a</t>
  </si>
  <si>
    <t>9CAB</t>
  </si>
  <si>
    <t>Devolução</t>
  </si>
  <si>
    <t xml:space="preserve">Venda Etanol Hidratado D.E </t>
  </si>
  <si>
    <t xml:space="preserve">Dhenner Martins </t>
  </si>
  <si>
    <t>9CAF</t>
  </si>
  <si>
    <t xml:space="preserve">Venda Etanol Hidratado F.E </t>
  </si>
  <si>
    <t>Financeiro</t>
  </si>
  <si>
    <t>Cleyber Souza</t>
  </si>
  <si>
    <t>9CAM</t>
  </si>
  <si>
    <t xml:space="preserve">Venda Etanol Anidro F.E - Distribuidora </t>
  </si>
  <si>
    <t xml:space="preserve">Rafael Rossi </t>
  </si>
  <si>
    <t>9CAR</t>
  </si>
  <si>
    <t xml:space="preserve">Venda Etanol Anidro D.E - Distribuidora </t>
  </si>
  <si>
    <t>Gestão de Caixa</t>
  </si>
  <si>
    <t xml:space="preserve">Hugo Melo </t>
  </si>
  <si>
    <t>Hugo Mello</t>
  </si>
  <si>
    <t>9CDP</t>
  </si>
  <si>
    <t xml:space="preserve">Venda Etanol Anidro F.E - Comercializadora </t>
  </si>
  <si>
    <t>Logistica</t>
  </si>
  <si>
    <t>Danilo Cunha</t>
  </si>
  <si>
    <t>9CMN</t>
  </si>
  <si>
    <t xml:space="preserve">Venda Etanol Anidro D.E - Comercializadora </t>
  </si>
  <si>
    <t>Suprimentos</t>
  </si>
  <si>
    <t xml:space="preserve">João Neves </t>
  </si>
  <si>
    <t>9CMS</t>
  </si>
  <si>
    <t xml:space="preserve">Venda doméstica Açúcar – CTR </t>
  </si>
  <si>
    <t xml:space="preserve">Marcio Daga </t>
  </si>
  <si>
    <t>9CRR</t>
  </si>
  <si>
    <t xml:space="preserve">Venda Subproduto Oleo Fusel - </t>
  </si>
  <si>
    <t>Outras Saídas</t>
  </si>
  <si>
    <t>Arthur Cruz</t>
  </si>
  <si>
    <t>9DDP</t>
  </si>
  <si>
    <t xml:space="preserve">Venda Agua Vapor </t>
  </si>
  <si>
    <t>Envolvimento futuro caso necessário</t>
  </si>
  <si>
    <t>Comercial</t>
  </si>
  <si>
    <t xml:space="preserve">Luiz Ricardo Fazzi </t>
  </si>
  <si>
    <t>9SCC</t>
  </si>
  <si>
    <t>Requis.correção fat.</t>
  </si>
  <si>
    <t xml:space="preserve">Venda Intercompany </t>
  </si>
  <si>
    <t xml:space="preserve">Depósito-ANP </t>
  </si>
  <si>
    <t xml:space="preserve">Leonardo Pereira </t>
  </si>
  <si>
    <t>No momento não</t>
  </si>
  <si>
    <t>9SCD</t>
  </si>
  <si>
    <t>Debit Memo Request</t>
  </si>
  <si>
    <t xml:space="preserve">FA - Simples Faturamento </t>
  </si>
  <si>
    <t xml:space="preserve">Mauricio Sultani </t>
  </si>
  <si>
    <t>9SMN</t>
  </si>
  <si>
    <t>Solicit.nota débito</t>
  </si>
  <si>
    <t xml:space="preserve">Venda Ativo </t>
  </si>
  <si>
    <t>Novos Negócios</t>
  </si>
  <si>
    <t xml:space="preserve">Tiago Effting </t>
  </si>
  <si>
    <t>9SMS</t>
  </si>
  <si>
    <t xml:space="preserve">Venda exportação Formação de Lote - </t>
  </si>
  <si>
    <t>Originação</t>
  </si>
  <si>
    <t xml:space="preserve">Arthur Machado </t>
  </si>
  <si>
    <t>9STR</t>
  </si>
  <si>
    <t xml:space="preserve">VendaMelaço - </t>
  </si>
  <si>
    <t>RH</t>
  </si>
  <si>
    <t xml:space="preserve">Victor Garcia </t>
  </si>
  <si>
    <t>9SY1</t>
  </si>
  <si>
    <t xml:space="preserve">Venda Sucata - Residuo </t>
  </si>
  <si>
    <t>Inbound</t>
  </si>
  <si>
    <t xml:space="preserve">Daniel Lopes </t>
  </si>
  <si>
    <t>9SY2</t>
  </si>
  <si>
    <t xml:space="preserve">Doação </t>
  </si>
  <si>
    <t>NF PIMS Combustivel</t>
  </si>
  <si>
    <t>Denis Martins</t>
  </si>
  <si>
    <t>9XDS</t>
  </si>
  <si>
    <t>Ordem standard</t>
  </si>
  <si>
    <t xml:space="preserve">Complemento de débito </t>
  </si>
  <si>
    <t xml:space="preserve">NF PIMS Isumo </t>
  </si>
  <si>
    <t>CBRE</t>
  </si>
  <si>
    <t>Devolução simplif.</t>
  </si>
  <si>
    <t xml:space="preserve">Venda de Serviços  </t>
  </si>
  <si>
    <t>NF PIMS Cana</t>
  </si>
  <si>
    <t>CFG2</t>
  </si>
  <si>
    <t>Solic.nota créd.CF</t>
  </si>
  <si>
    <t xml:space="preserve">Venda Conta e Ordem - </t>
  </si>
  <si>
    <t>Núcleo Fiscal</t>
  </si>
  <si>
    <t xml:space="preserve">Edson Oliveira </t>
  </si>
  <si>
    <t>Valter Dias</t>
  </si>
  <si>
    <t>CR1</t>
  </si>
  <si>
    <t>Sol.nota créd.serv.</t>
  </si>
  <si>
    <t>Recusa</t>
  </si>
  <si>
    <t>DL</t>
  </si>
  <si>
    <t>Tp.ordem - remessa</t>
  </si>
  <si>
    <t xml:space="preserve">Armazenagem de Terceiros </t>
  </si>
  <si>
    <t xml:space="preserve">Logum </t>
  </si>
  <si>
    <t>Retorno</t>
  </si>
  <si>
    <t>DLR</t>
  </si>
  <si>
    <t>Tp.ordem forn.dev.</t>
  </si>
  <si>
    <t xml:space="preserve">OPLA </t>
  </si>
  <si>
    <t>Contas a Pagar</t>
  </si>
  <si>
    <t>DR1</t>
  </si>
  <si>
    <t>Sol.nota.déb.serviço</t>
  </si>
  <si>
    <t xml:space="preserve">Venda doméstica Açúcar – espec. exportação </t>
  </si>
  <si>
    <t>Isabela Almeida Alves</t>
  </si>
  <si>
    <t>GA2</t>
  </si>
  <si>
    <t>Sol.nota de crédito</t>
  </si>
  <si>
    <t>Inbound/Outbound</t>
  </si>
  <si>
    <t>Contabilidade</t>
  </si>
  <si>
    <t>GCTA</t>
  </si>
  <si>
    <t xml:space="preserve">Remessa Conta e Ordem - </t>
  </si>
  <si>
    <t>Tributário</t>
  </si>
  <si>
    <t>Breno Martello </t>
  </si>
  <si>
    <t>GOR</t>
  </si>
  <si>
    <t>Caruline Cunha</t>
  </si>
  <si>
    <t>OBSS</t>
  </si>
  <si>
    <t xml:space="preserve">Peças.Aplicadas </t>
  </si>
  <si>
    <t xml:space="preserve">Denis Martins </t>
  </si>
  <si>
    <t>OR1</t>
  </si>
  <si>
    <t>RA2</t>
  </si>
  <si>
    <t>PDA esq.cons.oficina</t>
  </si>
  <si>
    <t xml:space="preserve">Doação com Movimentação </t>
  </si>
  <si>
    <t xml:space="preserve">Livia Besserra </t>
  </si>
  <si>
    <t>RE2</t>
  </si>
  <si>
    <t>Devoluções ampliadas</t>
  </si>
  <si>
    <t xml:space="preserve">Venda Energia Dentro Estado Consumo - </t>
  </si>
  <si>
    <t>Sergio Sousa</t>
  </si>
  <si>
    <t>RX2</t>
  </si>
  <si>
    <t>PDA ordem rep.ext</t>
  </si>
  <si>
    <t xml:space="preserve">Revenda Energia Fora Estado - </t>
  </si>
  <si>
    <t>Talita Andrade </t>
  </si>
  <si>
    <t>SCR</t>
  </si>
  <si>
    <t>Solic.NC p/serviço</t>
  </si>
  <si>
    <t xml:space="preserve">Venda Energia Biomassa - </t>
  </si>
  <si>
    <t>Outbound</t>
  </si>
  <si>
    <t xml:space="preserve">Vania Esteves </t>
  </si>
  <si>
    <t>SD2</t>
  </si>
  <si>
    <t>PDA fornmto.gratuito</t>
  </si>
  <si>
    <t xml:space="preserve">Lastro Energia - </t>
  </si>
  <si>
    <t>Francisco Neto</t>
  </si>
  <si>
    <t>SRVO</t>
  </si>
  <si>
    <t>Ord.cliente (serv.)</t>
  </si>
  <si>
    <t>Crédito</t>
  </si>
  <si>
    <t>Carolina Domingues</t>
  </si>
  <si>
    <t>SRVP</t>
  </si>
  <si>
    <t>Ordem em qtd.sol.</t>
  </si>
  <si>
    <t>Natalia Veloso</t>
  </si>
  <si>
    <t>Laureano indicou Natalia</t>
  </si>
  <si>
    <t>TOLL</t>
  </si>
  <si>
    <t>Processo Tolling</t>
  </si>
  <si>
    <t>VEF</t>
  </si>
  <si>
    <t>Fut.fatura forn.BR</t>
  </si>
  <si>
    <t>Contas a Receber</t>
  </si>
  <si>
    <t>Aline Russo</t>
  </si>
  <si>
    <t>VEFR</t>
  </si>
  <si>
    <t>Fornecimento fut.BR</t>
  </si>
  <si>
    <t xml:space="preserve">Repasse Óleo Diesel - </t>
  </si>
  <si>
    <t>Patrick Vianna</t>
  </si>
  <si>
    <t>Venda Normal</t>
  </si>
  <si>
    <t xml:space="preserve">Venda Cana de Açucar - </t>
  </si>
  <si>
    <t>Venda EF</t>
  </si>
  <si>
    <t xml:space="preserve">Venda de Insumos - </t>
  </si>
  <si>
    <t>Y004</t>
  </si>
  <si>
    <t>Venda C.Ordem</t>
  </si>
  <si>
    <t xml:space="preserve">Venda Combustivel Próprio - </t>
  </si>
  <si>
    <t>Vd Imobil. c/ DANFE</t>
  </si>
  <si>
    <t xml:space="preserve">Simples Remessa - Análise - </t>
  </si>
  <si>
    <t>Venda Exportação FCA</t>
  </si>
  <si>
    <t xml:space="preserve">Remessa Venda a Ordem - </t>
  </si>
  <si>
    <t>Venda Sucata</t>
  </si>
  <si>
    <t xml:space="preserve">Venda a Ordem - </t>
  </si>
  <si>
    <t>Y008</t>
  </si>
  <si>
    <t>Vda. Serviço Armazem</t>
  </si>
  <si>
    <t>Y009</t>
  </si>
  <si>
    <t>Rem. Consignação</t>
  </si>
  <si>
    <t>Y010</t>
  </si>
  <si>
    <t>Remessa Comodato</t>
  </si>
  <si>
    <t>Y011</t>
  </si>
  <si>
    <t>Bonificação</t>
  </si>
  <si>
    <t xml:space="preserve">Venda depois do retorno simbólico </t>
  </si>
  <si>
    <t>Y012</t>
  </si>
  <si>
    <t>Nota Débito s/ Refer</t>
  </si>
  <si>
    <t xml:space="preserve">Venda antes do retorno simbólico </t>
  </si>
  <si>
    <t>Doa/Brinde/CI s/ est</t>
  </si>
  <si>
    <t xml:space="preserve">Venda Bagaço - </t>
  </si>
  <si>
    <t>NF Compl. Débito</t>
  </si>
  <si>
    <t>Y016</t>
  </si>
  <si>
    <t>Sales Order</t>
  </si>
  <si>
    <t>Vda. Outros Serviços</t>
  </si>
  <si>
    <t>Y018</t>
  </si>
  <si>
    <t>Vda Ent p/ Ind Façon</t>
  </si>
  <si>
    <t>Y019</t>
  </si>
  <si>
    <t>Rem. Empréstimo</t>
  </si>
  <si>
    <t>Y020</t>
  </si>
  <si>
    <t>Vda. Serv.Transbordo</t>
  </si>
  <si>
    <t>Y021</t>
  </si>
  <si>
    <t>Rem Emprést Porto</t>
  </si>
  <si>
    <t>Y022</t>
  </si>
  <si>
    <t>Ressarcimento ST-RS</t>
  </si>
  <si>
    <t>Y023</t>
  </si>
  <si>
    <t>Vda Compl. ICMS ST</t>
  </si>
  <si>
    <t>Y024</t>
  </si>
  <si>
    <t>Anulação NF C/R C/R</t>
  </si>
  <si>
    <t>Y025</t>
  </si>
  <si>
    <t>Anulação NF C/R S/R</t>
  </si>
  <si>
    <t>Y026</t>
  </si>
  <si>
    <t>Anulação NF S/R C/R</t>
  </si>
  <si>
    <t>Y027</t>
  </si>
  <si>
    <t>Anulação NF S/R S/R</t>
  </si>
  <si>
    <t>Y029</t>
  </si>
  <si>
    <t>Dev. Rem. Emprestimo</t>
  </si>
  <si>
    <t>Y02A</t>
  </si>
  <si>
    <t>Venda Normal Arm Ger</t>
  </si>
  <si>
    <t xml:space="preserve">Remessa Conserto </t>
  </si>
  <si>
    <t>Y030</t>
  </si>
  <si>
    <t>Ordem Serv. Comissao</t>
  </si>
  <si>
    <t>Venda C.Ordem Etanol</t>
  </si>
  <si>
    <t>Remessa EF BAL</t>
  </si>
  <si>
    <t>Y034</t>
  </si>
  <si>
    <t>Remessa C.Ordem</t>
  </si>
  <si>
    <t>Saída Rem. Armazen.</t>
  </si>
  <si>
    <t>Vd Fins Esp. Exp.</t>
  </si>
  <si>
    <t>Y037</t>
  </si>
  <si>
    <t>Dev. Rem. Empr Porto</t>
  </si>
  <si>
    <t>Y039</t>
  </si>
  <si>
    <t>Vda Consignação</t>
  </si>
  <si>
    <t xml:space="preserve">Venda Energia Dentro Estado Consumo  - </t>
  </si>
  <si>
    <t>Y03D</t>
  </si>
  <si>
    <t>Desfazimento VEF Sim</t>
  </si>
  <si>
    <t xml:space="preserve">VEF - Receita Antecipada </t>
  </si>
  <si>
    <t>Y040</t>
  </si>
  <si>
    <t>Venda Drawback</t>
  </si>
  <si>
    <t>Y041</t>
  </si>
  <si>
    <t>Venda C.Ord Drawback</t>
  </si>
  <si>
    <t>Y042</t>
  </si>
  <si>
    <t>Rem C.Ordem Drawback</t>
  </si>
  <si>
    <t>Y043</t>
  </si>
  <si>
    <t>Sda. Quebra/Retenção</t>
  </si>
  <si>
    <t>Remes.C.Ordem Etanol</t>
  </si>
  <si>
    <t>Venda Intercompany</t>
  </si>
  <si>
    <t>Y046</t>
  </si>
  <si>
    <t>Rem. Conta e Ordem</t>
  </si>
  <si>
    <t>YVFP</t>
  </si>
  <si>
    <t>Y047</t>
  </si>
  <si>
    <t>Venda C. Ordem</t>
  </si>
  <si>
    <t>Y048</t>
  </si>
  <si>
    <t>Remessa C. Ordem</t>
  </si>
  <si>
    <t>Y055</t>
  </si>
  <si>
    <t>Rem.Imobil.usoF.Est.</t>
  </si>
  <si>
    <t xml:space="preserve">Retorno Formação de Lote  </t>
  </si>
  <si>
    <t>Y056</t>
  </si>
  <si>
    <t>Vda.Serv. Portuários</t>
  </si>
  <si>
    <t>DEV - Retorno</t>
  </si>
  <si>
    <t>Y058</t>
  </si>
  <si>
    <t>Ordem Fat. Locação</t>
  </si>
  <si>
    <t>RET - Recusa</t>
  </si>
  <si>
    <t>Y060</t>
  </si>
  <si>
    <t>Entr.Rem.Armaz</t>
  </si>
  <si>
    <t>PIMS - Insumo</t>
  </si>
  <si>
    <t xml:space="preserve">Transferencia Matriz/Filial </t>
  </si>
  <si>
    <t>Y061</t>
  </si>
  <si>
    <t>Saída Rem.Armaz</t>
  </si>
  <si>
    <t>PIMS - Combútivel</t>
  </si>
  <si>
    <t>Venda Exportação EXW</t>
  </si>
  <si>
    <t>PIMS - Diesel</t>
  </si>
  <si>
    <t>Y063</t>
  </si>
  <si>
    <t>BROV</t>
  </si>
  <si>
    <t>Depósito-ANP ME21N</t>
  </si>
  <si>
    <t>Y064</t>
  </si>
  <si>
    <t>BROS</t>
  </si>
  <si>
    <t>Y065</t>
  </si>
  <si>
    <t>Y067</t>
  </si>
  <si>
    <t>Y068</t>
  </si>
  <si>
    <t>Y069</t>
  </si>
  <si>
    <t>Y070</t>
  </si>
  <si>
    <t>BRAE</t>
  </si>
  <si>
    <t>Y071</t>
  </si>
  <si>
    <t>Y072</t>
  </si>
  <si>
    <t>BRA</t>
  </si>
  <si>
    <t>Y0F1</t>
  </si>
  <si>
    <t>Prest. Serviço-CTMC</t>
  </si>
  <si>
    <t>Y0F2</t>
  </si>
  <si>
    <t>Entrada CT-e Terc.</t>
  </si>
  <si>
    <t>Y0F7</t>
  </si>
  <si>
    <t>Vd Serv. Frete</t>
  </si>
  <si>
    <t>Y0F8</t>
  </si>
  <si>
    <t>Vd Serv Frete CT/CTe</t>
  </si>
  <si>
    <t>Y101</t>
  </si>
  <si>
    <t>Vd BAL para Offshore</t>
  </si>
  <si>
    <t>Doa/Brinde/CI c/ est</t>
  </si>
  <si>
    <t>Y104</t>
  </si>
  <si>
    <t>Demonstração/Analise</t>
  </si>
  <si>
    <t>Y105</t>
  </si>
  <si>
    <t>Feira/Merchan c/ est</t>
  </si>
  <si>
    <t>Y106</t>
  </si>
  <si>
    <t>Amostra Gratis</t>
  </si>
  <si>
    <t>Y107</t>
  </si>
  <si>
    <t>Feira/Merchan s/ est</t>
  </si>
  <si>
    <t>Y108</t>
  </si>
  <si>
    <t>Ret. Simb Ind Façon</t>
  </si>
  <si>
    <t>Y110</t>
  </si>
  <si>
    <t>Vda Industrialização</t>
  </si>
  <si>
    <t>Y111</t>
  </si>
  <si>
    <t>Venda Serviço Façon</t>
  </si>
  <si>
    <t>Y112</t>
  </si>
  <si>
    <t>Vd Imobil. s/ DANFE</t>
  </si>
  <si>
    <t>Y114</t>
  </si>
  <si>
    <t>Nota de Crédito</t>
  </si>
  <si>
    <t>Y118</t>
  </si>
  <si>
    <t>Saida/Ret prod indus</t>
  </si>
  <si>
    <t>Y122</t>
  </si>
  <si>
    <t>Troca de Mercadoria</t>
  </si>
  <si>
    <t>Y125</t>
  </si>
  <si>
    <t>Remessa Pallet</t>
  </si>
  <si>
    <t>Y134</t>
  </si>
  <si>
    <t>Transf. Ativo Fixo</t>
  </si>
  <si>
    <t>Y141</t>
  </si>
  <si>
    <t>Washout - Crédito</t>
  </si>
  <si>
    <t>Y142</t>
  </si>
  <si>
    <t>Washout - Débito</t>
  </si>
  <si>
    <t>Y143</t>
  </si>
  <si>
    <t>Buyback - Crédito</t>
  </si>
  <si>
    <t>Y144</t>
  </si>
  <si>
    <t>Buyback - Débito</t>
  </si>
  <si>
    <t>Vd Energ Elétrica</t>
  </si>
  <si>
    <t>Y203</t>
  </si>
  <si>
    <t>Remess Lastro Energi</t>
  </si>
  <si>
    <t>Y204</t>
  </si>
  <si>
    <t>Dev Simb Rem Lastro</t>
  </si>
  <si>
    <t>Vd Energ Elét Lastro</t>
  </si>
  <si>
    <t>Y208</t>
  </si>
  <si>
    <t>Ret. Ret.Simb. Façon</t>
  </si>
  <si>
    <t>Y210</t>
  </si>
  <si>
    <t>Dev Remessa Comodato</t>
  </si>
  <si>
    <t>Y214</t>
  </si>
  <si>
    <t>NF Compl. Déb. Imp.</t>
  </si>
  <si>
    <t>Y215</t>
  </si>
  <si>
    <t>NF Comp.Déb. Imp.S/R</t>
  </si>
  <si>
    <t>Y218</t>
  </si>
  <si>
    <t>Entr. produto Indust</t>
  </si>
  <si>
    <t>Y222</t>
  </si>
  <si>
    <t>Dev Troca Mercadoria</t>
  </si>
  <si>
    <t>Y223</t>
  </si>
  <si>
    <t>Rm.Descarte/Sinistro</t>
  </si>
  <si>
    <t>Y225</t>
  </si>
  <si>
    <t>Retorno Pallet</t>
  </si>
  <si>
    <t>Y226</t>
  </si>
  <si>
    <t>Quebra Mov. Mercad.</t>
  </si>
  <si>
    <t>Entrada Rem Armazen.</t>
  </si>
  <si>
    <t>Y239</t>
  </si>
  <si>
    <t>Dev. Simb. Consign.</t>
  </si>
  <si>
    <t>Y310</t>
  </si>
  <si>
    <t>Ret Remessa Comodato</t>
  </si>
  <si>
    <t>Y314</t>
  </si>
  <si>
    <t>NF Compl. Créd. Imp.</t>
  </si>
  <si>
    <t>Y318</t>
  </si>
  <si>
    <t>Rec. S.Rem. Trigo</t>
  </si>
  <si>
    <t>Y322</t>
  </si>
  <si>
    <t>Ret Troca Mercadoria</t>
  </si>
  <si>
    <t>Y331</t>
  </si>
  <si>
    <t>Débito Exportação</t>
  </si>
  <si>
    <t>Y335</t>
  </si>
  <si>
    <t>Retorno armazen.</t>
  </si>
  <si>
    <t>Y339</t>
  </si>
  <si>
    <t>Dev. Rem. Consign.</t>
  </si>
  <si>
    <t>Recusa Rem.Futura</t>
  </si>
  <si>
    <t>Ret. Rem.Futura</t>
  </si>
  <si>
    <t>Y402</t>
  </si>
  <si>
    <t>Vd Energ Elét. s est</t>
  </si>
  <si>
    <t>Y404</t>
  </si>
  <si>
    <t>Venda C.Ordem Ind.</t>
  </si>
  <si>
    <t>Y414</t>
  </si>
  <si>
    <t>Nota de Crédito BIC</t>
  </si>
  <si>
    <t>Y418</t>
  </si>
  <si>
    <t>Ret. Trigo e Insumos</t>
  </si>
  <si>
    <t>Y434</t>
  </si>
  <si>
    <t>Remessa C.Ordem Ind.</t>
  </si>
  <si>
    <t>Y439</t>
  </si>
  <si>
    <t>Ret. Rem. Consign.</t>
  </si>
  <si>
    <t>Y518</t>
  </si>
  <si>
    <t>Venda C.Ordem Façon</t>
  </si>
  <si>
    <t>Y539</t>
  </si>
  <si>
    <t>Ret. Fat. Consign.</t>
  </si>
  <si>
    <t>Y555</t>
  </si>
  <si>
    <t>Y556</t>
  </si>
  <si>
    <t>Y557</t>
  </si>
  <si>
    <t>Retorno Simb Arm s/E</t>
  </si>
  <si>
    <t>Y558</t>
  </si>
  <si>
    <t>Retorno armazenagem</t>
  </si>
  <si>
    <t>Venda Combustivel</t>
  </si>
  <si>
    <t>Venda Cana-de-Açúcar</t>
  </si>
  <si>
    <t>Vda. Insumo Agrícola</t>
  </si>
  <si>
    <t>Sda. Consumo Próprio</t>
  </si>
  <si>
    <t>Y618</t>
  </si>
  <si>
    <t>Rem. C.Ordem Façon</t>
  </si>
  <si>
    <t>Y700</t>
  </si>
  <si>
    <t>SaidaTransf Créditos</t>
  </si>
  <si>
    <t>Y701</t>
  </si>
  <si>
    <t>Rec Transf Créditos</t>
  </si>
  <si>
    <t>Y801</t>
  </si>
  <si>
    <t>Entr. bem p/ comod.</t>
  </si>
  <si>
    <t>Y802</t>
  </si>
  <si>
    <t>Out. Entr. ñ espec.</t>
  </si>
  <si>
    <t>Out. Saídas ñ espec.</t>
  </si>
  <si>
    <t>Y804</t>
  </si>
  <si>
    <t>Cred CIAP Ativo Fixo</t>
  </si>
  <si>
    <t>Y805</t>
  </si>
  <si>
    <t>Y806</t>
  </si>
  <si>
    <t>Out.Saíd-Est.Deb.Cr.</t>
  </si>
  <si>
    <t>Y807</t>
  </si>
  <si>
    <t>Ent.Ativo Fx Terc</t>
  </si>
  <si>
    <t>Y808</t>
  </si>
  <si>
    <t>Saida Ativo Fix Terc</t>
  </si>
  <si>
    <t>Y809</t>
  </si>
  <si>
    <t>Entrada Pallet Terc</t>
  </si>
  <si>
    <t>Y810</t>
  </si>
  <si>
    <t>Dev. Pallet Terc</t>
  </si>
  <si>
    <t>Y900</t>
  </si>
  <si>
    <t>Utiliz sdo cred ICMS</t>
  </si>
  <si>
    <t>Y901</t>
  </si>
  <si>
    <t>Ressarc. ICMS - ST</t>
  </si>
  <si>
    <t>Y902</t>
  </si>
  <si>
    <t>Res. ICMS ST saída</t>
  </si>
  <si>
    <t>Venda a Ordem - Reme</t>
  </si>
  <si>
    <t>Venda a Ordem - Vend</t>
  </si>
  <si>
    <t>Recusa Vnd Ordem Ven</t>
  </si>
  <si>
    <t>Recusa Vnd Ordem</t>
  </si>
  <si>
    <t>Ret. Vnd Ordem Ven</t>
  </si>
  <si>
    <t>Y914</t>
  </si>
  <si>
    <t>Credito Verba SIP</t>
  </si>
  <si>
    <t>Y997</t>
  </si>
  <si>
    <t>Ret. Fornec. Conv.83</t>
  </si>
  <si>
    <t>Y998</t>
  </si>
  <si>
    <t>Ret. Simb. Conv. 83</t>
  </si>
  <si>
    <t>Y999</t>
  </si>
  <si>
    <t>Forn. CockpitConv.83</t>
  </si>
  <si>
    <t>YA01</t>
  </si>
  <si>
    <t>Venda Merc. Interno</t>
  </si>
  <si>
    <t>YA02</t>
  </si>
  <si>
    <t>Retorno AGR</t>
  </si>
  <si>
    <t>YA03</t>
  </si>
  <si>
    <t>Devolução AGR</t>
  </si>
  <si>
    <t>YA04</t>
  </si>
  <si>
    <t>Venda Entrega Futura</t>
  </si>
  <si>
    <t>YA05</t>
  </si>
  <si>
    <t>Rem. Entrega Futura</t>
  </si>
  <si>
    <t>YA06</t>
  </si>
  <si>
    <t>Dev. EF NF Própria</t>
  </si>
  <si>
    <t>YA07</t>
  </si>
  <si>
    <t>Dev. EF NF Cliente</t>
  </si>
  <si>
    <t>YA08</t>
  </si>
  <si>
    <t>Venda Exportação AGR</t>
  </si>
  <si>
    <t>YA09</t>
  </si>
  <si>
    <t>Vd AGR para Offshore</t>
  </si>
  <si>
    <t>YA10</t>
  </si>
  <si>
    <t>Venda Performance</t>
  </si>
  <si>
    <t>YA11</t>
  </si>
  <si>
    <t>Export Drawback AGR</t>
  </si>
  <si>
    <t>YA13</t>
  </si>
  <si>
    <t>Retorno Simb. Conven</t>
  </si>
  <si>
    <t>YA14</t>
  </si>
  <si>
    <t>Dev. Fis Form. Lote</t>
  </si>
  <si>
    <t>YA15</t>
  </si>
  <si>
    <t>YA16</t>
  </si>
  <si>
    <t>YA17</t>
  </si>
  <si>
    <t>Entr Rem NF Srv Arm</t>
  </si>
  <si>
    <t>YA18</t>
  </si>
  <si>
    <t>Entr NF Arm de Terc</t>
  </si>
  <si>
    <t>YA19</t>
  </si>
  <si>
    <t>SO Navio Performance</t>
  </si>
  <si>
    <t>YA21</t>
  </si>
  <si>
    <t>Venda Perform. Porto</t>
  </si>
  <si>
    <t>YA22</t>
  </si>
  <si>
    <t>Venda Export AGR IND</t>
  </si>
  <si>
    <t>YA23</t>
  </si>
  <si>
    <t>OV.Rem. C.Ord.Cons.</t>
  </si>
  <si>
    <t>YA24</t>
  </si>
  <si>
    <t>OV. Fat.C.Ordem Cons</t>
  </si>
  <si>
    <t>YA25</t>
  </si>
  <si>
    <t>NF Compl. Débito AGR</t>
  </si>
  <si>
    <t>YA27</t>
  </si>
  <si>
    <t>YA30</t>
  </si>
  <si>
    <t>Venda Serv Transp.</t>
  </si>
  <si>
    <t>YA32</t>
  </si>
  <si>
    <t>Ret. Rem-NF Srv Arm</t>
  </si>
  <si>
    <t>YA33</t>
  </si>
  <si>
    <t>OV. Fat C.Ordem Ind.</t>
  </si>
  <si>
    <t>YA34</t>
  </si>
  <si>
    <t>OV.Rem. C.Ord.Ind.</t>
  </si>
  <si>
    <t>YA35</t>
  </si>
  <si>
    <t>Agri Nota Débito</t>
  </si>
  <si>
    <t>YA36</t>
  </si>
  <si>
    <t>YA39</t>
  </si>
  <si>
    <t>Envio NF Armz p Terc</t>
  </si>
  <si>
    <t>YA40</t>
  </si>
  <si>
    <t>Emis. NF Transporte</t>
  </si>
  <si>
    <t>YA41</t>
  </si>
  <si>
    <t>Remessa Dep Fech</t>
  </si>
  <si>
    <t>YA42</t>
  </si>
  <si>
    <t>Ent Remessa Dep Fech</t>
  </si>
  <si>
    <t>YA43</t>
  </si>
  <si>
    <t>Retorno Dep Fech</t>
  </si>
  <si>
    <t>YA44</t>
  </si>
  <si>
    <t>Ent Retorno Dep Fech</t>
  </si>
  <si>
    <t>YA45</t>
  </si>
  <si>
    <t>Entr Rem NF Sev Arm</t>
  </si>
  <si>
    <t>YA46</t>
  </si>
  <si>
    <t>AGRI-Dev.VendaCtaOrd</t>
  </si>
  <si>
    <t>YA47</t>
  </si>
  <si>
    <t>NF Sobra Inventário</t>
  </si>
  <si>
    <t>YA48</t>
  </si>
  <si>
    <t>NF Quebra Inventário</t>
  </si>
  <si>
    <t>YA49</t>
  </si>
  <si>
    <t>AGRI-Ret.VendaCtaOrd</t>
  </si>
  <si>
    <t>YA4A</t>
  </si>
  <si>
    <t>Entr Cont NF S.Manua</t>
  </si>
  <si>
    <t>YA4B</t>
  </si>
  <si>
    <t>Entr Cont NF Avulsa</t>
  </si>
  <si>
    <t>YA4C</t>
  </si>
  <si>
    <t>Entr Cont NF Própria</t>
  </si>
  <si>
    <t>YA4D</t>
  </si>
  <si>
    <t>YA50</t>
  </si>
  <si>
    <t>YA51</t>
  </si>
  <si>
    <t>Ret. Simb-NF Srv Arm</t>
  </si>
  <si>
    <t>YA52</t>
  </si>
  <si>
    <t>Nota Credito Serv</t>
  </si>
  <si>
    <t>YA53</t>
  </si>
  <si>
    <t>Entr NF Ret Fins Esp</t>
  </si>
  <si>
    <t>YA54</t>
  </si>
  <si>
    <t>Envio NF Conv p Terc</t>
  </si>
  <si>
    <t>YA55</t>
  </si>
  <si>
    <t>Ret. Rem Serv Transb</t>
  </si>
  <si>
    <t>YA56</t>
  </si>
  <si>
    <t>Ret. Rem PO Srv Arm</t>
  </si>
  <si>
    <t>YA60</t>
  </si>
  <si>
    <t>YA61</t>
  </si>
  <si>
    <t>NF-e Serv.Ind.Prop.</t>
  </si>
  <si>
    <t>YA62</t>
  </si>
  <si>
    <t>Ret Rem Srv Portuari</t>
  </si>
  <si>
    <t>YA67</t>
  </si>
  <si>
    <t>OV.Conv Sobra Física</t>
  </si>
  <si>
    <t>YA68</t>
  </si>
  <si>
    <t>NF Ret envio armazen</t>
  </si>
  <si>
    <t>YA70</t>
  </si>
  <si>
    <t>Dev. Simb-NF Srv Arm</t>
  </si>
  <si>
    <t>YA71</t>
  </si>
  <si>
    <t>Venda Merc. Externo</t>
  </si>
  <si>
    <t>YA72</t>
  </si>
  <si>
    <t>Ret. Venda Global</t>
  </si>
  <si>
    <t>YA73</t>
  </si>
  <si>
    <t>NF Quebra Sinistro</t>
  </si>
  <si>
    <t>YA74</t>
  </si>
  <si>
    <t>AGRI-Dev.VendaGlobal</t>
  </si>
  <si>
    <t>YA75</t>
  </si>
  <si>
    <t>Ret. Rem. Cta.Ordem</t>
  </si>
  <si>
    <t>YA76</t>
  </si>
  <si>
    <t>Dev. Rem. Cta.Ordem</t>
  </si>
  <si>
    <t>YA77</t>
  </si>
  <si>
    <t>Envio Industrializac</t>
  </si>
  <si>
    <t>YA79</t>
  </si>
  <si>
    <t>NF Saida Indus</t>
  </si>
  <si>
    <t>YA80</t>
  </si>
  <si>
    <t>Venda MI c/Fins Esp.</t>
  </si>
  <si>
    <t>YA81</t>
  </si>
  <si>
    <t>Ent Remessa Indus</t>
  </si>
  <si>
    <t>YA82</t>
  </si>
  <si>
    <t>Ent Rem Indus Filial</t>
  </si>
  <si>
    <t>YA83</t>
  </si>
  <si>
    <t>Transfer Price</t>
  </si>
  <si>
    <t>YA88</t>
  </si>
  <si>
    <t>NF Saida Indus Propr</t>
  </si>
  <si>
    <t>YA90</t>
  </si>
  <si>
    <t>NF Saida Indus Fabri</t>
  </si>
  <si>
    <t>YA92</t>
  </si>
  <si>
    <t>NF Saida Indus Prop2</t>
  </si>
  <si>
    <t>YA94</t>
  </si>
  <si>
    <t>NF Saida Indus MG/GO</t>
  </si>
  <si>
    <t>YA96</t>
  </si>
  <si>
    <t>NF Saida Ret MG/GO</t>
  </si>
  <si>
    <t>YA98</t>
  </si>
  <si>
    <t>Entr.Serv.Ind.Prop.</t>
  </si>
  <si>
    <t>YA99</t>
  </si>
  <si>
    <t>Retorn.Transf-Transb</t>
  </si>
  <si>
    <t>YAA1</t>
  </si>
  <si>
    <t>Retorno Rem Armazen</t>
  </si>
  <si>
    <t>YAA2</t>
  </si>
  <si>
    <t>Retorno NF Armaz Ter</t>
  </si>
  <si>
    <t>YAA3</t>
  </si>
  <si>
    <t>Retorno Dep Fechado</t>
  </si>
  <si>
    <t>YAA4</t>
  </si>
  <si>
    <t>NF Compl. Devol AGRI</t>
  </si>
  <si>
    <t>YAA5</t>
  </si>
  <si>
    <t>Saídas Emis Frete</t>
  </si>
  <si>
    <t>YAA6</t>
  </si>
  <si>
    <t>Entradas Emis Frete</t>
  </si>
  <si>
    <t>YAA7</t>
  </si>
  <si>
    <t>NF Compl.Déb S/R AGR</t>
  </si>
  <si>
    <t>YAA8</t>
  </si>
  <si>
    <t>Doação c/ Est. Agri</t>
  </si>
  <si>
    <t>YAA9</t>
  </si>
  <si>
    <t>Ret Dev.Smb-NFSrvArm</t>
  </si>
  <si>
    <t>BRE</t>
  </si>
  <si>
    <t>YB20</t>
  </si>
  <si>
    <t>AGRI Dev. Não Eletr.</t>
  </si>
  <si>
    <t>YC15</t>
  </si>
  <si>
    <t>Dev. Transf. Centros</t>
  </si>
  <si>
    <t>YC16</t>
  </si>
  <si>
    <t>Tp.ordem ret. transf</t>
  </si>
  <si>
    <t>YC17</t>
  </si>
  <si>
    <t>Tp.ordem ret. armaze</t>
  </si>
  <si>
    <t>YC18</t>
  </si>
  <si>
    <t>Tp.ordem ret. conven</t>
  </si>
  <si>
    <t>YC19</t>
  </si>
  <si>
    <t>Tp ord ret aprop NF</t>
  </si>
  <si>
    <t>YD01</t>
  </si>
  <si>
    <t>NF-e Devol.compra</t>
  </si>
  <si>
    <t>YD35</t>
  </si>
  <si>
    <t>Retorno Armaz. 3rd</t>
  </si>
  <si>
    <t>YDC1</t>
  </si>
  <si>
    <t>Dev. Rem. Conserto</t>
  </si>
  <si>
    <t>YDCA</t>
  </si>
  <si>
    <t>Dev.Rem.Cons.Avulsa</t>
  </si>
  <si>
    <t>YDCB</t>
  </si>
  <si>
    <t>Dev.Rem.Cons.Av.NaoE</t>
  </si>
  <si>
    <t>YDCO</t>
  </si>
  <si>
    <t>YDE1</t>
  </si>
  <si>
    <t>Dev. pricing manual</t>
  </si>
  <si>
    <t>YDE2</t>
  </si>
  <si>
    <t>NF Compl. Entrada</t>
  </si>
  <si>
    <t>Dev.s/remessa c/rec</t>
  </si>
  <si>
    <t>YDE9</t>
  </si>
  <si>
    <t>Dev.s/remessa s/rec</t>
  </si>
  <si>
    <t>YDEC</t>
  </si>
  <si>
    <t>Dev. não eletrônica</t>
  </si>
  <si>
    <t>YDL2</t>
  </si>
  <si>
    <t>Dev. Conserto Legado</t>
  </si>
  <si>
    <t>YDLF</t>
  </si>
  <si>
    <t>Dev. Leg. Simp. Fat.</t>
  </si>
  <si>
    <t>YDLG</t>
  </si>
  <si>
    <t>Devolução Legado</t>
  </si>
  <si>
    <t>YDLR</t>
  </si>
  <si>
    <t>Dev. Leg. Simp. Rem.</t>
  </si>
  <si>
    <t>YDR2</t>
  </si>
  <si>
    <t>Devolução Simp. Rem.</t>
  </si>
  <si>
    <t>YE08</t>
  </si>
  <si>
    <t>Entr.c/fisico s/ref.</t>
  </si>
  <si>
    <t>YE10</t>
  </si>
  <si>
    <t>Entr. Rem. Armaz.</t>
  </si>
  <si>
    <t>YE12</t>
  </si>
  <si>
    <t>Entrada p/ depósito</t>
  </si>
  <si>
    <t>Entrada Armazenagem</t>
  </si>
  <si>
    <t>Entrada Ret. Armaz.</t>
  </si>
  <si>
    <t>YEC2</t>
  </si>
  <si>
    <t>Contra Nota Manual</t>
  </si>
  <si>
    <t>YECN</t>
  </si>
  <si>
    <t>Emissão Contra Nota</t>
  </si>
  <si>
    <t>YECT</t>
  </si>
  <si>
    <t>YENS</t>
  </si>
  <si>
    <t>BRNG</t>
  </si>
  <si>
    <t>YFAC</t>
  </si>
  <si>
    <t>Tsf.Façon</t>
  </si>
  <si>
    <t>YLD2</t>
  </si>
  <si>
    <t>YOR1</t>
  </si>
  <si>
    <t>YORB</t>
  </si>
  <si>
    <t>BRE/Vd. Dom.Contrato</t>
  </si>
  <si>
    <t>YORS</t>
  </si>
  <si>
    <t>Ret. Simb. Armazen.</t>
  </si>
  <si>
    <t>YR08</t>
  </si>
  <si>
    <t>Retorno c/fisico ent</t>
  </si>
  <si>
    <t>RecusY035 Armazen 3o</t>
  </si>
  <si>
    <t>YR62</t>
  </si>
  <si>
    <t>YRA2</t>
  </si>
  <si>
    <t>BR-Ret Simb Arm.Cop</t>
  </si>
  <si>
    <t>YRC1</t>
  </si>
  <si>
    <t>Ret. Rem. Conserto</t>
  </si>
  <si>
    <t>Ret.s/remessa c/rec</t>
  </si>
  <si>
    <t>YRE9</t>
  </si>
  <si>
    <t>Ret.s/remessa s/rec</t>
  </si>
  <si>
    <t>BRAE Vd.EF.Rec.Antec</t>
  </si>
  <si>
    <t>YRFR</t>
  </si>
  <si>
    <t>YRLG</t>
  </si>
  <si>
    <t>Retorno Legado</t>
  </si>
  <si>
    <t>Retorno/Recusa YAR1</t>
  </si>
  <si>
    <t>Devolução YAR1</t>
  </si>
  <si>
    <t>Retorno/Recusa YAR2</t>
  </si>
  <si>
    <t>Devolução YAR2</t>
  </si>
  <si>
    <t>YRSR</t>
  </si>
  <si>
    <t>Retorno Simp. Rem.</t>
  </si>
  <si>
    <t>YRXC</t>
  </si>
  <si>
    <t>Remessa Exp C.Ordem</t>
  </si>
  <si>
    <t>YRXF</t>
  </si>
  <si>
    <t>Rem Export EntrFutur</t>
  </si>
  <si>
    <t>YS10</t>
  </si>
  <si>
    <t>Ret. Rem. Armaz.</t>
  </si>
  <si>
    <t>YS12</t>
  </si>
  <si>
    <t>Saída p/ depósito</t>
  </si>
  <si>
    <t>YS20</t>
  </si>
  <si>
    <t>Ret Simb. Rem. Armaz</t>
  </si>
  <si>
    <t>YSER</t>
  </si>
  <si>
    <t>Venda Serviço</t>
  </si>
  <si>
    <t>YSU1</t>
  </si>
  <si>
    <t>Subcontratação MM/SD</t>
  </si>
  <si>
    <t>YSUB</t>
  </si>
  <si>
    <t>YTAG</t>
  </si>
  <si>
    <t>Transf et Plant AGRI</t>
  </si>
  <si>
    <t>YTNB</t>
  </si>
  <si>
    <t>Tsf.Buritis</t>
  </si>
  <si>
    <t>YVCO</t>
  </si>
  <si>
    <t>Dev.Vend.C.Ord.Façon</t>
  </si>
  <si>
    <t>YVCR</t>
  </si>
  <si>
    <t>Desfazimento VEF</t>
  </si>
  <si>
    <t>Retorno Rem. Futura</t>
  </si>
  <si>
    <t>YVSS</t>
  </si>
  <si>
    <t>Vda Serviço Subst.</t>
  </si>
  <si>
    <t>YVXC</t>
  </si>
  <si>
    <t>Venda Export C.Ordem</t>
  </si>
  <si>
    <t>YVXF</t>
  </si>
  <si>
    <t>Vda Export EntrFutur</t>
  </si>
  <si>
    <t>ZDRI</t>
  </si>
  <si>
    <t>ZVMI</t>
  </si>
  <si>
    <t>Bunge Agri Venda MI</t>
  </si>
  <si>
    <r>
      <t xml:space="preserve">INBOUND - PLANILHA A SER USADA SOMENTE PELA </t>
    </r>
    <r>
      <rPr>
        <b/>
        <sz val="28"/>
        <color rgb="FFFF0000"/>
        <rFont val="Aptos Narrow"/>
        <family val="2"/>
        <scheme val="minor"/>
      </rPr>
      <t>EQUIPE ELO</t>
    </r>
  </si>
  <si>
    <t>INB-G5_9</t>
  </si>
  <si>
    <t>IVA Diesel</t>
  </si>
  <si>
    <t>INB-C9_20</t>
  </si>
  <si>
    <t>Erro na base de calculo do IBS e CBS</t>
  </si>
  <si>
    <t>INB-P0_92</t>
  </si>
  <si>
    <t>ok</t>
  </si>
  <si>
    <t>Não trouxe a redução aplicada na regra da FV</t>
  </si>
  <si>
    <t>INB-C9_15</t>
  </si>
  <si>
    <t>Bases ficaram erradas de IBS e CBS</t>
  </si>
  <si>
    <t>OUT-Depósito-ANP_591</t>
  </si>
  <si>
    <t>Necessário ajustar vínculo de campos (ANP e origem do material) para sequencia de acesso</t>
  </si>
  <si>
    <t>INB-G5_5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</si>
</sst>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dd/mm/yy;@"/>
    <numFmt numFmtId="165" formatCode="0.0%"/>
    <numFmt numFmtId="166" formatCode="#,##0_ ;\-#,##0\ "/>
    <numFmt numFmtId="167" formatCode="d/mm/yy;@"/>
    <numFmt numFmtId="168" formatCode="dd/mm/yy"/>
  </numFmts>
  <fonts count="3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Display"/>
      <family val="2"/>
      <scheme val="major"/>
    </font>
    <font>
      <u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242424"/>
      <name val="Aptos Narrow"/>
      <family val="2"/>
    </font>
    <font>
      <b/>
      <sz val="28"/>
      <color theme="0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</font>
    <font>
      <b/>
      <sz val="1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18" fillId="0" borderId="0" applyFont="0" applyFill="0" applyBorder="0" applyAlignment="0" applyProtection="0"/>
  </cellStyleXfs>
  <cellXfs count="90">
    <xf numFmtId="0" fontId="0" fillId="0" borderId="0" xfId="0"/>
    <xf numFmtId="0" fontId="0" fillId="2" borderId="0" xfId="0" applyFill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1" applyFont="1" applyFill="1" applyAlignment="1">
      <alignment horizontal="center"/>
    </xf>
    <xf numFmtId="0" fontId="3" fillId="0" borderId="0" xfId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4" borderId="0" xfId="0" applyFill="1"/>
    <xf numFmtId="0" fontId="8" fillId="0" borderId="0" xfId="0" applyFont="1" applyAlignment="1">
      <alignment horizontal="center"/>
    </xf>
    <xf numFmtId="0" fontId="0" fillId="0" borderId="0" xfId="0" applyAlignment="1">
      <alignment wrapText="1"/>
    </xf>
    <xf numFmtId="164" fontId="10" fillId="0" borderId="0" xfId="0" applyNumberFormat="1" applyFont="1" applyAlignment="1">
      <alignment horizontal="left"/>
    </xf>
    <xf numFmtId="164" fontId="10" fillId="4" borderId="0" xfId="0" applyNumberFormat="1" applyFont="1" applyFill="1"/>
    <xf numFmtId="164" fontId="10" fillId="4" borderId="0" xfId="0" applyNumberFormat="1" applyFont="1" applyFill="1" applyAlignment="1">
      <alignment horizontal="left"/>
    </xf>
    <xf numFmtId="0" fontId="2" fillId="3" borderId="0" xfId="0" applyFont="1" applyFill="1"/>
    <xf numFmtId="0" fontId="12" fillId="3" borderId="0" xfId="0" applyFont="1" applyFill="1"/>
    <xf numFmtId="0" fontId="2" fillId="3" borderId="0" xfId="0" applyFont="1" applyFill="1" applyAlignment="1">
      <alignment horizontal="center"/>
    </xf>
    <xf numFmtId="164" fontId="10" fillId="4" borderId="0" xfId="0" applyNumberFormat="1" applyFont="1" applyFill="1" applyAlignment="1">
      <alignment horizontal="center"/>
    </xf>
    <xf numFmtId="0" fontId="12" fillId="3" borderId="0" xfId="0" applyFont="1" applyFill="1" applyAlignment="1">
      <alignment horizontal="left"/>
    </xf>
    <xf numFmtId="0" fontId="0" fillId="0" borderId="0" xfId="0" applyAlignment="1">
      <alignment vertical="top"/>
    </xf>
    <xf numFmtId="0" fontId="15" fillId="5" borderId="0" xfId="0" applyFont="1" applyFill="1" applyAlignment="1">
      <alignment vertical="top"/>
    </xf>
    <xf numFmtId="0" fontId="7" fillId="6" borderId="0" xfId="0" applyFont="1" applyFill="1"/>
    <xf numFmtId="164" fontId="0" fillId="0" borderId="0" xfId="0" applyNumberFormat="1" applyAlignment="1">
      <alignment horizontal="left"/>
    </xf>
    <xf numFmtId="164" fontId="9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17" fillId="6" borderId="0" xfId="0" applyFont="1" applyFill="1"/>
    <xf numFmtId="0" fontId="7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14" fontId="0" fillId="0" borderId="3" xfId="0" applyNumberFormat="1" applyBorder="1" applyAlignment="1">
      <alignment horizontal="center"/>
    </xf>
    <xf numFmtId="0" fontId="9" fillId="7" borderId="4" xfId="0" applyFont="1" applyFill="1" applyBorder="1"/>
    <xf numFmtId="0" fontId="9" fillId="7" borderId="5" xfId="0" applyFont="1" applyFill="1" applyBorder="1"/>
    <xf numFmtId="166" fontId="20" fillId="8" borderId="2" xfId="2" applyNumberFormat="1" applyFont="1" applyFill="1" applyBorder="1" applyAlignment="1">
      <alignment horizontal="center"/>
    </xf>
    <xf numFmtId="0" fontId="19" fillId="8" borderId="2" xfId="0" applyFont="1" applyFill="1" applyBorder="1" applyAlignment="1">
      <alignment horizontal="left"/>
    </xf>
    <xf numFmtId="164" fontId="16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center"/>
    </xf>
    <xf numFmtId="0" fontId="0" fillId="9" borderId="0" xfId="0" applyFill="1" applyAlignment="1">
      <alignment horizontal="center"/>
    </xf>
    <xf numFmtId="164" fontId="21" fillId="0" borderId="0" xfId="0" applyNumberFormat="1" applyFont="1" applyAlignment="1">
      <alignment horizontal="left"/>
    </xf>
    <xf numFmtId="166" fontId="0" fillId="0" borderId="0" xfId="0" applyNumberFormat="1" applyAlignment="1">
      <alignment horizontal="center"/>
    </xf>
    <xf numFmtId="0" fontId="22" fillId="7" borderId="6" xfId="0" applyFont="1" applyFill="1" applyBorder="1"/>
    <xf numFmtId="0" fontId="22" fillId="7" borderId="6" xfId="0" applyFont="1" applyFill="1" applyBorder="1" applyAlignment="1">
      <alignment horizontal="center"/>
    </xf>
    <xf numFmtId="0" fontId="0" fillId="10" borderId="0" xfId="0" applyFill="1" applyAlignment="1">
      <alignment horizontal="left"/>
    </xf>
    <xf numFmtId="0" fontId="23" fillId="0" borderId="0" xfId="0" applyFont="1"/>
    <xf numFmtId="0" fontId="21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10" fillId="6" borderId="0" xfId="0" applyFont="1" applyFill="1"/>
    <xf numFmtId="164" fontId="23" fillId="0" borderId="0" xfId="0" applyNumberFormat="1" applyFont="1" applyAlignment="1">
      <alignment horizontal="left"/>
    </xf>
    <xf numFmtId="0" fontId="10" fillId="0" borderId="0" xfId="0" applyFont="1"/>
    <xf numFmtId="0" fontId="3" fillId="0" borderId="0" xfId="1" applyFont="1" applyFill="1" applyBorder="1"/>
    <xf numFmtId="0" fontId="5" fillId="0" borderId="0" xfId="1" applyFont="1" applyFill="1" applyBorder="1"/>
    <xf numFmtId="0" fontId="21" fillId="0" borderId="0" xfId="0" applyFont="1"/>
    <xf numFmtId="0" fontId="3" fillId="0" borderId="0" xfId="0" applyFont="1" applyAlignment="1">
      <alignment horizontal="right"/>
    </xf>
    <xf numFmtId="0" fontId="3" fillId="0" borderId="0" xfId="1" applyFont="1" applyFill="1" applyBorder="1" applyAlignment="1">
      <alignment horizontal="right"/>
    </xf>
    <xf numFmtId="0" fontId="0" fillId="0" borderId="0" xfId="0" applyAlignment="1">
      <alignment horizontal="right" wrapText="1"/>
    </xf>
    <xf numFmtId="0" fontId="21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16" fillId="0" borderId="0" xfId="0" applyFont="1" applyAlignment="1">
      <alignment horizontal="left"/>
    </xf>
    <xf numFmtId="164" fontId="26" fillId="0" borderId="0" xfId="0" applyNumberFormat="1" applyFont="1" applyAlignment="1">
      <alignment horizontal="left"/>
    </xf>
    <xf numFmtId="0" fontId="2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 indent="1"/>
    </xf>
    <xf numFmtId="168" fontId="0" fillId="0" borderId="0" xfId="0" applyNumberFormat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9" fillId="2" borderId="0" xfId="0" applyFont="1" applyFill="1"/>
    <xf numFmtId="0" fontId="3" fillId="11" borderId="7" xfId="0" applyFont="1" applyFill="1" applyBorder="1"/>
    <xf numFmtId="0" fontId="3" fillId="0" borderId="7" xfId="0" applyFont="1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6" borderId="0" xfId="0" quotePrefix="1" applyFont="1" applyFill="1"/>
    <xf numFmtId="164" fontId="2" fillId="4" borderId="1" xfId="0" applyNumberFormat="1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</cellXfs>
  <cellStyles count="3">
    <cellStyle name="Hiperlink" xfId="1" builtinId="8"/>
    <cellStyle name="Normal" xfId="0" builtinId="0"/>
    <cellStyle name="Vírgula" xfId="2" builtinId="3"/>
  </cellStyles>
  <dxfs count="14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dd/mm/yy;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dd/mm/yy;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font>
        <b val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dd/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3" formatCode="0%"/>
    </dxf>
    <dxf>
      <alignment horizontal="center"/>
    </dxf>
    <dxf>
      <alignment horizontal="center"/>
    </dxf>
    <dxf>
      <font>
        <b/>
      </font>
    </dxf>
    <dxf>
      <font>
        <color theme="2"/>
      </font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font>
        <color theme="0"/>
      </font>
    </dxf>
    <dxf>
      <fill>
        <patternFill>
          <bgColor theme="9"/>
        </patternFill>
      </fill>
    </dxf>
    <dxf>
      <font>
        <color theme="3"/>
      </font>
    </dxf>
    <dxf>
      <fill>
        <patternFill>
          <bgColor rgb="FFFFFF00"/>
        </patternFill>
      </fill>
    </dxf>
    <dxf>
      <font>
        <b/>
        <color theme="2"/>
      </font>
      <fill>
        <patternFill patternType="solid">
          <fgColor indexed="64"/>
          <bgColor theme="9"/>
        </patternFill>
      </fill>
    </dxf>
    <dxf>
      <alignment horizontal="center"/>
    </dxf>
    <dxf>
      <alignment horizontal="center"/>
    </dxf>
    <dxf>
      <fill>
        <patternFill>
          <bgColor rgb="FFFFFF00"/>
        </patternFill>
      </fill>
    </dxf>
    <dxf>
      <font>
        <sz val="16"/>
      </font>
    </dxf>
    <dxf>
      <fill>
        <patternFill patternType="solid">
          <bgColor rgb="FFFFFF00"/>
        </patternFill>
      </fill>
    </dxf>
    <dxf>
      <font>
        <b/>
      </font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/>
    </dxf>
    <dxf>
      <alignment horizontal="center"/>
    </dxf>
    <dxf>
      <numFmt numFmtId="164" formatCode="dd/mm/yy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68" formatCode="dd/mm/yy"/>
      <alignment horizontal="center" vertical="bottom" textRotation="0" wrapText="0" indent="0" justifyLastLine="0" shrinkToFit="0" readingOrder="0"/>
    </dxf>
    <dxf>
      <alignment horizontal="center"/>
    </dxf>
    <dxf>
      <numFmt numFmtId="168" formatCode="dd/mm/yy"/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</font>
    </dxf>
    <dxf>
      <fill>
        <patternFill patternType="none">
          <fgColor indexed="64"/>
          <bgColor auto="1"/>
        </patternFill>
      </fill>
    </dxf>
    <dxf>
      <alignment horizontal="center"/>
    </dxf>
    <dxf>
      <alignment horizontal="center"/>
    </dxf>
    <dxf>
      <font>
        <b/>
      </font>
    </dxf>
    <dxf>
      <font>
        <color theme="2"/>
      </font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fill>
        <patternFill>
          <bgColor rgb="FFFFFF00"/>
        </patternFill>
      </fill>
    </dxf>
    <dxf>
      <font>
        <sz val="16"/>
      </font>
    </dxf>
    <dxf>
      <fill>
        <patternFill patternType="solid">
          <bgColor rgb="FFFFFF00"/>
        </patternFill>
      </fill>
    </dxf>
    <dxf>
      <font>
        <b/>
      </font>
    </dxf>
    <dxf>
      <alignment horizontal="center"/>
    </dxf>
    <dxf>
      <numFmt numFmtId="13" formatCode="0%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/>
    </dxf>
    <dxf>
      <alignment horizontal="center"/>
    </dxf>
    <dxf>
      <numFmt numFmtId="164" formatCode="dd/mm/yy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68" formatCode="dd/mm/yy"/>
      <alignment horizontal="center" vertical="bottom" textRotation="0" wrapText="0" indent="0" justifyLastLine="0" shrinkToFit="0" readingOrder="0"/>
    </dxf>
    <dxf>
      <alignment horizontal="center"/>
    </dxf>
    <dxf>
      <numFmt numFmtId="168" formatCode="dd/mm/yy"/>
      <alignment horizontal="center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color auto="1"/>
      </font>
      <fill>
        <patternFill patternType="none">
          <fgColor indexed="64"/>
          <bgColor auto="1"/>
        </patternFill>
      </fill>
    </dxf>
    <dxf>
      <font>
        <b val="0"/>
      </font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TNV - Testes Homologados</a:t>
            </a:r>
          </a:p>
        </c:rich>
      </c:tx>
      <c:layout>
        <c:manualLayout>
          <c:xMode val="edge"/>
          <c:yMode val="edge"/>
          <c:x val="0.38625996052909439"/>
          <c:y val="1.71875757736382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3749488041734619E-2"/>
          <c:y val="0.10592637927995299"/>
          <c:w val="0.93613927971269006"/>
          <c:h val="0.72218333028596704"/>
        </c:manualLayout>
      </c:layout>
      <c:lineChart>
        <c:grouping val="standard"/>
        <c:varyColors val="0"/>
        <c:ser>
          <c:idx val="0"/>
          <c:order val="0"/>
          <c:tx>
            <c:strRef>
              <c:f>'Analise-TNV'!$B$27</c:f>
              <c:strCache>
                <c:ptCount val="1"/>
                <c:pt idx="0">
                  <c:v>Concluídos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'Analise-TNV'!$A$28:$A$29</c:f>
              <c:numCache>
                <c:formatCode>dd/mm/yy;@</c:formatCode>
                <c:ptCount val="2"/>
                <c:pt idx="0">
                  <c:v>46001</c:v>
                </c:pt>
                <c:pt idx="1">
                  <c:v>46002</c:v>
                </c:pt>
              </c:numCache>
            </c:numRef>
          </c:cat>
          <c:val>
            <c:numRef>
              <c:f>'Analise-TNV'!$B$28:$B$29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C-4832-87C4-D5DC13B26796}"/>
            </c:ext>
          </c:extLst>
        </c:ser>
        <c:ser>
          <c:idx val="1"/>
          <c:order val="1"/>
          <c:tx>
            <c:strRef>
              <c:f>'Analise-TNV'!$C$27</c:f>
              <c:strCache>
                <c:ptCount val="1"/>
                <c:pt idx="0">
                  <c:v>Méta 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'Analise-TNV'!$A$28:$A$29</c:f>
              <c:numCache>
                <c:formatCode>dd/mm/yy;@</c:formatCode>
                <c:ptCount val="2"/>
                <c:pt idx="0">
                  <c:v>46001</c:v>
                </c:pt>
                <c:pt idx="1">
                  <c:v>46002</c:v>
                </c:pt>
              </c:numCache>
            </c:numRef>
          </c:cat>
          <c:val>
            <c:numRef>
              <c:f>'Analise-TNV'!$C$28:$C$29</c:f>
              <c:numCache>
                <c:formatCode>General</c:formatCode>
                <c:ptCount val="2"/>
                <c:pt idx="0">
                  <c:v>5</c:v>
                </c:pt>
                <c:pt idx="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7C-4832-87C4-D5DC13B26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803776"/>
        <c:axId val="259804736"/>
      </c:lineChart>
      <c:dateAx>
        <c:axId val="259803776"/>
        <c:scaling>
          <c:orientation val="minMax"/>
        </c:scaling>
        <c:delete val="1"/>
        <c:axPos val="b"/>
        <c:numFmt formatCode="dd/mm/yy;@" sourceLinked="1"/>
        <c:majorTickMark val="none"/>
        <c:minorTickMark val="none"/>
        <c:tickLblPos val="nextTo"/>
        <c:crossAx val="259804736"/>
        <c:crosses val="autoZero"/>
        <c:auto val="1"/>
        <c:lblOffset val="100"/>
        <c:baseTimeUnit val="days"/>
      </c:dateAx>
      <c:valAx>
        <c:axId val="25980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9803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Outbound - Testes Homologados</a:t>
            </a:r>
          </a:p>
        </c:rich>
      </c:tx>
      <c:layout>
        <c:manualLayout>
          <c:xMode val="edge"/>
          <c:yMode val="edge"/>
          <c:x val="0.38625996052909439"/>
          <c:y val="1.71875757736382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3749488041734619E-2"/>
          <c:y val="0.10592637927995299"/>
          <c:w val="0.93613927971269006"/>
          <c:h val="0.72218333028596704"/>
        </c:manualLayout>
      </c:layout>
      <c:lineChart>
        <c:grouping val="standard"/>
        <c:varyColors val="0"/>
        <c:ser>
          <c:idx val="0"/>
          <c:order val="0"/>
          <c:tx>
            <c:strRef>
              <c:f>'Analise-Out'!$B$27</c:f>
              <c:strCache>
                <c:ptCount val="1"/>
                <c:pt idx="0">
                  <c:v>Concluídos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'Analise-Out'!$A$28:$A$75</c:f>
              <c:numCache>
                <c:formatCode>dd/mm/yy;@</c:formatCode>
                <c:ptCount val="48"/>
                <c:pt idx="0">
                  <c:v>45944</c:v>
                </c:pt>
                <c:pt idx="1">
                  <c:v>45945</c:v>
                </c:pt>
                <c:pt idx="2">
                  <c:v>45946</c:v>
                </c:pt>
                <c:pt idx="3">
                  <c:v>45947</c:v>
                </c:pt>
                <c:pt idx="4">
                  <c:v>45950</c:v>
                </c:pt>
                <c:pt idx="5">
                  <c:v>45951</c:v>
                </c:pt>
                <c:pt idx="6">
                  <c:v>45952</c:v>
                </c:pt>
                <c:pt idx="7">
                  <c:v>45953</c:v>
                </c:pt>
                <c:pt idx="8">
                  <c:v>45954</c:v>
                </c:pt>
                <c:pt idx="9">
                  <c:v>45957</c:v>
                </c:pt>
                <c:pt idx="10">
                  <c:v>45958</c:v>
                </c:pt>
                <c:pt idx="11">
                  <c:v>45959</c:v>
                </c:pt>
                <c:pt idx="12">
                  <c:v>45960</c:v>
                </c:pt>
                <c:pt idx="13">
                  <c:v>45961</c:v>
                </c:pt>
                <c:pt idx="14">
                  <c:v>45964</c:v>
                </c:pt>
                <c:pt idx="15">
                  <c:v>45965</c:v>
                </c:pt>
                <c:pt idx="16">
                  <c:v>45966</c:v>
                </c:pt>
                <c:pt idx="17">
                  <c:v>45967</c:v>
                </c:pt>
                <c:pt idx="18">
                  <c:v>45968</c:v>
                </c:pt>
                <c:pt idx="19">
                  <c:v>45969</c:v>
                </c:pt>
                <c:pt idx="20">
                  <c:v>45971</c:v>
                </c:pt>
                <c:pt idx="21">
                  <c:v>45972</c:v>
                </c:pt>
                <c:pt idx="22">
                  <c:v>45973</c:v>
                </c:pt>
                <c:pt idx="23">
                  <c:v>45974</c:v>
                </c:pt>
                <c:pt idx="24">
                  <c:v>45975</c:v>
                </c:pt>
                <c:pt idx="25">
                  <c:v>45978</c:v>
                </c:pt>
                <c:pt idx="26">
                  <c:v>45979</c:v>
                </c:pt>
                <c:pt idx="27">
                  <c:v>45980</c:v>
                </c:pt>
                <c:pt idx="28">
                  <c:v>45981</c:v>
                </c:pt>
                <c:pt idx="29">
                  <c:v>45982</c:v>
                </c:pt>
                <c:pt idx="30">
                  <c:v>45983</c:v>
                </c:pt>
                <c:pt idx="31">
                  <c:v>45984</c:v>
                </c:pt>
                <c:pt idx="32">
                  <c:v>45985</c:v>
                </c:pt>
                <c:pt idx="33">
                  <c:v>45986</c:v>
                </c:pt>
                <c:pt idx="34">
                  <c:v>45987</c:v>
                </c:pt>
                <c:pt idx="35">
                  <c:v>45988</c:v>
                </c:pt>
                <c:pt idx="36">
                  <c:v>45989</c:v>
                </c:pt>
                <c:pt idx="37">
                  <c:v>45990</c:v>
                </c:pt>
                <c:pt idx="38">
                  <c:v>45991</c:v>
                </c:pt>
                <c:pt idx="39">
                  <c:v>45992</c:v>
                </c:pt>
                <c:pt idx="40">
                  <c:v>45993</c:v>
                </c:pt>
                <c:pt idx="41">
                  <c:v>45994</c:v>
                </c:pt>
                <c:pt idx="42">
                  <c:v>45995</c:v>
                </c:pt>
                <c:pt idx="43">
                  <c:v>45996</c:v>
                </c:pt>
                <c:pt idx="44">
                  <c:v>45999</c:v>
                </c:pt>
                <c:pt idx="45">
                  <c:v>46000</c:v>
                </c:pt>
                <c:pt idx="46">
                  <c:v>46001</c:v>
                </c:pt>
                <c:pt idx="47">
                  <c:v>46002</c:v>
                </c:pt>
              </c:numCache>
            </c:numRef>
          </c:cat>
          <c:val>
            <c:numRef>
              <c:f>'Analise-Out'!$B$28:$B$75</c:f>
              <c:numCache>
                <c:formatCode>General</c:formatCode>
                <c:ptCount val="48"/>
                <c:pt idx="0">
                  <c:v>2</c:v>
                </c:pt>
                <c:pt idx="1">
                  <c:v>7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19</c:v>
                </c:pt>
                <c:pt idx="6">
                  <c:v>24</c:v>
                </c:pt>
                <c:pt idx="7">
                  <c:v>10</c:v>
                </c:pt>
                <c:pt idx="8">
                  <c:v>9</c:v>
                </c:pt>
                <c:pt idx="9">
                  <c:v>23</c:v>
                </c:pt>
                <c:pt idx="10">
                  <c:v>52</c:v>
                </c:pt>
                <c:pt idx="11">
                  <c:v>25</c:v>
                </c:pt>
                <c:pt idx="12">
                  <c:v>29</c:v>
                </c:pt>
                <c:pt idx="13">
                  <c:v>6</c:v>
                </c:pt>
                <c:pt idx="14">
                  <c:v>12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2</c:v>
                </c:pt>
                <c:pt idx="20">
                  <c:v>12</c:v>
                </c:pt>
                <c:pt idx="21">
                  <c:v>10</c:v>
                </c:pt>
                <c:pt idx="22">
                  <c:v>7</c:v>
                </c:pt>
                <c:pt idx="23">
                  <c:v>6</c:v>
                </c:pt>
                <c:pt idx="24">
                  <c:v>4</c:v>
                </c:pt>
                <c:pt idx="25">
                  <c:v>5</c:v>
                </c:pt>
                <c:pt idx="26">
                  <c:v>11</c:v>
                </c:pt>
                <c:pt idx="27">
                  <c:v>7</c:v>
                </c:pt>
                <c:pt idx="28">
                  <c:v>0</c:v>
                </c:pt>
                <c:pt idx="29">
                  <c:v>6</c:v>
                </c:pt>
                <c:pt idx="30">
                  <c:v>0</c:v>
                </c:pt>
                <c:pt idx="31">
                  <c:v>0</c:v>
                </c:pt>
                <c:pt idx="32">
                  <c:v>4</c:v>
                </c:pt>
                <c:pt idx="33">
                  <c:v>30</c:v>
                </c:pt>
                <c:pt idx="34">
                  <c:v>4</c:v>
                </c:pt>
                <c:pt idx="35">
                  <c:v>10</c:v>
                </c:pt>
                <c:pt idx="36">
                  <c:v>16</c:v>
                </c:pt>
                <c:pt idx="37">
                  <c:v>0</c:v>
                </c:pt>
                <c:pt idx="38">
                  <c:v>0</c:v>
                </c:pt>
                <c:pt idx="39">
                  <c:v>5</c:v>
                </c:pt>
                <c:pt idx="40">
                  <c:v>6</c:v>
                </c:pt>
                <c:pt idx="41">
                  <c:v>11</c:v>
                </c:pt>
                <c:pt idx="42">
                  <c:v>15</c:v>
                </c:pt>
                <c:pt idx="43">
                  <c:v>18</c:v>
                </c:pt>
                <c:pt idx="44">
                  <c:v>0</c:v>
                </c:pt>
                <c:pt idx="45">
                  <c:v>4</c:v>
                </c:pt>
                <c:pt idx="46">
                  <c:v>18</c:v>
                </c:pt>
                <c:pt idx="4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A-417A-AC05-8EE7EF25E6AA}"/>
            </c:ext>
          </c:extLst>
        </c:ser>
        <c:ser>
          <c:idx val="1"/>
          <c:order val="1"/>
          <c:tx>
            <c:strRef>
              <c:f>'Analise-Out'!$C$27</c:f>
              <c:strCache>
                <c:ptCount val="1"/>
                <c:pt idx="0">
                  <c:v>Méta 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'Analise-Out'!$A$28:$A$75</c:f>
              <c:numCache>
                <c:formatCode>dd/mm/yy;@</c:formatCode>
                <c:ptCount val="48"/>
                <c:pt idx="0">
                  <c:v>45944</c:v>
                </c:pt>
                <c:pt idx="1">
                  <c:v>45945</c:v>
                </c:pt>
                <c:pt idx="2">
                  <c:v>45946</c:v>
                </c:pt>
                <c:pt idx="3">
                  <c:v>45947</c:v>
                </c:pt>
                <c:pt idx="4">
                  <c:v>45950</c:v>
                </c:pt>
                <c:pt idx="5">
                  <c:v>45951</c:v>
                </c:pt>
                <c:pt idx="6">
                  <c:v>45952</c:v>
                </c:pt>
                <c:pt idx="7">
                  <c:v>45953</c:v>
                </c:pt>
                <c:pt idx="8">
                  <c:v>45954</c:v>
                </c:pt>
                <c:pt idx="9">
                  <c:v>45957</c:v>
                </c:pt>
                <c:pt idx="10">
                  <c:v>45958</c:v>
                </c:pt>
                <c:pt idx="11">
                  <c:v>45959</c:v>
                </c:pt>
                <c:pt idx="12">
                  <c:v>45960</c:v>
                </c:pt>
                <c:pt idx="13">
                  <c:v>45961</c:v>
                </c:pt>
                <c:pt idx="14">
                  <c:v>45964</c:v>
                </c:pt>
                <c:pt idx="15">
                  <c:v>45965</c:v>
                </c:pt>
                <c:pt idx="16">
                  <c:v>45966</c:v>
                </c:pt>
                <c:pt idx="17">
                  <c:v>45967</c:v>
                </c:pt>
                <c:pt idx="18">
                  <c:v>45968</c:v>
                </c:pt>
                <c:pt idx="19">
                  <c:v>45969</c:v>
                </c:pt>
                <c:pt idx="20">
                  <c:v>45971</c:v>
                </c:pt>
                <c:pt idx="21">
                  <c:v>45972</c:v>
                </c:pt>
                <c:pt idx="22">
                  <c:v>45973</c:v>
                </c:pt>
                <c:pt idx="23">
                  <c:v>45974</c:v>
                </c:pt>
                <c:pt idx="24">
                  <c:v>45975</c:v>
                </c:pt>
                <c:pt idx="25">
                  <c:v>45978</c:v>
                </c:pt>
                <c:pt idx="26">
                  <c:v>45979</c:v>
                </c:pt>
                <c:pt idx="27">
                  <c:v>45980</c:v>
                </c:pt>
                <c:pt idx="28">
                  <c:v>45981</c:v>
                </c:pt>
                <c:pt idx="29">
                  <c:v>45982</c:v>
                </c:pt>
                <c:pt idx="30">
                  <c:v>45983</c:v>
                </c:pt>
                <c:pt idx="31">
                  <c:v>45984</c:v>
                </c:pt>
                <c:pt idx="32">
                  <c:v>45985</c:v>
                </c:pt>
                <c:pt idx="33">
                  <c:v>45986</c:v>
                </c:pt>
                <c:pt idx="34">
                  <c:v>45987</c:v>
                </c:pt>
                <c:pt idx="35">
                  <c:v>45988</c:v>
                </c:pt>
                <c:pt idx="36">
                  <c:v>45989</c:v>
                </c:pt>
                <c:pt idx="37">
                  <c:v>45990</c:v>
                </c:pt>
                <c:pt idx="38">
                  <c:v>45991</c:v>
                </c:pt>
                <c:pt idx="39">
                  <c:v>45992</c:v>
                </c:pt>
                <c:pt idx="40">
                  <c:v>45993</c:v>
                </c:pt>
                <c:pt idx="41">
                  <c:v>45994</c:v>
                </c:pt>
                <c:pt idx="42">
                  <c:v>45995</c:v>
                </c:pt>
                <c:pt idx="43">
                  <c:v>45996</c:v>
                </c:pt>
                <c:pt idx="44">
                  <c:v>45999</c:v>
                </c:pt>
                <c:pt idx="45">
                  <c:v>46000</c:v>
                </c:pt>
                <c:pt idx="46">
                  <c:v>46001</c:v>
                </c:pt>
                <c:pt idx="47">
                  <c:v>46002</c:v>
                </c:pt>
              </c:numCache>
            </c:numRef>
          </c:cat>
          <c:val>
            <c:numRef>
              <c:f>'Analise-Out'!$C$28:$C$75</c:f>
              <c:numCache>
                <c:formatCode>General</c:formatCode>
                <c:ptCount val="48"/>
                <c:pt idx="0">
                  <c:v>2</c:v>
                </c:pt>
                <c:pt idx="1">
                  <c:v>7</c:v>
                </c:pt>
                <c:pt idx="2">
                  <c:v>22</c:v>
                </c:pt>
                <c:pt idx="3">
                  <c:v>26</c:v>
                </c:pt>
                <c:pt idx="4">
                  <c:v>24</c:v>
                </c:pt>
                <c:pt idx="5">
                  <c:v>24</c:v>
                </c:pt>
                <c:pt idx="6">
                  <c:v>35</c:v>
                </c:pt>
                <c:pt idx="7">
                  <c:v>32</c:v>
                </c:pt>
                <c:pt idx="8" formatCode="#,##0_ ;\-#,##0\ ">
                  <c:v>33</c:v>
                </c:pt>
                <c:pt idx="9" formatCode="#,##0_ ;\-#,##0\ ">
                  <c:v>34</c:v>
                </c:pt>
                <c:pt idx="10" formatCode="#,##0_ ;\-#,##0\ ">
                  <c:v>34</c:v>
                </c:pt>
                <c:pt idx="11" formatCode="#,##0_ ;\-#,##0\ ">
                  <c:v>32</c:v>
                </c:pt>
                <c:pt idx="12" formatCode="#,##0_ ;\-#,##0\ ">
                  <c:v>32</c:v>
                </c:pt>
                <c:pt idx="13" formatCode="#,##0_ ;\-#,##0\ ">
                  <c:v>33</c:v>
                </c:pt>
                <c:pt idx="14" formatCode="#,##0_ ;\-#,##0\ ">
                  <c:v>33</c:v>
                </c:pt>
                <c:pt idx="15" formatCode="#,##0_ ;\-#,##0\ ">
                  <c:v>35</c:v>
                </c:pt>
                <c:pt idx="16" formatCode="#,##0_ ;\-#,##0\ ">
                  <c:v>35</c:v>
                </c:pt>
                <c:pt idx="17" formatCode="#,##0_ ;\-#,##0\ ">
                  <c:v>40</c:v>
                </c:pt>
                <c:pt idx="18" formatCode="#,##0_ ;\-#,##0\ ">
                  <c:v>43</c:v>
                </c:pt>
                <c:pt idx="19" formatCode="#,##0_ ;\-#,##0\ ">
                  <c:v>43</c:v>
                </c:pt>
                <c:pt idx="20" formatCode="#,##0_ ;\-#,##0\ ">
                  <c:v>46</c:v>
                </c:pt>
                <c:pt idx="21" formatCode="#,##0_ ;\-#,##0\ ">
                  <c:v>50</c:v>
                </c:pt>
                <c:pt idx="22" formatCode="#,##0_ ;\-#,##0\ ">
                  <c:v>53</c:v>
                </c:pt>
                <c:pt idx="23" formatCode="#,##0_ ;\-#,##0\ ">
                  <c:v>54</c:v>
                </c:pt>
                <c:pt idx="24" formatCode="#,##0_ ;\-#,##0\ ">
                  <c:v>61</c:v>
                </c:pt>
                <c:pt idx="25" formatCode="#,##0_ ;\-#,##0\ ">
                  <c:v>73</c:v>
                </c:pt>
                <c:pt idx="26" formatCode="#,##0_ ;\-#,##0\ ">
                  <c:v>92</c:v>
                </c:pt>
                <c:pt idx="27" formatCode="#,##0_ ;\-#,##0\ ">
                  <c:v>118</c:v>
                </c:pt>
                <c:pt idx="28" formatCode="#,##0_ ;\-#,##0\ ">
                  <c:v>118</c:v>
                </c:pt>
                <c:pt idx="29" formatCode="#,##0_ ;\-#,##0\ ">
                  <c:v>236</c:v>
                </c:pt>
                <c:pt idx="30" formatCode="#,##0_ ;\-#,##0\ ">
                  <c:v>236</c:v>
                </c:pt>
                <c:pt idx="31" formatCode="#,##0_ ;\-#,##0\ ">
                  <c:v>236</c:v>
                </c:pt>
                <c:pt idx="32" formatCode="#,##0_ ;\-#,##0\ ">
                  <c:v>23</c:v>
                </c:pt>
                <c:pt idx="33" formatCode="#,##0_ ;\-#,##0\ ">
                  <c:v>24</c:v>
                </c:pt>
                <c:pt idx="34" formatCode="#,##0_ ;\-#,##0\ ">
                  <c:v>25</c:v>
                </c:pt>
                <c:pt idx="35" formatCode="#,##0_ ;\-#,##0\ ">
                  <c:v>26</c:v>
                </c:pt>
                <c:pt idx="36" formatCode="#,##0_ ;\-#,##0\ ">
                  <c:v>27</c:v>
                </c:pt>
                <c:pt idx="37" formatCode="#,##0_ ;\-#,##0\ ">
                  <c:v>28</c:v>
                </c:pt>
                <c:pt idx="38" formatCode="#,##0_ ;\-#,##0\ ">
                  <c:v>29</c:v>
                </c:pt>
                <c:pt idx="39" formatCode="#,##0_ ;\-#,##0\ ">
                  <c:v>30</c:v>
                </c:pt>
                <c:pt idx="40" formatCode="#,##0_ ;\-#,##0\ ">
                  <c:v>40</c:v>
                </c:pt>
                <c:pt idx="41" formatCode="#,##0_ ;\-#,##0\ ">
                  <c:v>20</c:v>
                </c:pt>
                <c:pt idx="42" formatCode="#,##0_ ;\-#,##0\ ">
                  <c:v>21</c:v>
                </c:pt>
                <c:pt idx="43" formatCode="#,##0_ ;\-#,##0\ ">
                  <c:v>23</c:v>
                </c:pt>
                <c:pt idx="44" formatCode="#,##0_ ;\-#,##0\ ">
                  <c:v>23</c:v>
                </c:pt>
                <c:pt idx="45" formatCode="#,##0_ ;\-#,##0\ ">
                  <c:v>26</c:v>
                </c:pt>
                <c:pt idx="46" formatCode="#,##0_ ;\-#,##0\ ">
                  <c:v>27</c:v>
                </c:pt>
                <c:pt idx="47" formatCode="#,##0_ ;\-#,##0\ 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3A-417A-AC05-8EE7EF25E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803776"/>
        <c:axId val="259804736"/>
      </c:lineChart>
      <c:dateAx>
        <c:axId val="259803776"/>
        <c:scaling>
          <c:orientation val="minMax"/>
        </c:scaling>
        <c:delete val="1"/>
        <c:axPos val="b"/>
        <c:numFmt formatCode="dd/mm/yy;@" sourceLinked="1"/>
        <c:majorTickMark val="none"/>
        <c:minorTickMark val="none"/>
        <c:tickLblPos val="nextTo"/>
        <c:crossAx val="259804736"/>
        <c:crosses val="autoZero"/>
        <c:auto val="1"/>
        <c:lblOffset val="100"/>
        <c:baseTimeUnit val="days"/>
      </c:dateAx>
      <c:valAx>
        <c:axId val="25980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9803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Inbound - Testes Homologados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'Analise-In'!$B$16</c:f>
              <c:strCache>
                <c:ptCount val="1"/>
                <c:pt idx="0">
                  <c:v>Concluídos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'Analise-In'!$A$17:$A$41</c:f>
              <c:numCache>
                <c:formatCode>dd/mm/yy;@</c:formatCode>
                <c:ptCount val="25"/>
                <c:pt idx="0">
                  <c:v>45967</c:v>
                </c:pt>
                <c:pt idx="1">
                  <c:v>45968</c:v>
                </c:pt>
                <c:pt idx="2">
                  <c:v>45971</c:v>
                </c:pt>
                <c:pt idx="3">
                  <c:v>45972</c:v>
                </c:pt>
                <c:pt idx="4">
                  <c:v>45980</c:v>
                </c:pt>
                <c:pt idx="5">
                  <c:v>45981</c:v>
                </c:pt>
                <c:pt idx="6">
                  <c:v>45982</c:v>
                </c:pt>
                <c:pt idx="7">
                  <c:v>45983</c:v>
                </c:pt>
                <c:pt idx="8">
                  <c:v>45984</c:v>
                </c:pt>
                <c:pt idx="9">
                  <c:v>45985</c:v>
                </c:pt>
                <c:pt idx="10">
                  <c:v>45986</c:v>
                </c:pt>
                <c:pt idx="11">
                  <c:v>45987</c:v>
                </c:pt>
                <c:pt idx="12">
                  <c:v>45988</c:v>
                </c:pt>
                <c:pt idx="13">
                  <c:v>45989</c:v>
                </c:pt>
                <c:pt idx="14">
                  <c:v>45990</c:v>
                </c:pt>
                <c:pt idx="15">
                  <c:v>45991</c:v>
                </c:pt>
                <c:pt idx="16">
                  <c:v>45992</c:v>
                </c:pt>
                <c:pt idx="17">
                  <c:v>45993</c:v>
                </c:pt>
                <c:pt idx="18">
                  <c:v>45994</c:v>
                </c:pt>
                <c:pt idx="19">
                  <c:v>45995</c:v>
                </c:pt>
                <c:pt idx="20">
                  <c:v>45996</c:v>
                </c:pt>
                <c:pt idx="21">
                  <c:v>45999</c:v>
                </c:pt>
                <c:pt idx="22">
                  <c:v>46000</c:v>
                </c:pt>
                <c:pt idx="23">
                  <c:v>46001</c:v>
                </c:pt>
                <c:pt idx="24">
                  <c:v>46002</c:v>
                </c:pt>
              </c:numCache>
            </c:numRef>
          </c:cat>
          <c:val>
            <c:numRef>
              <c:f>'Analise-In'!$B$17:$B$41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16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42-47E5-9162-5579B986E16F}"/>
            </c:ext>
          </c:extLst>
        </c:ser>
        <c:ser>
          <c:idx val="1"/>
          <c:order val="1"/>
          <c:tx>
            <c:strRef>
              <c:f>'Analise-In'!$C$16</c:f>
              <c:strCache>
                <c:ptCount val="1"/>
                <c:pt idx="0">
                  <c:v>Méta 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'Analise-In'!$A$17:$A$41</c:f>
              <c:numCache>
                <c:formatCode>dd/mm/yy;@</c:formatCode>
                <c:ptCount val="25"/>
                <c:pt idx="0">
                  <c:v>45967</c:v>
                </c:pt>
                <c:pt idx="1">
                  <c:v>45968</c:v>
                </c:pt>
                <c:pt idx="2">
                  <c:v>45971</c:v>
                </c:pt>
                <c:pt idx="3">
                  <c:v>45972</c:v>
                </c:pt>
                <c:pt idx="4">
                  <c:v>45980</c:v>
                </c:pt>
                <c:pt idx="5">
                  <c:v>45981</c:v>
                </c:pt>
                <c:pt idx="6">
                  <c:v>45982</c:v>
                </c:pt>
                <c:pt idx="7">
                  <c:v>45983</c:v>
                </c:pt>
                <c:pt idx="8">
                  <c:v>45984</c:v>
                </c:pt>
                <c:pt idx="9">
                  <c:v>45985</c:v>
                </c:pt>
                <c:pt idx="10">
                  <c:v>45986</c:v>
                </c:pt>
                <c:pt idx="11">
                  <c:v>45987</c:v>
                </c:pt>
                <c:pt idx="12">
                  <c:v>45988</c:v>
                </c:pt>
                <c:pt idx="13">
                  <c:v>45989</c:v>
                </c:pt>
                <c:pt idx="14">
                  <c:v>45990</c:v>
                </c:pt>
                <c:pt idx="15">
                  <c:v>45991</c:v>
                </c:pt>
                <c:pt idx="16">
                  <c:v>45992</c:v>
                </c:pt>
                <c:pt idx="17">
                  <c:v>45993</c:v>
                </c:pt>
                <c:pt idx="18">
                  <c:v>45994</c:v>
                </c:pt>
                <c:pt idx="19">
                  <c:v>45995</c:v>
                </c:pt>
                <c:pt idx="20">
                  <c:v>45996</c:v>
                </c:pt>
                <c:pt idx="21">
                  <c:v>45999</c:v>
                </c:pt>
                <c:pt idx="22">
                  <c:v>46000</c:v>
                </c:pt>
                <c:pt idx="23">
                  <c:v>46001</c:v>
                </c:pt>
                <c:pt idx="24">
                  <c:v>46002</c:v>
                </c:pt>
              </c:numCache>
            </c:numRef>
          </c:cat>
          <c:val>
            <c:numRef>
              <c:f>'Analise-In'!$C$17:$C$41</c:f>
              <c:numCache>
                <c:formatCode>General</c:formatCode>
                <c:ptCount val="25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29</c:v>
                </c:pt>
                <c:pt idx="17" formatCode="0">
                  <c:v>21</c:v>
                </c:pt>
                <c:pt idx="18" formatCode="0">
                  <c:v>10</c:v>
                </c:pt>
                <c:pt idx="19" formatCode="0">
                  <c:v>12</c:v>
                </c:pt>
                <c:pt idx="20" formatCode="0">
                  <c:v>10</c:v>
                </c:pt>
                <c:pt idx="21" formatCode="0">
                  <c:v>9</c:v>
                </c:pt>
                <c:pt idx="22" formatCode="0">
                  <c:v>10</c:v>
                </c:pt>
                <c:pt idx="23" formatCode="0">
                  <c:v>11</c:v>
                </c:pt>
                <c:pt idx="24" formatCode="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42-47E5-9162-5579B986E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079023"/>
        <c:axId val="158079983"/>
      </c:lineChart>
      <c:dateAx>
        <c:axId val="158079023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079983"/>
        <c:crosses val="autoZero"/>
        <c:auto val="1"/>
        <c:lblOffset val="100"/>
        <c:baseTimeUnit val="days"/>
      </c:dateAx>
      <c:valAx>
        <c:axId val="15807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0790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103841</xdr:colOff>
      <xdr:row>1</xdr:row>
      <xdr:rowOff>134471</xdr:rowOff>
    </xdr:from>
    <xdr:to>
      <xdr:col>6</xdr:col>
      <xdr:colOff>515471</xdr:colOff>
      <xdr:row>23</xdr:row>
      <xdr:rowOff>160244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28F384-6C18-4A6F-B0B9-2435D450D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103841</xdr:colOff>
      <xdr:row>1</xdr:row>
      <xdr:rowOff>134471</xdr:rowOff>
    </xdr:from>
    <xdr:to>
      <xdr:col>6</xdr:col>
      <xdr:colOff>1538941</xdr:colOff>
      <xdr:row>23</xdr:row>
      <xdr:rowOff>160244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DC5FD3-DC1E-D7E3-E3CB-B03904E48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41274</xdr:colOff>
      <xdr:row>1</xdr:row>
      <xdr:rowOff>112712</xdr:rowOff>
    </xdr:from>
    <xdr:to>
      <xdr:col>6</xdr:col>
      <xdr:colOff>2590800</xdr:colOff>
      <xdr:row>13</xdr:row>
      <xdr:rowOff>82550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FC8F3C-FC4E-8DA8-FB70-838E90FCB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DE3DBAE8-AD0A-4E0C-B08F-5AAE9E983EDD}">
    <nsvFilter filterId="{B5A403D0-8458-4915-AE9C-C9F8E71C833E}" ref="A1:AA638" tableId="4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FCBE9100-C53B-4F67-9B23-580C16007D40}">
    <nsvFilter filterId="{E585E56E-1539-4E49-B5DE-4A1E13E26BF6}" ref="A1:L155" tableId="3"/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002.844357638889" createdVersion="8" refreshedVersion="8" minRefreshableVersion="3" recordCount="154" xr:uid="{11116494-A1AF-4E71-B1C7-44BFB2F8F13E}">
  <cacheSource type="worksheet">
    <worksheetSource name="Tabela3"/>
  </cacheSource>
  <cacheFields count="12">
    <cacheField name="ID" numFmtId="0">
      <sharedItems count="254">
        <s v="INB-G5_2"/>
        <s v="INB-G5_3"/>
        <s v="INB-G5_4"/>
        <s v="INB-G5_5"/>
        <s v="INB-G5_6"/>
        <s v="INB-G5_7"/>
        <s v="INB-G5_8"/>
        <s v="INB-G5_9"/>
        <s v="INB-G5_10"/>
        <s v="INB-G5_11"/>
        <s v="INB-G5_12"/>
        <s v="INB-C9_13"/>
        <s v="INB-C9_14"/>
        <s v="INB-C9_15"/>
        <s v="INB-C9_16"/>
        <s v="INB-C9_17"/>
        <s v="INB-C9_18"/>
        <s v="INB-C9_19"/>
        <s v="INB-C9_20"/>
        <s v="INB-C9_21"/>
        <s v="INB-C9_22"/>
        <s v="INB-C9_23"/>
        <s v="INB-P9_24"/>
        <s v="INB-P9_25"/>
        <s v="INB-P9_26"/>
        <s v="INB-P9_27"/>
        <s v="INB-P9_28"/>
        <s v="INB-P9_29"/>
        <s v="INB-P9_30"/>
        <s v="INB-P9_31"/>
        <s v="INB-P9_32"/>
        <s v="INB-P9_33"/>
        <s v="INB-P9_34"/>
        <s v="INB-P1_35"/>
        <s v="INB-P1_36"/>
        <s v="INB-P1_37"/>
        <s v="INB-P1_38"/>
        <s v="INB-P1_39"/>
        <s v="INB-P1_40"/>
        <s v="INB-P1_41"/>
        <s v="INB-P1_42"/>
        <s v="INB-P1_43"/>
        <s v="INB-P1_44"/>
        <s v="INB-P1_45"/>
        <s v="INB-CG_46"/>
        <s v="INB-CG_47"/>
        <s v="INB-CG_48"/>
        <s v="INB-CG_49"/>
        <s v="INB-CG_50"/>
        <s v="INB-CG_51"/>
        <s v="INB-CG_52"/>
        <s v="INB-CG_53"/>
        <s v="INB-CG_54"/>
        <s v="INB-CG_55"/>
        <s v="INB-CG_56"/>
        <s v="INB-C8_57"/>
        <s v="INB-C8_58"/>
        <s v="INB-C8_59"/>
        <s v="INB-C8_60"/>
        <s v="INB-C8_61"/>
        <s v="INB-C8_62"/>
        <s v="INB-C8_63"/>
        <s v="INB-C8_64"/>
        <s v="INB-C8_65"/>
        <s v="INB-C8_66"/>
        <s v="INB-C8_67"/>
        <s v="INB-IP_68"/>
        <s v="INB-IP_69"/>
        <s v="INB-IP_70"/>
        <s v="INB-IP_71"/>
        <s v="INB-IP_72"/>
        <s v="INB-IP_73"/>
        <s v="INB-IP_74"/>
        <s v="INB-IP_75"/>
        <s v="INB-IP_76"/>
        <s v="INB-IP_77"/>
        <s v="INB-IP_78"/>
        <s v="INB-P0_79"/>
        <s v="INB-P0_80"/>
        <s v="INB-P0_81"/>
        <s v="INB-P0_82"/>
        <s v="INB-P0_83"/>
        <s v="INB-P0_84"/>
        <s v="INB-P0_85"/>
        <s v="INB-P0_86"/>
        <s v="INB-P0_87"/>
        <s v="INB-P0_88"/>
        <s v="INB-P0_89"/>
        <s v="INB-CS_90"/>
        <s v="INB-CS_91"/>
        <s v="INB-CS_92"/>
        <s v="INB-CS_93"/>
        <s v="INB-CS_94"/>
        <s v="INB-CS_95"/>
        <s v="INB-CS_96"/>
        <s v="INB-CS_97"/>
        <s v="INB-CS_98"/>
        <s v="INB-CS_99"/>
        <s v="INB-CS_100"/>
        <s v="INB-T2_101"/>
        <s v="INB-T2_102"/>
        <s v="INB-T2_103"/>
        <s v="INB-T2_104"/>
        <s v="INB-T2_105"/>
        <s v="INB-T2_106"/>
        <s v="INB-T2_107"/>
        <s v="INB-T2_108"/>
        <s v="INB-T2_109"/>
        <s v="INB-T2_110"/>
        <s v="INB-T2_111"/>
        <s v="INB-P2_112"/>
        <s v="INB-P2_113"/>
        <s v="INB-P2_114"/>
        <s v="INB-P2_115"/>
        <s v="INB-P2_116"/>
        <s v="INB-P2_117"/>
        <s v="INB-P2_118"/>
        <s v="INB-P2_119"/>
        <s v="INB-P2_120"/>
        <s v="INB-P2_121"/>
        <s v="INB-P2_122"/>
        <s v="INB-P2_123"/>
        <s v="INB-P2_124"/>
        <s v="INB-P2_125"/>
        <s v="INB-P2_126"/>
        <s v="INB-P2_127"/>
        <s v="INB-P2_128"/>
        <s v="INB-P2_129"/>
        <s v="INB-P2_130"/>
        <s v="INB-P2_131"/>
        <s v="INB-P2_132"/>
        <s v="INB-P2_133"/>
        <s v="INB-HL_134"/>
        <s v="INB-HL_135"/>
        <s v="INB-HL_136"/>
        <s v="INB-HL_137"/>
        <s v="INB-HL_138"/>
        <s v="INB-HL_139"/>
        <s v="INB-HL_140"/>
        <s v="INB-HL_141"/>
        <s v="INB-RE_142"/>
        <s v="INB-RE_143"/>
        <s v="INB-RE_144"/>
        <s v="INB-RE_145"/>
        <s v="INB-RE_146"/>
        <s v="INB-RE_147"/>
        <s v="INB-Ou_148"/>
        <s v="INB-Ou_149"/>
        <s v="INB-Ou_150"/>
        <s v="INB-Ou_151"/>
        <s v="INB-Ou_152"/>
        <s v="INB-Ou_153"/>
        <s v="INB-Ou_154"/>
        <s v="INB-Ou_155"/>
        <s v="INB-P2_68" u="1"/>
        <s v="INB-P2_69" u="1"/>
        <s v="INB-P2_70" u="1"/>
        <s v="INB-P2_71" u="1"/>
        <s v="INB-P2_72" u="1"/>
        <s v="INB-P2_73" u="1"/>
        <s v="INB-P2_74" u="1"/>
        <s v="INB-P2_75" u="1"/>
        <s v="INB-P2_76" u="1"/>
        <s v="INB-P2_77" u="1"/>
        <s v="INB-P2_78" u="1"/>
        <s v="INB-IP_79" u="1"/>
        <s v="INB-IP_80" u="1"/>
        <s v="INB-IP_81" u="1"/>
        <s v="INB-IP_82" u="1"/>
        <s v="INB-IP_83" u="1"/>
        <s v="INB-IP_84" u="1"/>
        <s v="INB-IP_85" u="1"/>
        <s v="INB-IP_86" u="1"/>
        <s v="INB-IP_87" u="1"/>
        <s v="INB-IP_88" u="1"/>
        <s v="INB-IP_89" u="1"/>
        <s v="INB-P0_90" u="1"/>
        <s v="INB-P0_91" u="1"/>
        <s v="INB-P0_92" u="1"/>
        <s v="INB-P0_93" u="1"/>
        <s v="INB-P0_94" u="1"/>
        <s v="INB-P0_95" u="1"/>
        <s v="INB-P0_96" u="1"/>
        <s v="INB-P0_97" u="1"/>
        <s v="INB-P0_98" u="1"/>
        <s v="INB-P0_99" u="1"/>
        <s v="INB-P0_100" u="1"/>
        <s v="INB-CS_101" u="1"/>
        <s v="INB-CS_102" u="1"/>
        <s v="INB-CS_103" u="1"/>
        <s v="INB-CS_104" u="1"/>
        <s v="INB-CS_105" u="1"/>
        <s v="INB-CS_106" u="1"/>
        <s v="INB-CS_107" u="1"/>
        <s v="INB-CS_108" u="1"/>
        <s v="INB-CS_109" u="1"/>
        <s v="INB-CS_110" u="1"/>
        <s v="INB-CS_111" u="1"/>
        <s v="INB-T2_112" u="1"/>
        <s v="INB-T2_113" u="1"/>
        <s v="INB-T2_114" u="1"/>
        <s v="INB-T2_115" u="1"/>
        <s v="INB-T2_116" u="1"/>
        <s v="INB-T2_117" u="1"/>
        <s v="INB-T2_118" u="1"/>
        <s v="INB-T2_119" u="1"/>
        <s v="INB-T2_120" u="1"/>
        <s v="INB-T2_121" u="1"/>
        <s v="INB-T2_122" u="1"/>
        <s v="INB-P2_134" u="1"/>
        <s v="INB-P2_135" u="1"/>
        <s v="INB-P2_136" u="1"/>
        <s v="INB-P2_137" u="1"/>
        <s v="INB-P2_138" u="1"/>
        <s v="INB-P2_139" u="1"/>
        <s v="INB-P2_140" u="1"/>
        <s v="INB-P2_141" u="1"/>
        <s v="INB-P2_142" u="1"/>
        <s v="INB-P2_143" u="1"/>
        <s v="INB-P2_144" u="1"/>
        <s v="INB-HL_145" u="1"/>
        <s v="INB-HL_146" u="1"/>
        <s v="INB-HL_147" u="1"/>
        <s v="INB-HL_148" u="1"/>
        <s v="INB-HL_149" u="1"/>
        <s v="INB-HL_150" u="1"/>
        <s v="INB-HL_151" u="1"/>
        <s v="INB-HL_152" u="1"/>
        <s v="INB-RE_153" u="1"/>
        <s v="INB-RE_154" u="1"/>
        <s v="INB-RE_155" u="1"/>
        <s v="INB-RE_156" u="1"/>
        <s v="INB-RE_157" u="1"/>
        <s v="INB-RE_158" u="1"/>
        <s v="INB-Ou_159" u="1"/>
        <s v="INB-Ou_160" u="1"/>
        <s v="INB-Ou_161" u="1"/>
        <s v="INB-Ou_162" u="1"/>
        <s v="INB-Ou_163" u="1"/>
        <s v="INB-Ou_164" u="1"/>
        <s v="INB-Ou_165" u="1"/>
        <s v="INB-Ou_166" u="1"/>
        <s v="INB-ID_79" u="1"/>
        <s v="INB-ID_80" u="1"/>
        <s v="INB-ID_81" u="1"/>
        <s v="INB-ID_82" u="1"/>
        <s v="INB-ID_83" u="1"/>
        <s v="INB-ID_84" u="1"/>
        <s v="INB-ID_85" u="1"/>
        <s v="INB-ID_86" u="1"/>
        <s v="INB-ID_87" u="1"/>
        <s v="INB-ID_88" u="1"/>
        <s v="INB-ID_89" u="1"/>
        <s v="INB-_163" u="1"/>
      </sharedItems>
    </cacheField>
    <cacheField name="Cenário" numFmtId="0">
      <sharedItems containsBlank="1" count="25">
        <s v="G5 - MM Ind.: PIS+COFINS c/cred."/>
        <s v="C9 - MM Consumo: ICMS+DIFAL s/cred.+PIS+COFINS c/cred."/>
        <s v="P9 - MM Ind.: ICMS s/cred.+PIS+COFINS c/cred."/>
        <s v="P1 - MM Ind.: ICMS+PIS+COFINS c/cred."/>
        <s v="CG - MM Consumo: ICMS+ICMS ST s/cre.+PIS+COFINS c/cred."/>
        <s v="C8 - MM Consumo: PIS+COFINS c/cred. - Oper. Inter"/>
        <s v="IP - MM Industrial:ICMS+COFINS+PIS c/cred.+IPI s/cred"/>
        <s v="P0 - MM Ind.: Sem Impostos"/>
        <s v="CS - MM Consumo/Ativo: Optante SN - DIFAL"/>
        <s v="T2 - MM Ativo: ICMS + ICMS ST s/cred.  Com FCP"/>
        <s v="P2 - MM Ind.: ICMS c/cred.  - ICMS Desonerado Sem Desconto"/>
        <s v="P2 - MM Ind.: ICMS c/cred.  - ICMS Desonerado Com Desconto"/>
        <s v="HL - MM Entr. Futura - RF: Consumo Sem Impostos"/>
        <s v="REMESSA OUTRAS ENTRADAS - 5949/6949"/>
        <s v="REMESSA COMODATO  - 5908/6909"/>
        <s v="REMESSA COMODATO  - 5908/6908"/>
        <s v="REMESSA COMODATO  - 5908/6911"/>
        <s v="Outros Testes"/>
        <s v="REMESSA COMODATO  - 5908/6910" u="1"/>
        <s v="REMESSA OUTRAS ENTRADAS - 5949/6950" u="1"/>
        <s v="REMESSA OUTRAS ENTRADAS - 5949/6951" u="1"/>
        <s v="REMESSA OUTRAS ENTRADAS - 5949/6952" u="1"/>
        <s v="P2 - MM Ind.: ICMS c/cred." u="1"/>
        <s v="ID - MM Industrial:ICMS+COFINS+PIS c/cred.+IPI s/cred" u="1"/>
        <m u="1"/>
      </sharedItems>
    </cacheField>
    <cacheField name="Tarefa" numFmtId="0">
      <sharedItems containsBlank="1" count="21">
        <s v="Criar requisição de compras"/>
        <s v="Criar e liberar pedido de compras"/>
        <s v="Realizar validação tributária - Pedido de compras"/>
        <s v="Realizar pré-recebimento da nota fiscal - Geração da remessa"/>
        <s v="Cadastrar MIGO"/>
        <s v="Realizar validação de estoque"/>
        <s v="Cadastrar MIRO"/>
        <s v="Realizar validação tributária - SAP"/>
        <s v="Realizar validação contábil"/>
        <s v="Realizar validação Obrigações Acessórias - TaxOne"/>
        <s v="Realizar validação Títulos Financeiros"/>
        <s v="Realizar lançamento DRC"/>
        <s v="Realizar validação via J1B3N"/>
        <s v="Relatório 180 dias"/>
        <s v="Notas de transferencia de Cana e Insumos Matriz x Fazenda Filial"/>
        <s v="Nota Compra de Cana PIMS"/>
        <s v="Nota de Transferencia Insumos Moema (Fabrica Fertilizantes x Moema Filial)"/>
        <s v="Transferencia Matriz/Filial (PIMS) - Insumos"/>
        <s v="Transferencia Matriz/Filial (PIMS) - Combútivel"/>
        <s v="Transferencia Matriz/Filial (PIMS) - Diesel"/>
        <m u="1"/>
      </sharedItems>
    </cacheField>
    <cacheField name="Responsável" numFmtId="0">
      <sharedItems containsBlank="1" count="12">
        <s v="Josiane Florenço"/>
        <s v="Kelly Ribeiro"/>
        <s v="Livia Beserra"/>
        <s v="Edson Oliveira"/>
        <s v="Macos Nunes"/>
        <s v="Caruline/Talita/Breno"/>
        <s v="Naiara Toledo"/>
        <s v="Elisa Alves"/>
        <s v="Pricilla Silva"/>
        <s v="Marcos Nunes" u="1"/>
        <s v="Arthur Cruz" u="1"/>
        <m u="1"/>
      </sharedItems>
    </cacheField>
    <cacheField name="Nr Documento SAP" numFmtId="0">
      <sharedItems containsBlank="1" containsMixedTypes="1" containsNumber="1" containsInteger="1" minValue="20823938" maxValue="5109666465"/>
    </cacheField>
    <cacheField name="Doc Ref BEP" numFmtId="0">
      <sharedItems containsBlank="1" containsMixedTypes="1" containsNumber="1" containsInteger="1" minValue="20873836" maxValue="5109666555"/>
    </cacheField>
    <cacheField name="Status" numFmtId="0">
      <sharedItems containsBlank="1" count="8">
        <s v="Keyuser - Concluído "/>
        <s v="Não liberado  para testes"/>
        <s v="TI bp - Em correção"/>
        <s v="Elo - Em correção "/>
        <s v="Keyuser - Aguardando tarefa precedente"/>
        <s v="Keyuser - Pendente"/>
        <s v="Keyuser - Com problemas " u="1"/>
        <m u="1"/>
      </sharedItems>
    </cacheField>
    <cacheField name="Dt Inicial" numFmtId="0">
      <sharedItems containsDate="1" containsBlank="1" containsMixedTypes="1" minDate="2025-04-12T00:00:00" maxDate="2025-12-12T00:00:00"/>
    </cacheField>
    <cacheField name="Tempo Previsto" numFmtId="0">
      <sharedItems containsNonDate="0" containsString="0" containsBlank="1"/>
    </cacheField>
    <cacheField name="Dt Conclusão" numFmtId="0">
      <sharedItems containsNonDate="0" containsDate="1" containsString="0" containsBlank="1" minDate="2025-04-12T00:00:00" maxDate="2025-12-12T00:00:00"/>
    </cacheField>
    <cacheField name="Observação" numFmtId="0">
      <sharedItems containsBlank="1" count="42">
        <m/>
        <s v="NF 975109"/>
        <s v="Campo atribuição sem a informação de pedido de compras"/>
        <s v="NF 511420 DOC 46482394"/>
        <s v="NF 164056"/>
        <s v="Tem redução do ICMS porem trouxe base cheia"/>
        <s v="NF 85512"/>
        <s v="NF 425180"/>
        <s v="NF 15858"/>
        <s v="Todos os itens do boletim 183855905  não subiu para estoque"/>
        <s v="NF 71360"/>
        <s v="Bases PIS/COFINS _ IBS/CBS incorretas"/>
        <s v="NF 196344"/>
        <s v="NF 22296"/>
        <s v="NF 594814"/>
        <s v="Material 670912 não subiu para estoque"/>
        <s v="não trouxe redução do ICMS, sem o montante base excluida"/>
        <s v="NF 158505"/>
        <s v="NF 17452"/>
        <s v="Obs.: Alterado para o IVA H1"/>
        <s v="IBS / CBS não flegado como estatistico"/>
        <s v="Validado com ressalva (Cclastrib veio incorreta_000001-Situações tributadas integralmente pelo IBS e CBS_Correto seria esse: 410999-Operações não onerosas sem tributação)"/>
        <s v="Falta autorização para o pedido 4501883763" u="1"/>
        <s v="Falta autorização para o pedido 4501879989" u="1"/>
        <s v="Fornecimento 183855853 não se encontra no banco de dados nem no arquivo" u="1"/>
        <s v="Erro na base de calculo do IBS e CBS" u="1"/>
        <s v="Refazer a requisição igual essa que já foi feita" u="1"/>
        <s v="NF 8587" u="1"/>
        <s v="item 50 da requisição" u="1"/>
        <s v="item 350 da requisição" u="1"/>
        <s v="Item 190 e 360 da requisição " u="1"/>
        <s v="Kelly Ajustar pedido  - Livia planilha" u="1"/>
        <s v="Kelly Fazer pedido com o item 8078120" u="1"/>
        <s v="Apenas o item 30 puxa o IVA C8" u="1"/>
        <s v="O item puxa o IVA P0" u="1"/>
        <s v="A ordem 106945074 não existe" u="1"/>
        <s v="Precisa de PEP em ambiente do BEC" u="1"/>
        <s v="Ajustar pedido  - Livia planilha" u="1"/>
        <s v="Expandir o codigo em BEC" u="1"/>
        <s v="Requisição não existe" u="1"/>
        <s v="Não trouxe a redução aplicada na regra da FV" u="1"/>
        <s v="Bases ficaram erradas de IBS e CBS" u="1"/>
      </sharedItems>
    </cacheField>
    <cacheField name="ID Tarefa Preceden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002.844357754628" createdVersion="8" refreshedVersion="8" minRefreshableVersion="3" recordCount="637" xr:uid="{7A2A108A-3798-4A82-837C-172EB72553EA}">
  <cacheSource type="worksheet">
    <worksheetSource name="Tabela4"/>
  </cacheSource>
  <cacheFields count="27">
    <cacheField name="ID" numFmtId="0">
      <sharedItems count="729">
        <s v="OUT-Y002_2"/>
        <s v="OUT-Y002_3"/>
        <s v="OUT-Y002_4"/>
        <s v="OUT-Y002_5"/>
        <s v="OUT-Y002_6"/>
        <s v="OUT-Y002_7"/>
        <s v="OUT-Y002_8"/>
        <s v="OUT-Y002_9"/>
        <s v="OUT-YDEV_10"/>
        <s v="OUT-YDEV_11"/>
        <s v="OUT-YDEV_12"/>
        <s v="OUT-YDEV_13"/>
        <s v="OUT-YDEV_14"/>
        <s v="OUT-YDEV_15"/>
        <s v="OUT-YRET_16"/>
        <s v="OUT-YRET_17"/>
        <s v="OUT-YRET_18"/>
        <s v="OUT-YRET_19"/>
        <s v="OUT-YRET_20"/>
        <s v="OUT-YRET_21"/>
        <s v="OUT-Y002_22"/>
        <s v="OUT-Y002_23"/>
        <s v="OUT-Y002_24"/>
        <s v="OUT-Y002_25"/>
        <s v="OUT-Y002_26"/>
        <s v="OUT-Y002_27"/>
        <s v="OUT-Y002_28"/>
        <s v="OUT-Y002_29"/>
        <s v="OUT-YDEV_30"/>
        <s v="OUT-YDEV_31"/>
        <s v="OUT-YDEV_32"/>
        <s v="OUT-YDEV_33"/>
        <s v="OUT-YDEV_34"/>
        <s v="OUT-YDEV_35"/>
        <s v="OUT-YRET_36"/>
        <s v="OUT-YRET_37"/>
        <s v="OUT-YRET_38"/>
        <s v="OUT-YRET_39"/>
        <s v="OUT-YRET_40"/>
        <s v="OUT-YRET_41"/>
        <s v="OUT-Y002_42"/>
        <s v="OUT-Y002_43"/>
        <s v="OUT-Y002_44"/>
        <s v="OUT-Y002_45"/>
        <s v="OUT-Y002_46"/>
        <s v="OUT-Y002_47"/>
        <s v="OUT-Y002_48"/>
        <s v="OUT-Y002_49"/>
        <s v="OUT-YDEV_50"/>
        <s v="OUT-YDEV_51"/>
        <s v="OUT-YDEV_52"/>
        <s v="OUT-YDEV_53"/>
        <s v="OUT-YDEV_54"/>
        <s v="OUT-YDEV_55"/>
        <s v="OUT-YRET_56"/>
        <s v="OUT-YRET_57"/>
        <s v="OUT-YRET_58"/>
        <s v="OUT-YRET_59"/>
        <s v="OUT-YRET_60"/>
        <s v="OUT-YRET_61"/>
        <s v="OUT-Y002_62"/>
        <s v="OUT-Y002_63"/>
        <s v="OUT-Y002_64"/>
        <s v="OUT-Y002_65"/>
        <s v="OUT-Y002_66"/>
        <s v="OUT-Y002_67"/>
        <s v="OUT-Y002_68"/>
        <s v="OUT-Y002_69"/>
        <s v="OUT-YDEV_70"/>
        <s v="OUT-YDEV_71"/>
        <s v="OUT-YDEV_72"/>
        <s v="OUT-YDEV_73"/>
        <s v="OUT-YDEV_74"/>
        <s v="OUT-YDEV_75"/>
        <s v="OUT-YRET_76"/>
        <s v="OUT-YRET_77"/>
        <s v="OUT-YRET_78"/>
        <s v="OUT-YRET_79"/>
        <s v="OUT-YRET_80"/>
        <s v="OUT-YRET_81"/>
        <s v="OUT-Y002_82"/>
        <s v="OUT-Y002_83"/>
        <s v="OUT-Y002_84"/>
        <s v="OUT-Y002_85"/>
        <s v="OUT-Y002_86"/>
        <s v="OUT-Y002_87"/>
        <s v="OUT-Y002_88"/>
        <s v="OUT-Y002_89"/>
        <s v="OUT-YDEV_90"/>
        <s v="OUT-YDEV_91"/>
        <s v="OUT-YDEV_92"/>
        <s v="OUT-YDEV_93"/>
        <s v="OUT-YDEV_94"/>
        <s v="OUT-YDEV_95"/>
        <s v="OUT-YRET_96"/>
        <s v="OUT-YRET_97"/>
        <s v="OUT-YRET_98"/>
        <s v="OUT-YRET_99"/>
        <s v="OUT-YRET_100"/>
        <s v="OUT-YRET_101"/>
        <s v="OUT-Y002_102"/>
        <s v="OUT-Y002_103"/>
        <s v="OUT-Y002_104"/>
        <s v="OUT-Y002_105"/>
        <s v="OUT-Y002_106"/>
        <s v="OUT-Y002_107"/>
        <s v="OUT-Y002_108"/>
        <s v="OUT-Y002_109"/>
        <s v="OUT-YDEV_110"/>
        <s v="OUT-YDEV_111"/>
        <s v="OUT-YDEV_112"/>
        <s v="OUT-YDEV_113"/>
        <s v="OUT-YDEV_114"/>
        <s v="OUT-YDEV_115"/>
        <s v="OUT-YRET_116"/>
        <s v="OUT-YRET_117"/>
        <s v="OUT-YRET_118"/>
        <s v="OUT-YRET_119"/>
        <s v="OUT-YRET_120"/>
        <s v="OUT-YRET_121"/>
        <s v="OUT-Logum_122"/>
        <s v="OUT-Logum_123"/>
        <s v="OUT-Logum_124"/>
        <s v="OUT-Logum_125"/>
        <s v="OUT-Logum_126"/>
        <s v="OUT-Logum_127"/>
        <s v="OUT-Logum_128"/>
        <s v="OUT-Logum_129"/>
        <s v="OUT-Logum_130"/>
        <s v="OUT-Logum_131"/>
        <s v="OUT-Logum_132"/>
        <s v="OUT-Logum_133"/>
        <s v="OUT-Logum_134"/>
        <s v="OUT-Logum_135"/>
        <s v="OUT-Logum_136"/>
        <s v="OUT-Logum_137"/>
        <s v="OUT-Logum_138"/>
        <s v="OUT-Logum_139"/>
        <s v="OUT-Logum_140"/>
        <s v="OUT-Logum_141"/>
        <s v="OUT-Logum_142"/>
        <s v="OUT-Logum_143"/>
        <s v="OUT-Logum_144"/>
        <s v="OUT-Logum_145"/>
        <s v="OUT-Logum_146"/>
        <s v="OUT-Logum_147"/>
        <s v="OUT-Logum_148"/>
        <s v="OUT-Logum_149"/>
        <s v="OUT-Logum_150"/>
        <s v="OUT-Logum_151"/>
        <s v="OUT-Logum_152"/>
        <s v="OUT-Logum_153"/>
        <s v="OUT-Logum_154"/>
        <s v="OUT-Logum_155"/>
        <s v="OUT-Logum_156"/>
        <s v="OUT-Logum_157"/>
        <s v="OUT-Logum_158"/>
        <s v="OUT-Logum_159"/>
        <s v="OUT-OPLA_160"/>
        <s v="OUT-OPLA_161"/>
        <s v="OUT-OPLA_162"/>
        <s v="OUT-OPLA_163"/>
        <s v="OUT-OPLA_164"/>
        <s v="OUT-OPLA_165"/>
        <s v="OUT-OPLA_166"/>
        <s v="OUT-OPLA_167"/>
        <s v="OUT-OPLA_168"/>
        <s v="OUT-OPLA_169"/>
        <s v="OUT-OPLA_170"/>
        <s v="OUT-OPLA_171"/>
        <s v="OUT-OPLA_172"/>
        <s v="OUT-OPLA_173"/>
        <s v="OUT-OPLA_174"/>
        <s v="OUT-OPLA_175"/>
        <s v="OUT-OPLA_176"/>
        <s v="OUT-OPLA_177"/>
        <s v="OUT-OPLA_178"/>
        <s v="OUT-OPLA_179"/>
        <s v="OUT-OPLA_180"/>
        <s v="OUT-OPLA_181"/>
        <s v="OUT-OPLA_182"/>
        <s v="OUT-OPLA_183"/>
        <s v="OUT-OPLA_184"/>
        <s v="OUT-OPLA_185"/>
        <s v="OUT-OPLA_186"/>
        <s v="OUT-OPLA_187"/>
        <s v="OUT-OPLA_188"/>
        <s v="OUT-OPLA_189"/>
        <s v="OUT-OPLA_190"/>
        <s v="OUT-OPLA_191"/>
        <s v="OUT-OPLA_192"/>
        <s v="OUT-OPLA_193"/>
        <s v="OUT-OPLA_194"/>
        <s v="OUT-OPLA_195"/>
        <s v="OUT-OPLA_196"/>
        <s v="OUT-OPLA_197"/>
        <s v="OUT-Y036_198"/>
        <s v="OUT-Y036_199"/>
        <s v="OUT-Y036_200"/>
        <s v="OUT-Y036_201"/>
        <s v="OUT-Y036_202"/>
        <s v="OUT-Y036_203"/>
        <s v="OUT-Y036_204"/>
        <s v="OUT-Y036_205"/>
        <s v="OUT-Y036_206"/>
        <s v="OUT-Y036_207"/>
        <s v="OUT-Y036_208"/>
        <s v="OUT-Y036_209"/>
        <s v="OUT-Y036_210"/>
        <s v="OUT-Y036_211"/>
        <s v="OUT-Y036_212"/>
        <s v="OUT-Y036_213"/>
        <s v="OUT-Y036_214"/>
        <s v="OUT-Y036_215"/>
        <s v="OUT-Y036_216"/>
        <s v="OUT-Y036_217"/>
        <s v="OUT-Y036_218"/>
        <s v="OUT-Y036_219"/>
        <s v="OUT-Y036_220"/>
        <s v="OUT-Y036_221"/>
        <s v="OUT-Y036_222"/>
        <s v="OUT-Y036_223"/>
        <s v="OUT-Y036_224"/>
        <s v="OUT-Y036_225"/>
        <s v="OUT-Y036_226"/>
        <s v="OUT-Y036_227"/>
        <s v="OUT-Y036_228"/>
        <s v="OUT-Y036_229"/>
        <s v="OUT-Cockpit_230"/>
        <s v="OUT-Cockpit_231"/>
        <s v="OUT-Cockpit_232"/>
        <s v="OUT-Cockpit_233"/>
        <s v="OUT-Cockpit_234"/>
        <s v="OUT-Cockpit_235"/>
        <s v="OUT-Cockpit_236"/>
        <s v="OUT-Cockpit_237"/>
        <s v="OUT-Y006_238"/>
        <s v="OUT-Y006_239"/>
        <s v="OUT-Y006_240"/>
        <s v="OUT-Y006_241"/>
        <s v="OUT-Y006_242"/>
        <s v="OUT-Y006_243"/>
        <s v="OUT-Y006_244"/>
        <s v="OUT-Y006_245"/>
        <s v="OUT-YOR1_246"/>
        <s v="OUT-YOR1_247"/>
        <s v="OUT-YOR1_248"/>
        <s v="OUT-YOR1_249"/>
        <s v="OUT-YOR1_250"/>
        <s v="OUT-YOR1_251"/>
        <s v="OUT-YOR1_252"/>
        <s v="OUT-YOR1_253"/>
        <s v="OUT-YDEV_254"/>
        <s v="OUT-YDEV_255"/>
        <s v="OUT-YDEV_256"/>
        <s v="OUT-YDEV_257"/>
        <s v="OUT-YDEV_258"/>
        <s v="OUT-YDEV_259"/>
        <s v="OUT-YRET_260"/>
        <s v="OUT-YRET_261"/>
        <s v="OUT-YRET_262"/>
        <s v="OUT-YRET_263"/>
        <s v="OUT-YRET_264"/>
        <s v="OUT-YRET_265"/>
        <s v="OUT-Y073_266"/>
        <s v="OUT-Y073_267"/>
        <s v="OUT-Y073_268"/>
        <s v="OUT-Y073_269"/>
        <s v="OUT-Y073_270"/>
        <s v="OUT-Y073_271"/>
        <s v="OUT-Y073_272"/>
        <s v="OUT-Y073_273"/>
        <s v="OUT-YDEV_274"/>
        <s v="OUT-YDEV_275"/>
        <s v="OUT-YDEV_276"/>
        <s v="OUT-YDEV_277"/>
        <s v="OUT-YDEV_278"/>
        <s v="OUT-YDEV_279"/>
        <s v="OUT-YRET_280"/>
        <s v="OUT-YRET_281"/>
        <s v="OUT-YRET_282"/>
        <s v="OUT-YRET_283"/>
        <s v="OUT-YRET_284"/>
        <s v="OUT-YRET_285"/>
        <s v="OUT-YVFP_286"/>
        <s v="OUT-YVFP_287"/>
        <s v="OUT-YVFP_288"/>
        <s v="OUT-YVFP_289"/>
        <s v="OUT-YVFP_290"/>
        <s v="OUT-YVFP_291"/>
        <s v="OUT-YVFP_292"/>
        <s v="OUT-YVFP_293"/>
        <s v="OUT-YRFP_294"/>
        <s v="OUT-YRFP_295"/>
        <s v="OUT-YRFP_296"/>
        <s v="OUT-YRFP_297"/>
        <s v="OUT-YRFP_298"/>
        <s v="OUT-YRFP_299"/>
        <s v="OUT-YRFP_300"/>
        <s v="OUT-YRFP_301"/>
        <s v="OUT-YVRC_302"/>
        <s v="OUT-YVRC_303"/>
        <s v="OUT-YVRC_304"/>
        <s v="OUT-YVRC_305"/>
        <s v="OUT-YVRC_306"/>
        <s v="OUT-YVRC_307"/>
        <s v="OUT-YVRE_308"/>
        <s v="OUT-YVRE_309"/>
        <s v="OUT-YVRE_310"/>
        <s v="OUT-YVRE_311"/>
        <s v="OUT-YVRE_312"/>
        <s v="OUT-YVRE_313"/>
        <s v="OUT-Y003_314"/>
        <s v="OUT-Y003_315"/>
        <s v="OUT-Y003_316"/>
        <s v="OUT-Y003_317"/>
        <s v="OUT-Y003_318"/>
        <s v="OUT-Y003_319"/>
        <s v="OUT-Y003_320"/>
        <s v="OUT-Y003_321"/>
        <s v="OUT-Y033_322"/>
        <s v="OUT-Y033_323"/>
        <s v="OUT-Y033_324"/>
        <s v="OUT-Y033_325"/>
        <s v="OUT-Y033_326"/>
        <s v="OUT-Y033_327"/>
        <s v="OUT-Y033_328"/>
        <s v="OUT-Y033_329"/>
        <s v="OUT-Y3RC_330"/>
        <s v="OUT-Y3RC_331"/>
        <s v="OUT-Y3RC_332"/>
        <s v="OUT-Y3RC_333"/>
        <s v="OUT-Y3RC_334"/>
        <s v="OUT-Y3RC_335"/>
        <s v="OUT-Y3RE_336"/>
        <s v="OUT-Y3RE_337"/>
        <s v="OUT-Y3RE_338"/>
        <s v="OUT-Y3RE_339"/>
        <s v="OUT-Y3RE_340"/>
        <s v="OUT-Y3RE_341"/>
        <s v="OUT-Y032_342"/>
        <s v="OUT-Y032_343"/>
        <s v="OUT-Y032_344"/>
        <s v="OUT-Y032_345"/>
        <s v="OUT-Y032_346"/>
        <s v="OUT-Y032_347"/>
        <s v="OUT-Y032_348"/>
        <s v="OUT-Y032_349"/>
        <s v="OUT-Y044_350"/>
        <s v="OUT-Y044_351"/>
        <s v="OUT-Y044_352"/>
        <s v="OUT-Y044_353"/>
        <s v="OUT-Y044_354"/>
        <s v="OUT-Y044_355"/>
        <s v="OUT-Y044_356"/>
        <s v="OUT-Y044_357"/>
        <s v="OUT-YSRS_358"/>
        <s v="OUT-YSRS_359"/>
        <s v="OUT-YSRS_360"/>
        <s v="OUT-YSRS_361"/>
        <s v="OUT-YSRS_362"/>
        <s v="OUT-YSRS_363"/>
        <s v="OUT-YDSR_364"/>
        <s v="OUT-YDSR_365"/>
        <s v="OUT-YDSR_366"/>
        <s v="OUT-YDSR_367"/>
        <s v="OUT-YDSR_368"/>
        <s v="OUT-YDSR_369"/>
        <s v="OUT-Y904_370"/>
        <s v="OUT-Y904_371"/>
        <s v="OUT-Y904_372"/>
        <s v="OUT-Y904_373"/>
        <s v="OUT-Y904_374"/>
        <s v="OUT-Y904_375"/>
        <s v="OUT-Y904_376"/>
        <s v="OUT-Y904_377"/>
        <s v="OUT-Y90R_378"/>
        <s v="OUT-Y90R_379"/>
        <s v="OUT-Y90R_380"/>
        <s v="OUT-Y90R_381"/>
        <s v="OUT-Y90R_382"/>
        <s v="OUT-Y90R_383"/>
        <s v="OUT-Y903_384"/>
        <s v="OUT-Y903_385"/>
        <s v="OUT-Y903_386"/>
        <s v="OUT-Y903_387"/>
        <s v="OUT-Y903_388"/>
        <s v="OUT-Y903_389"/>
        <s v="OUT-Y903_390"/>
        <s v="OUT-Y90C_391"/>
        <s v="OUT-Y90C_392"/>
        <s v="OUT-Y90C_393"/>
        <s v="OUT-Y90C_394"/>
        <s v="OUT-Y90C_395"/>
        <s v="OUT-Y90T_396"/>
        <s v="OUT-Y90T_397"/>
        <s v="OUT-Y90T_398"/>
        <s v="OUT-Y90T_399"/>
        <s v="OUT-Y90T_400"/>
        <s v="OUT-Y90T_401"/>
        <s v="OUT-Y90T_402"/>
        <s v="OUT-Y002_403"/>
        <s v="OUT-Y002_404"/>
        <s v="OUT-Y002_405"/>
        <s v="OUT-Y002_406"/>
        <s v="OUT-Y002_407"/>
        <s v="OUT-Y002_408"/>
        <s v="OUT-Y002_409"/>
        <s v="OUT-Y002_410"/>
        <s v="OUT-YBIO_411"/>
        <s v="OUT-YBIO_412"/>
        <s v="OUT-YBIO_413"/>
        <s v="OUT-YBIO_414"/>
        <s v="OUT-YBIO_415"/>
        <s v="OUT-YBIO_416"/>
        <s v="OUT-YBIO_417"/>
        <s v="OUT-YBIO_418"/>
        <s v="OUT-YDEV_419"/>
        <s v="OUT-YDEV_420"/>
        <s v="OUT-YDEV_421"/>
        <s v="OUT-YDEV_422"/>
        <s v="OUT-YDEV_423"/>
        <s v="OUT-YDEV_424"/>
        <s v="OUT-YRET_425"/>
        <s v="OUT-YRET_426"/>
        <s v="OUT-YRET_427"/>
        <s v="OUT-YRET_428"/>
        <s v="OUT-YRET_429"/>
        <s v="OUT-Y202_430"/>
        <s v="OUT-Y202_431"/>
        <s v="OUT-Y202_432"/>
        <s v="OUT-Y202_433"/>
        <s v="OUT-Y202_434"/>
        <s v="OUT-Y202_435"/>
        <s v="OUT-Y202_436"/>
        <s v="OUT-Y202_437"/>
        <s v="OUT-YRET_438"/>
        <s v="OUT-YRET_439"/>
        <s v="OUT-YRET_440"/>
        <s v="OUT-YRET_441"/>
        <s v="OUT-YRET_442"/>
        <s v="OUT-Y202_443"/>
        <s v="OUT-Y202_444"/>
        <s v="OUT-Y202_445"/>
        <s v="OUT-Y202_446"/>
        <s v="OUT-Y202_447"/>
        <s v="OUT-Y202_448"/>
        <s v="OUT-Y202_449"/>
        <s v="OUT-Y202_450"/>
        <s v="OUT-Y205_451"/>
        <s v="OUT-Y205_452"/>
        <s v="OUT-Y205_453"/>
        <s v="OUT-Y205_454"/>
        <s v="OUT-Y205_455"/>
        <s v="OUT-Y205_456"/>
        <s v="OUT-Y205_457"/>
        <s v="OUT-Y205_458"/>
        <s v="OUT-Y202_459"/>
        <s v="OUT-Y202_460"/>
        <s v="OUT-Y202_461"/>
        <s v="OUT-Y202_462"/>
        <s v="OUT-Y202_463"/>
        <s v="OUT-Y202_464"/>
        <s v="OUT-Y202_465"/>
        <s v="OUT-Y202_466"/>
        <s v="OUT-Y007_467"/>
        <s v="OUT-Y007_468"/>
        <s v="OUT-Y007_469"/>
        <s v="OUT-Y007_470"/>
        <s v="OUT-Y007_471"/>
        <s v="OUT-Y007_472"/>
        <s v="OUT-Y007_473"/>
        <s v="OUT-Y007_474"/>
        <s v="OUT-YDEV_475"/>
        <s v="OUT-DEV_476"/>
        <s v="OUT-DEV_477"/>
        <s v="OUT-DEV_478"/>
        <s v="OUT-DEV_479"/>
        <s v="OUT-DEV_480"/>
        <s v="OUT-YRET_481"/>
        <s v="OUT-RET_482"/>
        <s v="OUT-RET_483"/>
        <s v="OUT-RET_484"/>
        <s v="OUT-RET_485"/>
        <s v="OUT-Y002_486"/>
        <s v="OUT-Y002_487"/>
        <s v="OUT-Y002_488"/>
        <s v="OUT-Y002_489"/>
        <s v="OUT-Y002_490"/>
        <s v="OUT-Y002_491"/>
        <s v="OUT-Y002_492"/>
        <s v="OUT-Y002_493"/>
        <s v="OUT-Y014_494"/>
        <s v="OUT-Y014_495"/>
        <s v="OUT-Y014_496"/>
        <s v="OUT-Y014_497"/>
        <s v="OUT-Y014_498"/>
        <s v="OUT-Y014_499"/>
        <s v="OUT-Y013_500"/>
        <s v="OUT-Y013_501"/>
        <s v="OUT-Y013_502"/>
        <s v="OUT-Y013_503"/>
        <s v="OUT-Y013_504"/>
        <s v="OUT-Y103_505"/>
        <s v="OUT-Y103_506"/>
        <s v="OUT-Y103_507"/>
        <s v="OUT-Y103_508"/>
        <s v="OUT-Y103_509"/>
        <s v="OUT-Y005_510"/>
        <s v="OUT-Y005_511"/>
        <s v="OUT-Y005_512"/>
        <s v="OUT-Y005_513"/>
        <s v="OUT-Y005_514"/>
        <s v="OUT-Y005_515"/>
        <s v="OUT-Y005_516"/>
        <s v="OUT-Y005_517"/>
        <s v="OUT-Y007_518"/>
        <s v="OUT-Y007_519"/>
        <s v="OUT-Y007_520"/>
        <s v="OUT-Y007_521"/>
        <s v="OUT-Y007_522"/>
        <s v="OUT-Y007_523"/>
        <s v="OUT-Y007_524"/>
        <s v="OUT-Y007_525"/>
        <s v="OUT-Y017_526"/>
        <s v="OUT-Y017_527"/>
        <s v="OUT-Y017_528"/>
        <s v="OUT-Y017_529"/>
        <s v="OUT-Y017_530"/>
        <s v="OUT-Y017_531"/>
        <s v="OUT-Y017_532"/>
        <s v="OUT-Y017_533"/>
        <s v="OUT-Y066_534"/>
        <s v="OUT-Y066_535"/>
        <s v="OUT-Y066_536"/>
        <s v="OUT-Y066_537"/>
        <s v="OUT-Y066_538"/>
        <s v="OUT-YSCO_539"/>
        <s v="OUT-YSCO_540"/>
        <s v="OUT-YSCO_541"/>
        <s v="OUT-YSCO_542"/>
        <s v="OUT-YSCO_543"/>
        <s v="OUT-YRCO_544"/>
        <s v="OUT-YRCO_545"/>
        <s v="OUT-YRCO_546"/>
        <s v="OUT-YRCO_547"/>
        <s v="OUT-YRCO_548"/>
        <s v="OUT-Y601_549"/>
        <s v="OUT-Y601_550"/>
        <s v="OUT-Y601_551"/>
        <s v="OUT-Y601_552"/>
        <s v="OUT-Y601_553"/>
        <s v="OUT-Y601_554"/>
        <s v="OUT-Y601_555"/>
        <s v="OUT-Y601_556"/>
        <s v="OUT-Y602_557"/>
        <s v="OUT-Y602_558"/>
        <s v="OUT-Y602_559"/>
        <s v="OUT-Y602_560"/>
        <s v="OUT-Y602_561"/>
        <s v="OUT-Y602_562"/>
        <s v="OUT-Y602_563"/>
        <s v="OUT-Y602_564"/>
        <s v="OUT-Y603_565"/>
        <s v="OUT-Y603_566"/>
        <s v="OUT-Y603_567"/>
        <s v="OUT-Y603_568"/>
        <s v="OUT-Y603_569"/>
        <s v="OUT-Y603_570"/>
        <s v="OUT-Y603_571"/>
        <s v="OUT-Y603_572"/>
        <s v="OUT-Y604_573"/>
        <s v="OUT-Y604_574"/>
        <s v="OUT-Y604_575"/>
        <s v="OUT-Y604_576"/>
        <s v="OUT-Y604_577"/>
        <s v="OUT-Y604_578"/>
        <s v="OUT-Y604_579"/>
        <s v="OUT-Y604_580"/>
        <s v="OUT-Y803_581"/>
        <s v="OUT-Y803_582"/>
        <s v="OUT-Y803_583"/>
        <s v="OUT-Y803_584"/>
        <s v="OUT-Y803_585"/>
        <s v="OUT-Depósito-ANP_586"/>
        <s v="OUT-Depósito-ANP_587"/>
        <s v="OUT-Depósito-ANP_588"/>
        <s v="OUT-Depósito-ANP_589"/>
        <s v="OUT-Depósito-ANP_590"/>
        <s v="OUT-Depósito-ANP_591"/>
        <s v="OUT-Depósito-ANP_592"/>
        <s v="OUT-Depósito-ANP_593"/>
        <s v="OUT-Depósito-ANP_594"/>
        <s v="OUT-Depósito-ANP_595"/>
        <s v="OUT-Depósito-ANP_596"/>
        <s v="OUT-Depósito-ANP_597"/>
        <s v="OUT-Depósito-ANP_598"/>
        <s v="OUT-Depósito-ANP_599"/>
        <s v="OUT-Depósito-ANP_600"/>
        <s v="OUT-Depósito-ANP_601"/>
        <s v="OUT-Depósito-ANP_602"/>
        <s v="OUT-Depósito-ANP_603"/>
        <s v="OUT-Depósito-ANP_604"/>
        <s v="OUT-Depósito-ANP_605"/>
        <s v="OUT-Depósito-ANP_606"/>
        <s v="OUT-Depósito-ANP_607"/>
        <s v="OUT-Depósito-ANP_608"/>
        <s v="OUT-Depósito-ANP_609"/>
        <s v="OUT-Depósito-ANP_610"/>
        <s v="OUT-Depósito-ANP_611"/>
        <s v="OUT-Depósito-ANP_612"/>
        <s v="OUT-Depósito-ANP_613"/>
        <s v="OUT-Depósito-ANP_614"/>
        <s v="OUT-Depósito-ANP_615"/>
        <s v="OUT-Depósito-ANP_616"/>
        <s v="OUT-Depósito-ANP_617"/>
        <s v="OUT-Depósito-ANP_618"/>
        <s v="OUT-Depósito-ANP_619"/>
        <s v="OUT-Depósito-ANP_620"/>
        <s v="OUT-Depósito-ANP_621"/>
        <s v="OUT-Depósito-ANP_622"/>
        <s v="OUT-Depósito-ANP_623"/>
        <s v="OUT-Depósito-ANP_624"/>
        <s v="OUT-Depósito-ANP_625"/>
        <s v="OUT-Depósito-ANP_626"/>
        <s v="OUT-Depósito-ANP_627"/>
        <s v="OUT-Depósito-ANP_628"/>
        <s v="OUT-Depósito-ANP_629"/>
        <s v="OUT-Depósito-ANP_630"/>
        <s v="OUT-Depósito-ANP_631"/>
        <s v="OUT-Depósito-ANP_632"/>
        <s v="OUT-Depósito-ANP_633"/>
        <s v="OUT-Depósito-ANP_634"/>
        <s v="OUT-Depósito-ANP_635"/>
        <s v="OUT-Depósito-ANP_636"/>
        <s v="OUT-Depósito-ANP_637"/>
        <s v="OUT-Depósito-ANP_638"/>
        <s v="OUT-Y002_10" u="1"/>
        <s v="OUT-YDEV_16" u="1"/>
        <s v="OUT-YRET_22" u="1"/>
        <s v="OUT-Y002_30" u="1"/>
        <s v="OUT-YDEV_36" u="1"/>
        <s v="OUT-YRET_42" u="1"/>
        <s v="OUT-Y002_50" u="1"/>
        <s v="OUT-YDEV_56" u="1"/>
        <s v="OUT-YRET_62" u="1"/>
        <s v="OUT-Y002_70" u="1"/>
        <s v="OUT-YDEV_76" u="1"/>
        <s v="OUT-YRET_82" u="1"/>
        <s v="OUT-Y002_90" u="1"/>
        <s v="OUT-YDEV_96" u="1"/>
        <s v="OUT-YRET_102" u="1"/>
        <s v="OUT-Y002_110" u="1"/>
        <s v="OUT-YDEV_116" u="1"/>
        <s v="OUT-YRET_122" u="1"/>
        <s v="OUT-Logum_160" u="1"/>
        <s v="OUT-OPLA_198" u="1"/>
        <s v="OUT-Y036_230" u="1"/>
        <s v="OUT-Cockpit_238" u="1"/>
        <s v="OUT-Y006_246" u="1"/>
        <s v="OUT-YOR1_254" u="1"/>
        <s v="OUT-YDEV_260" u="1"/>
        <s v="OUT-YRET_266" u="1"/>
        <s v="OUT-Y073_274" u="1"/>
        <s v="OUT-YDEV_280" u="1"/>
        <s v="OUT-YRET_286" u="1"/>
        <s v="OUT-YVFP_294" u="1"/>
        <s v="OUT-YRFP_302" u="1"/>
        <s v="OUT-YVRC_308" u="1"/>
        <s v="OUT-YVRE_314" u="1"/>
        <s v="OUT-Y003_322" u="1"/>
        <s v="OUT-Y033_330" u="1"/>
        <s v="OUT-Y3RC_336" u="1"/>
        <s v="OUT-Y3RE_342" u="1"/>
        <s v="OUT-Y032_350" u="1"/>
        <s v="OUT-Y044_358" u="1"/>
        <s v="OUT-YSRS_364" u="1"/>
        <s v="OUT-YDSR_370" u="1"/>
        <s v="OUT-Y904_378" u="1"/>
        <s v="OUT-Y90R_384" u="1"/>
        <s v="OUT-Y903_391" u="1"/>
        <s v="OUT-Y90C_396" u="1"/>
        <s v="OUT-Y90T_403" u="1"/>
        <s v="OUT-Y002_411" u="1"/>
        <s v="OUT-YBIO_419" u="1"/>
        <s v="OUT-YDEV_425" u="1"/>
        <s v="OUT-YRET_430" u="1"/>
        <s v="OUT-Y202_438" u="1"/>
        <s v="OUT-YRET_443" u="1"/>
        <s v="OUT-Y202_451" u="1"/>
        <s v="OUT-Y205_459" u="1"/>
        <s v="OUT-Y202_467" u="1"/>
        <s v="OUT-Y007_475" u="1"/>
        <s v="OUT-YDEV_476" u="1"/>
        <s v="OUT-DEV_481" u="1"/>
        <s v="OUT-YRET_482" u="1"/>
        <s v="OUT-RET_486" u="1"/>
        <s v="OUT-Y002_494" u="1"/>
        <s v="OUT-Y014_500" u="1"/>
        <s v="OUT-Y013_505" u="1"/>
        <s v="OUT-Y103_510" u="1"/>
        <s v="OUT-Y005_518" u="1"/>
        <s v="OUT-Y007_526" u="1"/>
        <s v="OUT-Y017_534" u="1"/>
        <s v="OUT-Y066_539" u="1"/>
        <s v="OUT-YSCO_544" u="1"/>
        <s v="OUT-YRCO_549" u="1"/>
        <s v="OUT-Y601_557" u="1"/>
        <s v="OUT-Y602_565" u="1"/>
        <s v="OUT-Y603_573" u="1"/>
        <s v="OUT-Y604_581" u="1"/>
        <s v="OUT-Y803_586" u="1"/>
        <s v="OUT-Depósito-ANP_639" u="1"/>
        <s v="OUT-PIMS_581" u="1"/>
        <s v="OUT-PIMS_582" u="1"/>
        <s v="OUT-PIMS_583" u="1"/>
        <s v="OUT-PIMS_584" u="1"/>
        <s v="OUT-Y803_587" u="1"/>
        <s v="OUT-Y803_588" u="1"/>
        <s v="OUT-Y803_589" u="1"/>
        <s v="OUT-Depósito-ANP_640" u="1"/>
        <s v="OUT-Depósito-ANP_641" u="1"/>
        <s v="OUT-Depósito-ANP_642" u="1"/>
        <s v="OUT-RET_481" u="1"/>
        <s v="OUT-DEV_475" u="1"/>
        <s v="OUT-_577" u="1"/>
        <s v="OUT-PIMS_585" u="1"/>
        <s v="OUT-Y803_590" u="1"/>
        <s v="OUT-Depósito-ANP_643" u="1"/>
      </sharedItems>
    </cacheField>
    <cacheField name="Liberado para Testes?" numFmtId="0">
      <sharedItems containsBlank="1" count="5">
        <s v="Sim"/>
        <s v="Não"/>
        <m/>
        <s v="Não " u="1"/>
        <s v="Sim " u="1"/>
      </sharedItems>
    </cacheField>
    <cacheField name="Cenário" numFmtId="0">
      <sharedItems containsBlank="1" count="99">
        <s v="Venda Etanol Hidratado D.E (Y002)"/>
        <s v="Venda Etanol Hidratado D.E (YDEV)"/>
        <s v="Venda Etanol Hidratado D.E (YRET)"/>
        <s v="Venda Etanol Hidratado F.E (Y002)"/>
        <s v="Venda Etanol Hidratado F.E (YDEV)"/>
        <s v="Venda Etanol Hidratado F.E (YRET)"/>
        <s v="Venda Etanol Anidro F.E - Distribuidora (Y002)"/>
        <s v="Venda Etanol Anidro F.E - Distribuidora (YDEV)"/>
        <s v="Venda Etanol Anidro F.E - Distribuidora (YRET)"/>
        <s v="Venda Etanol Anidro D.E - Distribuidora (Y002)"/>
        <s v="Venda Etanol Anidro D.E - Distribuidora (YDEV)"/>
        <s v="Venda Etanol Anidro D.E - Distribuidora (YRET)"/>
        <s v="Venda Etanol Anidro F.E - Comercializadora (Y002)"/>
        <s v="Venda Etanol Anidro F.E - Comercializadora (YDEV)"/>
        <s v="Venda Etanol Anidro F.E - Comercializadora (YRET)"/>
        <s v="Venda Etanol Anidro D.E - Comercializadora (Y002)"/>
        <s v="Venda Etanol Anidro D.E - Comercializadora (YDEV)"/>
        <s v="Venda Etanol Anidro D.E - Comercializadora (YRET)"/>
        <s v="Armazenagem de Terceiros (Logum) (Y035)"/>
        <s v="Armazenagem de Terceiros (Logum) (Y235) - Recusa"/>
        <s v="Armazenagem de Terceiros (Logum) (YR35) - Retorno"/>
        <s v="Venda depois do retorno simbólico (Logum) (YAR1)"/>
        <s v="Venda depois do retorno simbólico (Logum) (YRR3) - Recusa"/>
        <s v="Venda depois do retorno simbólico (Logum) (YRR2) - Retorno"/>
        <s v="Armazenagem de Terceiros (OPLA) (Y035)"/>
        <s v="Armazenagem de Terceiros (OPLA) (Y235) - Retorno"/>
        <s v="Armazenagem de Terceiros (OPLA) (YR35) - Recusa"/>
        <s v="Venda antes do retorno simbólico (OPLA) (YAR2)"/>
        <s v="Venda antes do retorno simbólico (OPLA) (YRR5) - Recusa"/>
        <s v="Venda antes do retorno simbólico (OPLA) (YRR4) - Retorno"/>
        <s v="Venda doméstica Açúcar – espec. exportação (Y036)"/>
        <s v="Remessa Formação de Lote  (Cockpit)"/>
        <s v="Retorno Formação de Lote  (Cockpit)"/>
        <s v="Venda exportação Formação de Lote - (Y006)"/>
        <s v="Venda doméstica Açúcar – SPOT (YOR1)"/>
        <s v="Venda doméstica Açúcar – CTR (YDEV)"/>
        <s v="Venda doméstica Açúcar – CTR (YRET)"/>
        <s v="Venda doméstica Açúcar – CTR (Y073)"/>
        <s v="VEF - Receita Antecipada (YVFP)"/>
        <s v="VEF - Receita Antecipada (YRFP)"/>
        <s v="VEF - Receita Antecipada (YVRC) - Recusa"/>
        <s v="VEF - Receita Antecipada (YVRE) - Retorno"/>
        <s v="FA - Simples Faturamento (Y003)"/>
        <s v="FA - Simples Faturamento (Y033)"/>
        <s v="FA - Simples Faturamento (Y3RC) - Recusa"/>
        <s v="FA - Simples Faturamento (Y3RE) - Retorno"/>
        <s v="Venda Conta e Ordem - (Y032)"/>
        <s v="Remessa Conta e Ordem - (Y044)"/>
        <s v="Remessa Conta e Ordem - (YSRS) - Recusa"/>
        <s v="Remessa Conta e Ordem - (YDSR) - Retorno"/>
        <s v="Venda a Ordem - (Y904)"/>
        <s v="Venda a Ordem - (Y90R) - Recusa"/>
        <s v="Remessa Venda a Ordem - (Y903)"/>
        <s v="Remessa Venda a Ordem - (Y90C) - Recusa"/>
        <s v="Remessa Venda a Ordem - (Y90T) - Retorno"/>
        <s v="Venda Subproduto Oleo Fusel - (Y002)"/>
        <s v="Venda Bagaço - (YBIO)"/>
        <s v="Venda Bagaço - (YDEV) - Retorno"/>
        <s v="Venda Bagaço - (YRET) - Recusa"/>
        <s v="Venda Energia Dentro Estado Consumo - (Y202)"/>
        <s v="Venda Energia Dentro Estado Consumo  - (YRET) - Anulação"/>
        <s v="Revenda Energia Fora Estado - (Y202)"/>
        <s v="Lastro Energia - (Y205)"/>
        <s v="Venda Energia Biomassa - (Y202)"/>
        <s v="VendaMelaço - (Y007)"/>
        <s v="VendaMelaço - (YDEV) - Retorno"/>
        <s v="VendaMelaço - (DEV) - Retorno"/>
        <s v="VendaMelaço - (YRET) - Recusa"/>
        <s v="VendaMelaço - (RET) - Recusa"/>
        <s v="Venda Agua Vapor (Y002)"/>
        <s v="Complemento de débito (Y014)"/>
        <s v="Doação (Y013)"/>
        <s v="Doação com Movimentação (Y103)"/>
        <s v="Venda Ativo (Y005)"/>
        <s v="Venda Sucata - Residuo (Y007)"/>
        <s v="Venda de Serviços  (Y017)"/>
        <s v="Peças.Aplicadas (Y066)"/>
        <s v="Remessa Conserto (YSCO)"/>
        <s v="Remessa Conserto (YRCO) - Retorno"/>
        <s v="Repasse Óleo Diesel - (Y601)"/>
        <s v="Venda Cana de Açucar - (Y602)"/>
        <s v="Venda de Insumos - (Y603)"/>
        <s v="Venda Combustivel Próprio - (Y604)"/>
        <s v="Simples Remessa - Análise - (Y803)"/>
        <s v="Venda Intercompany (Depósito-ANP) (ME21N)"/>
        <s v="Venda Intercompany (Depósito-ANP) (Y045)"/>
        <s v="Venda Intercompany (Depósito-ANP) (Y038)"/>
        <s v="Venda Intercompany (Depósito-ANP) (YE13)"/>
        <s v="Venda Intercompany (Depósito-ANP) (YR01)"/>
        <s v="Venda Intercompany (Depósito-ANP) (YE14)"/>
        <s v="Venda Intercompany (Depósito-ANP) (Y002)"/>
        <s v="Venda Intercompany (Depósito-ANP) (Y903)"/>
        <s v="Armazenagem de Terceiros (OPLA) (Y235) - Recusa" u="1"/>
        <s v="Armazenagem de Terceiros (OPLA) (YR35) - Retorno" u="1"/>
        <s v="Transferencia Matriz/Filial (PIMS) - Insumos" u="1"/>
        <s v="Transferencia Matriz/Filial (PIMS) - Combútivel" u="1"/>
        <s v="Transferencia Matriz/Filial (PIMS) - Diesel" u="1"/>
        <s v="Transferencia Matriz/Filial (PIMS) - Insumo" u="1"/>
        <m u="1"/>
      </sharedItems>
    </cacheField>
    <cacheField name="Tarefa" numFmtId="0">
      <sharedItems containsBlank="1" count="53">
        <s v="Criar ordem de venda"/>
        <s v="Realizar validação tributária - Ordem de venda"/>
        <s v="Liberar ordem de venda"/>
        <s v="Realizar faturamento"/>
        <s v="Realizar validação tributária - SAP,  XML  e DANFE"/>
        <s v="Realizar validação contábil"/>
        <s v="Realizar validação Obrigações Acessórias - TaxOne"/>
        <s v="Realizar validação Títulos Financeiros"/>
        <s v="Realizar validação tributária - SAP,  XML e DANFE"/>
        <s v="Compra Intercompany"/>
        <s v="Ordem de Venda Y036"/>
        <s v="Validação Pedido Compras e OV"/>
        <s v="Cadastrar tarifa de frete"/>
        <s v="Criação do Agendamento no Carga Pontual"/>
        <s v="Criação da remessa da OV"/>
        <s v="Criação Documento de Transporte"/>
        <s v="Geração da Ordem de Carregamento"/>
        <s v="Execução do 3° botão da DT para integração da Pesagem SAP x PIMS/GATEC"/>
        <s v="Pesagem Entrada"/>
        <s v="Execução do 4° botão da DT para integração da Pesagem SAP x PIMS/GATEC"/>
        <s v="Validação da atualização da quantidade d remessa ao executar o 4° botão do DT"/>
        <s v="Faturamento"/>
        <s v="Validação fiscal da NF"/>
        <s v="Validar custo de frete"/>
        <s v="Monitor de Ciclo de Carregamento"/>
        <s v="Entrada mercadoria"/>
        <s v="Entrada fiscal"/>
        <s v="Validação entrada do estoque"/>
        <s v="Validação fiscal da entrada da NF"/>
        <s v="Criaçao da Ordem de Venda para exportação tipo Y006"/>
        <s v="Validação OV"/>
        <s v="Criação da remessa da OV para exportação e realizar saida da mercadoria"/>
        <s v="Inserir remessa com quatidade para sair no XML da NFe de exportação"/>
        <s v="Realizar saida da mercadoria da remessa de exportação"/>
        <s v="Faturamento da remessa"/>
        <s v="Validar da baixa do estoque"/>
        <s v="Validar emissão e baixar NFe no Triangulus"/>
        <s v="Validação fiscal da NF de Venda de exportação"/>
        <s v="Validação contábil processo de exportação"/>
        <s v="Validação Fiscal"/>
        <s v="Gerar o cockpit"/>
        <s v="Criar Pedido de Compras"/>
        <s v="Aprovar Pedido"/>
        <s v="Lançar Nota Fiscal de Entrada"/>
        <s v="Realização Validação Fiscal"/>
        <s v="Realização Validação Contábil"/>
        <s v="Criar Ordem de Armazenagem"/>
        <s v="Criar um ordem de entrada Armazenagem"/>
        <s v="Criar um ordem de Retorno Armazenagem"/>
        <s v="Criar um ordem de Entrada Retorno Armazenagem"/>
        <s v="Criar um ordem para acompanhamento do CT"/>
        <m u="1"/>
        <s v="Pesagem Saida" u="1"/>
      </sharedItems>
    </cacheField>
    <cacheField name="Sequência" numFmtId="0">
      <sharedItems containsSemiMixedTypes="0" containsString="0" containsNumber="1" containsInteger="1" minValue="1" maxValue="32"/>
    </cacheField>
    <cacheField name="Descrição" numFmtId="0">
      <sharedItems count="51">
        <s v="Criar ordem de venda"/>
        <s v="Realizar validação tributária - Ordem de venda"/>
        <s v="Liberar ordem de venda"/>
        <s v="Realizar faturamento"/>
        <s v="Realizar validação tributária - SAP (xml e DANFE)"/>
        <s v="Realizar validação contábil"/>
        <s v="Realizar validação Obrigações Acessórias - TaxOne"/>
        <s v="Realizar validação Títulos Financeiros"/>
        <s v="Realizar validação do status e documentos (xml e DANFE)"/>
        <s v="Compra Intercompany"/>
        <s v="Ordem de Venda Y036"/>
        <s v="Validação Pedido Compras e OV"/>
        <s v="Cadastrar tarifa de frete"/>
        <s v="Criação do Agendamento no Carga Pontual"/>
        <s v="Criação da remessa da OV"/>
        <s v="Criação Documento de Transporte"/>
        <s v="Geração da Ordem de Carregamento"/>
        <s v="Execução do 3° botão da DT para integração da Pesagem SAP x PIMS/GATEC"/>
        <s v="Pesagem Entrada"/>
        <s v="Execução do 4° botão da DT para integração da Pesagem SAP x PIMS/GATEC"/>
        <s v="Validação da atualização da quantidade d remessa ao executar o 4° botão do DT"/>
        <s v="Faturamento"/>
        <s v="Validação fiscal da NF"/>
        <s v="Validar custo de frete"/>
        <s v="Monitor de Ciclo de Carregamento"/>
        <s v="Entrada mercadoria"/>
        <s v="Entrada fiscal"/>
        <s v="Validação entrada do estoque"/>
        <s v="Validação fiscal da entrada da NF"/>
        <s v="Criaçao da Ordem de Venda para exportação tipo Y006"/>
        <s v="Validação OV"/>
        <s v="Criação da remessa da OV para exportação e realizar saida da mercadoria"/>
        <s v="Inserir remessa com quatidade para sair no XML da NFe de exportação"/>
        <s v="Realizar saida da mercadoria da remessa de exportação"/>
        <s v="Faturamento da remessa"/>
        <s v="Validar da baixa do estoque"/>
        <s v="Validar emissão e baixar NFe no Triangulus"/>
        <s v="Validação fiscal da NF de Venda de exportação"/>
        <s v="Validação contábil processo de exportação"/>
        <s v="Validação Fiscal"/>
        <s v="Gerar o cockpit"/>
        <s v="Criar Pedido de Compras"/>
        <s v="Aprovar Pedido"/>
        <s v="Lançar Nota Fiscal de Entrada"/>
        <s v="Realização Validação Fiscal"/>
        <s v="Realização Validação Contábil"/>
        <s v="Criar Ordem de Armazenagem"/>
        <s v="Criar um ordem de entrada Armazenagem"/>
        <s v="Criar um ordem de Retorno Armazenagem"/>
        <s v="Criar um ordem de Entrada Retorno Armazenagem"/>
        <s v="Criar um ordem para acompanhamento do CT"/>
      </sharedItems>
    </cacheField>
    <cacheField name="Responsável" numFmtId="0">
      <sharedItems containsBlank="1" count="19">
        <s v="Vania Esteves"/>
        <s v="Livia Beserra"/>
        <s v="Patrick Vianna / Aline Russo"/>
        <s v="Francisco Netto"/>
        <s v="Sergio Souza / Giovana Gonçalves"/>
        <s v="Naiara Toledo"/>
        <s v="Marcos Nunes"/>
        <s v="Edson Oliveira"/>
        <s v="Josiane Florenco"/>
        <s v="TI - Pedro Aguiar"/>
        <s v="Edson"/>
        <s v="Arthur Cruz" u="1"/>
        <m u="1"/>
        <s v="Alexandre" u="1"/>
        <s v="Marcos Nunes / Natalia Veloso" u="1"/>
        <s v="Natalia Veloso" u="1"/>
        <s v="Josiane Florenço" u="1"/>
        <s v="Giovana/Sergio" u="1"/>
        <s v="Pricilla Silva" u="1"/>
      </sharedItems>
    </cacheField>
    <cacheField name="DOC BEC" numFmtId="0">
      <sharedItems containsBlank="1" containsMixedTypes="1" containsNumber="1" containsInteger="1" minValue="575216" maxValue="4952459608"/>
    </cacheField>
    <cacheField name="Doc Ref BEP" numFmtId="0">
      <sharedItems containsBlank="1"/>
    </cacheField>
    <cacheField name="Conferência Elo" numFmtId="0">
      <sharedItems containsBlank="1"/>
    </cacheField>
    <cacheField name="Status" numFmtId="0">
      <sharedItems containsBlank="1" count="14">
        <s v="Keyuser - Concluído "/>
        <s v="Não liberado  para testes"/>
        <s v="Não se Aplica"/>
        <s v="Keyuser - Com problemas "/>
        <s v="Keyuser - Aguardando tarefa precedente"/>
        <s v="Keyuser - Pendente" u="1"/>
        <s v="TI bp - Em correção" u="1"/>
        <s v="Elo - Em correção " u="1"/>
        <s v="Elo - Liberado para testes " u="1"/>
        <s v="Keyuser - Em processo " u="1"/>
        <m u="1"/>
        <s v="Keyuser - Aguarndo tarefa precedente" u="1"/>
        <s v="Keyuser - A ser planejado" u="1"/>
        <s v="Keyuser - Planejado " u="1"/>
      </sharedItems>
    </cacheField>
    <cacheField name="Dt Inicial" numFmtId="168">
      <sharedItems containsDate="1" containsBlank="1" containsMixedTypes="1" minDate="2025-05-12T00:00:00" maxDate="2025-12-12T00:00:00"/>
    </cacheField>
    <cacheField name="Tempo Previsto" numFmtId="0">
      <sharedItems containsNonDate="0" containsString="0" containsBlank="1"/>
    </cacheField>
    <cacheField name="Dt Conclusão" numFmtId="168">
      <sharedItems containsNonDate="0" containsDate="1" containsString="0" containsBlank="1" minDate="2025-05-12T00:00:00" maxDate="2025-12-12T00:00:00"/>
    </cacheField>
    <cacheField name="Observação" numFmtId="0">
      <sharedItems containsBlank="1" count="163">
        <m/>
        <s v="Nota nr 149727"/>
        <s v="Nota nr 149732"/>
        <s v="Nota nr 18089"/>
        <s v="Nota nr 313"/>
        <s v="Nota nr 70463"/>
        <s v="Nota nr 681"/>
        <s v="Nota nr 367457"/>
        <s v="Nota nr 3458"/>
        <s v="Nota nr 214297"/>
        <s v="Nota nr 1564"/>
        <s v="Nota nr 155821"/>
        <s v="Nota nr 1627"/>
        <s v="Nota nr 000214302"/>
        <s v="Nota nr 000001569"/>
        <s v="Nota nr 1568"/>
        <s v="Nota nr 000149746"/>
        <s v="Nota nr 000149756"/>
        <s v="Nota 149739"/>
        <s v="Entrada feita no estoque do volume da NF no dep 2206 centro 2493"/>
        <s v="Nova OV "/>
        <s v="Nota nr 149728"/>
        <s v="Nota nr 000149737"/>
        <s v="Nota nr 149729"/>
        <s v="Nota nr 000149738"/>
        <s v="A contabilização nas contas ficaram correta, mas o valor no estorno de prvisão da baixa do estoque ficou errado por conta do cálculo na unidade de medida, mas como em BEP, não funciona esse cenário validei como certo"/>
        <s v="Nota nr 000001572"/>
        <s v="Nota nr 000214325"/>
        <s v="Nota nr 000001628"/>
        <s v="Nota nr 000155833"/>
        <s v="Entrada YSRS   não existente em TVAK (verificar a entrada)"/>
        <s v="Nota nr 000214318"/>
        <s v="Contabilização incorreta,contabilizou como venda,  mas em produção também esta assim"/>
        <s v="Nota nr 000001570"/>
        <s v="Erro de calculo INSS a maior -  em produção tbem está errado, favor seguir com a abertura de chamado com as evidencias (NFE 1580-2 07/06/2024)"/>
        <s v="Com a observação do Tax"/>
        <s v="Nota nr 000001571"/>
        <s v="Nota nr 000214312"/>
        <s v="Obs. A NF contabilizou o cliente conta (1121001) erroneamento, deveria ser transitória contra transitória, em produção tbém esta assim"/>
        <s v="Não está prevista a cópia do tipo documento vendas YBIO para YDEV"/>
        <s v="Nota nr 157809"/>
        <s v="Nota nr 3463"/>
        <s v="Não calculou INSS, SENAR e GILRAT - em PRD está Ok"/>
        <s v="Observamos que em PRD também encontra com o mesmo erro, será aberto chamado para correção e testado"/>
        <s v="Não está prevista a cópia do tipo documento vendas Y007 para YDEV"/>
        <s v="Não está prevista a cópia do tipo documento vendas Y007 para YRET"/>
        <s v="Nota nr 117232"/>
        <s v="Nota nr 367467"/>
        <s v="Não houve contabilização"/>
        <s v="Nota nr 70465"/>
        <s v="Contabilizou o ICMS na conta  3222002 ICMS Venda intercompany e o correto é na conta de ICMS outras, mas em produção tbém esta errado."/>
        <s v="Nota nr 180610"/>
        <s v="Nota nr 18"/>
        <s v="Nota nr 157791"/>
        <s v="Nota nr 180611"/>
        <s v="Nota nr 000367469"/>
        <s v="Nota nr 367459"/>
        <s v="Nota nr 155824"/>
        <s v="Erro aprovação SEFAZ"/>
        <s v="Nota nr 155826"/>
        <s v="Aliquota de PIS/Cofins desatualizada"/>
        <s v="Nota nr 000155835" u="1"/>
        <s v="Nota nr 000155829" u="1"/>
        <s v="Não houve a contabilização da Nfe - Naiara e Gustavo analisar, em produção funciona, CST - Campo Sociedade Parceira é de Preenchimento Obrigatório!!!" u="1"/>
        <s v="A NF contabilizou o cliente conta (1121001) erroneamento, deveria ser transitória contra transitória" u="1"/>
        <s v="Criar nova ordem de acordo com solicitação da Naiara" u="1"/>
        <s v="Erro de calculo INSS a maior -  em produção tbem está errado, favor seguir com a abertura de chamado com as evidencias" u="1"/>
        <s v="Erro de calculo INSS a maior" u="1"/>
        <s v="Nota 149749" u="1"/>
        <s v="Não está contabilizando o ICMS a recuperar na conta 1151006, sendo assim fica com o valor errado." u="1"/>
        <s v="Não está contabilizando o ICMS a recuperar na conta 1151006" u="1"/>
        <s v="Não houve a contabilização da Nfe - Naiara e Gustavo analisar, em produção funciona" u="1"/>
        <s v="CST - Campo Sociedade Parceira é de Preenchimento Obrigatório!!!" u="1"/>
        <s v="Ctg.item YZ03 não encontrada para tipo doc.de vendas Y235" u="1"/>
        <s v="não saiu a cclastrib no xml" u="1"/>
        <s v="Ctg.item YZ02 não encontrada para tipo doc.de vendas Y033" u="1"/>
        <s v="Trouxe as linhas de Pis/cofins calculando indevidamente e no xml" u="1"/>
        <s v="Rejeicao 909: Obrigatorio o preenchimento do grupo de UF de origem do combustivel. [" u="1"/>
        <s v="Não houve a contabilização da Nfe - Marcos Nunes bandeirar" u="1"/>
        <s v="Não saiu a Cclastrib " u="1"/>
        <s v="Valor diferente da NF de Venda y032" u="1"/>
        <s v="Nota nr 149746" u="1"/>
        <s v="Não houve a contabilização da Nfe" u="1"/>
        <s v="Nota fiscal esta sendo recusada entes de ser enviada para Sefaz" u="1"/>
        <s v="não foi possivel atualixar" u="1"/>
        <s v="Não esta deixando criar a remessa, NÃO É POSSIVEL COMBINAR ORGV COM CANAL DE DIST 41" u="1"/>
        <s v="Neto estornar o processo para ordem ser atualizada e refaturada" u="1"/>
        <s v="Contabilização INSS incorreto ( linha duplicidade ) " u="1"/>
        <s v="Contabilizou o ICMS  da devolução de Armazenagem na conta de dedução de receita" u="1"/>
        <s v="Contabilizou o ICMS de da devolução de Armazenagem na conte de dedução de receita" u="1"/>
        <s v="Contabilizou o ICMS de Armazenagem na conte de dedução de receita" u="1"/>
        <s v="Nota nr 15 " u="1"/>
        <s v="não houve a exclusão do ISS na base de calculo IBS/CBS" u="1"/>
        <s v="Nota nr 000149743" u="1"/>
        <s v="não deduziu o ICMS nas linhas IBS/CBS" u="1"/>
        <s v="Faltou a linha do IBS" u="1"/>
        <s v="Processo vinculado com Cen 387, que a nota fiscal foi recusada " u="1"/>
        <s v="Rejeicao 1021: Grupo IBS/CBS informado indevidamente[nItem: 1]" u="1"/>
        <s v="Contabilização INSS incorreto ( linha duplicidade )" u="1"/>
        <s v="Contabilização INSS incorreto" u="1"/>
        <s v="Rejeição 1116: Grupo IBS/CBS Monofásico não informado [nItem: 1]" u="1"/>
        <s v="Trouxe indevidamente as linhas do CBS e IBS" u="1"/>
        <s v="Não calculou o senar " u="1"/>
        <s v="Orçamento anual excedido em 16.828,17 BRL (Ctrl.disponibilidade OrçP AdO) para a partida do documento 00002" u="1"/>
        <s v="Rejeicao 1022: Grupo IBS/CBS nao informado[nItem: 1] Nota 000149742" u="1"/>
        <s v="Rejeicao 1022: Grupo IBS/CBS nao informado[nItem: 1] Nota 1566 estornada" u="1"/>
        <s v="Refazer  o processo, erro no cadastro do IBS e CBS" u="1"/>
        <s v="alterada usina para ITT x FRU" u="1"/>
        <s v="Alinhar com TI / Elo execução dos cenários" u="1"/>
        <s v="Orçamento anual excedido em 12.836,92 BRL (Ctrl.disponibilidade OrçP AdO) para a partida do documento 00002" u="1"/>
        <s v="Alexandre falar com o Pedro sobre a liberação" u="1"/>
        <s v="Não calculou INSS, SENAR e GILRAT" u="1"/>
        <s v="Erro trouxe as linhas de CBS e IBS, porém não calculou" u="1"/>
        <s v="Erro trouxe as linhas de CBS e IBS" u="1"/>
        <s v="não calculou o INSS " u="1"/>
        <s v="Erro não contabilizou o INSS corretamente" u="1"/>
        <s v="não bloqueado - sem ação do financeiro" u="1"/>
        <s v="Não Trouxe a linha de IBS" u="1"/>
        <s v="Ctg item YZ02 não encontrada para o tipo  doc.vendas Y006" u="1"/>
        <s v="Rejeição cod 1116: Grupo IBS/CBS Monofásico não informado [nItem: 1]" u="1"/>
        <s v="Cod Rejeição 610 - Rejeição: Total da NF difere do somatório dos Valores que compõe o valor Total d" u="1"/>
        <s v="Rejeição: Classificação Tributária do IBS e da CBS informada obriga informação d" u="1"/>
        <s v="Cod Rejeição 1022 - Rejeição: Grupo IBS/CBS não informado [nItem: 1]" u="1"/>
        <s v="No depósito , não existe nenhum estoque especial O do material (lote 0000600969) para 0002043277 139348." u="1"/>
        <s v="Rejeição: Grupo IBS/CBS não informado [nItem: 1]" u="1"/>
        <s v="BC IBC/CBS não está correta, e não está contabilizando o Pis/Cofins." u="1"/>
        <s v="Rejeição: Grupo IBS/CBS Monofásico não informado (consta a tax situation na ordem mas não tras a linha do calculo e nem em valores totais)" u="1"/>
        <s v="St. Global Bloqueio - Bloqueado" u="1"/>
        <s v="Time de cadastro precisa atuar no perfil de crédito no cliente 2169310" u="1"/>
        <s v="OV precisa executar verificação de credito " u="1"/>
        <s v="Aguardando Liberação da OV Y904 " u="1"/>
        <s v="voltou para o  faturamento devido liberação da OV y904 passo 371" u="1"/>
        <s v="Falta trocar a ov e o cliente" u="1"/>
        <s v="Rejeição: 909 - Obrigatório o preenchimento do grupo de UF de origem do combustível" u="1"/>
        <s v="Cod Rejeição 538 - Rejeição: Total do IPI difere do somatório dos itens" u="1"/>
        <s v="Cod Rejeição 930 - Rejeição: CST com benefício fiscal e não informado o código de benefício fiscal" u="1"/>
        <s v="Erro ao registrar saída de mercadoria conforme Remessa 811951437 eliminada" u="1"/>
        <s v="Remessa 811951444 aguardando fazer picking da mesma" u="1"/>
        <s v="A Vania precisa criar a OV Y006 Cen 238" u="1"/>
        <s v="Rejeicao: Total da NF difere do somatorio dos Valores que compoe o valor Total d" u="1"/>
        <s v="Nota nr 149734" u="1"/>
        <s v="Erro ao registrar saída de mercadoria conforme Remessa 811951437" u="1"/>
        <s v="Ctg.item YZ02 não encontrada para tipo doc.de vendas Y035" u="1"/>
        <s v="Rejeicao: IE do destinatario nao esta ativa na UF" u="1"/>
        <s v="Observar a conta 3227002 partes relacionadas" u="1"/>
        <s v="OV esta bloqueada para faturamento ( Credito Precisa verificar )" u="1"/>
        <s v="OV esta bloqueada para faturamento " u="1"/>
        <s v="Não trouxe a TAX Situation parametrizada na ZSDR2" u="1"/>
        <s v="CFOP =&gt; NÃO VEIO AUTOMATICO" u="1"/>
        <s v="CFOP NÃO VEIO AUTOMATICO" u="1"/>
        <s v="Para OV 15603632 será necessário inserir saldo em estoque para gerar a remessa" u="1"/>
        <s v="Rejeição: Total da NF difere do somatório dos Valores que compõe o valor Total d" u="1"/>
        <s v="Sem acesso no cenario em BEP" u="1"/>
        <s v="Nota nr 155823" u="1"/>
        <s v="Na nfe gerada não saiu as linhas de redução de 60% IBS e CBS " u="1"/>
        <s v="Erro de orçamento FM - centro de custo" u="1"/>
        <s v="Falta cadastrar o cliente no BEC 2098461 " u="1"/>
        <s v="não consegue criar a ordem da erro" u="1"/>
        <s v="não era para necessitar de liberação manual - intercompany" u="1"/>
        <s v="Nota nr 70464" u="1"/>
        <s v="Não veio a tax situation cadastrada na Z" u="1"/>
        <s v="CFOP INSERIDO MANUAL" u="1"/>
        <s v="Estamos aguardando inserção de saldo em estoque para seguir com faturamento" u="1"/>
      </sharedItems>
    </cacheField>
    <cacheField name="ID Tarefa Precedente" numFmtId="0">
      <sharedItems containsNonDate="0" containsString="0" containsBlank="1"/>
    </cacheField>
    <cacheField name="Tarefas por Cenário" numFmtId="0">
      <sharedItems containsSemiMixedTypes="0" containsString="0" containsNumber="1" containsInteger="1" minValue="1" maxValue="32" count="8">
        <n v="8"/>
        <n v="6"/>
        <n v="32"/>
        <n v="4"/>
        <n v="12"/>
        <n v="7"/>
        <n v="5"/>
        <n v="1"/>
      </sharedItems>
    </cacheField>
    <cacheField name="Tarefas Concluídas" numFmtId="0">
      <sharedItems containsSemiMixedTypes="0" containsString="0" containsNumber="1" containsInteger="1" minValue="0" maxValue="31"/>
    </cacheField>
    <cacheField name="Cenário Concluído" numFmtId="0">
      <sharedItems/>
    </cacheField>
    <cacheField name="Elo - Em correção " numFmtId="0">
      <sharedItems containsSemiMixedTypes="0" containsString="0" containsNumber="1" containsInteger="1" minValue="0" maxValue="0"/>
    </cacheField>
    <cacheField name="Keyuser - Aguardando tarefa precedente" numFmtId="0">
      <sharedItems containsSemiMixedTypes="0" containsString="0" containsNumber="1" containsInteger="1" minValue="0" maxValue="3"/>
    </cacheField>
    <cacheField name="Não liberado  para testes" numFmtId="0">
      <sharedItems containsSemiMixedTypes="0" containsString="0" containsNumber="1" containsInteger="1" minValue="0" maxValue="2"/>
    </cacheField>
    <cacheField name="Em correção?" numFmtId="0">
      <sharedItems/>
    </cacheField>
    <cacheField name="Precedentes?" numFmtId="0">
      <sharedItems/>
    </cacheField>
    <cacheField name="Bloqueado?" numFmtId="0">
      <sharedItems/>
    </cacheField>
    <cacheField name="Dias em pendente Keyuser" numFmtId="0">
      <sharedItems/>
    </cacheField>
    <cacheField name="Impedindo processeguir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002.844357754628" createdVersion="8" refreshedVersion="8" minRefreshableVersion="3" recordCount="126" xr:uid="{B5719CE9-1BD7-4818-8108-5C5512D9F7FD}">
  <cacheSource type="worksheet">
    <worksheetSource name="Tabela49"/>
  </cacheSource>
  <cacheFields count="27">
    <cacheField name="ID" numFmtId="0">
      <sharedItems count="142">
        <s v="TNV-CT01_2"/>
        <s v="TNV-CT01_3"/>
        <s v="TNV-CT01_4"/>
        <s v="TNV-CT01_5"/>
        <s v="TNV-CT01_6"/>
        <s v="TNV-CT01_7"/>
        <s v="TNV-CT01_8"/>
        <s v="TNV-CT01_9"/>
        <s v="TNV-CT01_10"/>
        <s v="TNV-CT02_11"/>
        <s v="TNV-CT02_12"/>
        <s v="TNV-CT02_13"/>
        <s v="TNV-CT02_14"/>
        <s v="TNV-CT02_15"/>
        <s v="TNV-CT02_16"/>
        <s v="TNV-CT02_17"/>
        <s v="TNV-CT02_18"/>
        <s v="TNV-CT02_19"/>
        <s v="TNV-CT05_20"/>
        <s v="TNV-CT05_21"/>
        <s v="TNV-CT05_22"/>
        <s v="TNV-CT05_23"/>
        <s v="TNV-CT05_24"/>
        <s v="TNV-CT05_25"/>
        <s v="TNV-CT05_26"/>
        <s v="TNV-CT05_27"/>
        <s v="TNV-CT05_28"/>
        <s v="TNV-CT09_29"/>
        <s v="TNV-CT09_30"/>
        <s v="TNV-CT09_31"/>
        <s v="TNV-CT09_32"/>
        <s v="TNV-CT09_33"/>
        <s v="TNV-CT09_34"/>
        <s v="TNV-CT09_35"/>
        <s v="TNV-CT09_36"/>
        <s v="TNV-CT09_37"/>
        <s v="TNV-CT09_38"/>
        <s v="TNV-CT09_39"/>
        <s v="TNV-CT09_40"/>
        <s v="TNV-CT09_41"/>
        <s v="TNV-CT09_42"/>
        <s v="TNV-CT09_43"/>
        <s v="TNV-CT09_44"/>
        <s v="TNV-CT09_45"/>
        <s v="TNV-CT09_46"/>
        <s v="TNV-CT10_47"/>
        <s v="TNV-CT10_48"/>
        <s v="TNV-CT10_49"/>
        <s v="TNV-CT10_50"/>
        <s v="TNV-CT10_51"/>
        <s v="TNV-CT10_52"/>
        <s v="TNV-CT10_53"/>
        <s v="TNV-CT10_54"/>
        <s v="TNV-CT10_55"/>
        <s v="TNV-MD01_56"/>
        <s v="TNV-MD01_57"/>
        <s v="TNV-MD01_58"/>
        <s v="TNV-MD01_59"/>
        <s v="TNV-MD01_60"/>
        <s v="TNV-MD01_61"/>
        <s v="TNV-MD01_62"/>
        <s v="TNV-MD01_63"/>
        <s v="TNV-MD01_64"/>
        <s v="TNV-MD03_65"/>
        <s v="TNV-MD03_66"/>
        <s v="TNV-MD03_67"/>
        <s v="TNV-MD03_68"/>
        <s v="TNV-MD03_69"/>
        <s v="TNV-MD03_70"/>
        <s v="TNV-MD03_71"/>
        <s v="TNV-MD03_72"/>
        <s v="TNV-MD03_73"/>
        <s v="TNV-MD04_74"/>
        <s v="TNV-MD04_75"/>
        <s v="TNV-MD04_76"/>
        <s v="TNV-MD04_77"/>
        <s v="TNV-MD04_78"/>
        <s v="TNV-MD04_79"/>
        <s v="TNV-MD04_80"/>
        <s v="TNV-MD04_81"/>
        <s v="TNV-MD04_82"/>
        <s v="TNV-MD06_83"/>
        <s v="TNV-MD06_84"/>
        <s v="TNV-MD06_85"/>
        <s v="TNV-MD06_86"/>
        <s v="TNV-MD06_87"/>
        <s v="TNV-MD06_88"/>
        <s v="TNV-MD06_89"/>
        <s v="TNV-MD06_90"/>
        <s v="TNV-MD06_91"/>
        <s v="TNV-MD08_92"/>
        <s v="TNV-MD08_93"/>
        <s v="TNV-MD08_94"/>
        <s v="TNV-MD08_95"/>
        <s v="TNV-MD08_96"/>
        <s v="TNV-MD08_97"/>
        <s v="TNV-MD08_98"/>
        <s v="TNV-MD08_99"/>
        <s v="TNV-MD08_100"/>
        <s v="TNV-NS01_101"/>
        <s v="TNV-NS01_102"/>
        <s v="TNV-NS01_103"/>
        <s v="TNV-NS01_104"/>
        <s v="TNV-NS01_105"/>
        <s v="TNV-NS01_106"/>
        <s v="TNV-NS01_107"/>
        <s v="TNV-NS01_108"/>
        <s v="TNV-NS01_109"/>
        <s v="TNV-NS02_110"/>
        <s v="TNV-NS02_111"/>
        <s v="TNV-NS02_112"/>
        <s v="TNV-NS02_113"/>
        <s v="TNV-NS02_114"/>
        <s v="TNV-NS02_115"/>
        <s v="TNV-NS02_116"/>
        <s v="TNV-NS02_117"/>
        <s v="TNV-NS02_118"/>
        <s v="TNV-NS03_119"/>
        <s v="TNV-NS03_120"/>
        <s v="TNV-NS03_121"/>
        <s v="TNV-NS03_122"/>
        <s v="TNV-NS03_123"/>
        <s v="TNV-NS03_124"/>
        <s v="TNV-NS03_125"/>
        <s v="TNV-NS03_126"/>
        <s v="TNV-NS03_127"/>
        <s v="TNV-CT_2" u="1"/>
        <s v="TNV-CT_3" u="1"/>
        <s v="TNV-CT_4" u="1"/>
        <s v="TNV-CT_5" u="1"/>
        <s v="TNV-CT_6" u="1"/>
        <s v="TNV-CT_7" u="1"/>
        <s v="TNV-MD_8" u="1"/>
        <s v="TNV-MD_9" u="1"/>
        <s v="TNV-MD_10" u="1"/>
        <s v="TNV-MD_11" u="1"/>
        <s v="TNV-MD_12" u="1"/>
        <s v="TNV-NS_13" u="1"/>
        <s v="TNV-NS_14" u="1"/>
        <s v="TNV-NS_15" u="1"/>
        <s v="" u="1"/>
        <s v="TNV-_16" u="1"/>
      </sharedItems>
    </cacheField>
    <cacheField name="Liberado para Testes?" numFmtId="0">
      <sharedItems containsNonDate="0" containsString="0" containsBlank="1" count="1">
        <m/>
      </sharedItems>
    </cacheField>
    <cacheField name="Cenário" numFmtId="0">
      <sharedItems containsBlank="1" count="15">
        <s v="CT01 - CTe Vendas "/>
        <s v="CT02 - CTe Compras - Débito Posterior"/>
        <s v="CT05 - CTe  Writer"/>
        <s v="CT09 - CTe Outros com folha"/>
        <s v="CT09B - CTe Outros sem folha"/>
        <s v="CT10 - CTe Serviços 67"/>
        <s v="MD01 - Fatura Energia"/>
        <s v="MD03 - Nota de Débito"/>
        <s v="MD04 - Telecomunicações"/>
        <s v="MD06 - Locação"/>
        <s v="MD08 - RPA"/>
        <s v="NS01 - Serviços Diversos"/>
        <s v="NS02 - Serviços DPO"/>
        <s v="NS03 - Serviços - Folha de Serviço"/>
        <m u="1"/>
      </sharedItems>
    </cacheField>
    <cacheField name="Tarefa" numFmtId="0">
      <sharedItems containsBlank="1" count="11">
        <s v="Gerar cenário e pedido"/>
        <s v="Efetuar lançamento (escrituração fiscal)"/>
        <s v="Configurar/Parametrizar IVAs"/>
        <s v="Validar ICMS"/>
        <s v="Validar PIS/COFINS/IBS/CBS"/>
        <s v="Validar Retenções"/>
        <s v="Validação da contabilização"/>
        <s v="Validação título financeiro"/>
        <s v="Realizar validação Obrigações Acessórias - TaxOne"/>
        <m u="1"/>
        <s v="Homologar" u="1"/>
      </sharedItems>
    </cacheField>
    <cacheField name="Sequência" numFmtId="0">
      <sharedItems containsNonDate="0" containsString="0" containsBlank="1"/>
    </cacheField>
    <cacheField name="Descrição" numFmtId="0">
      <sharedItems containsNonDate="0" containsString="0" containsBlank="1"/>
    </cacheField>
    <cacheField name="Responsável" numFmtId="0">
      <sharedItems containsBlank="1" count="9">
        <s v="Edson Oliveira"/>
        <s v="Lívia Martins"/>
        <s v="Giovana Gonçalves"/>
        <s v="Talita Andrade"/>
        <s v="Raquel dos Santos"/>
        <s v="Naiara Toledo"/>
        <s v="Elisa Alves"/>
        <s v="Sergio Souza / Giovana Gonçalves"/>
        <m u="1"/>
      </sharedItems>
    </cacheField>
    <cacheField name="BEC (Pedido/Docnum)" numFmtId="0">
      <sharedItems containsString="0" containsBlank="1" containsNumber="1" containsInteger="1" minValue="46482702" maxValue="4705847492"/>
    </cacheField>
    <cacheField name="Doc Ref BEP" numFmtId="0">
      <sharedItems containsNonDate="0" containsString="0" containsBlank="1"/>
    </cacheField>
    <cacheField name="Conferência Elo" numFmtId="0">
      <sharedItems containsNonDate="0" containsString="0" containsBlank="1"/>
    </cacheField>
    <cacheField name="Status" numFmtId="0">
      <sharedItems containsBlank="1" count="8">
        <s v="Keyuser - Concluído "/>
        <s v="Keyuser - Pendente"/>
        <s v="TNV - Em correção"/>
        <s v="Keyuser - Aguardando tarefa precedente"/>
        <s v="Não se Aplica"/>
        <s v="Não liberado  para testes" u="1"/>
        <s v="TI bp - Em correção" u="1"/>
        <m u="1"/>
      </sharedItems>
    </cacheField>
    <cacheField name="Dt Inicial" numFmtId="168">
      <sharedItems containsNonDate="0" containsDate="1" containsString="0" containsBlank="1" minDate="2025-12-11T00:00:00" maxDate="2025-12-12T00:00:00"/>
    </cacheField>
    <cacheField name="Tempo Previsto" numFmtId="0">
      <sharedItems containsBlank="1"/>
    </cacheField>
    <cacheField name="Dt Conclusão" numFmtId="168">
      <sharedItems containsNonDate="0" containsDate="1" containsString="0" containsBlank="1" minDate="2025-12-10T00:00:00" maxDate="2025-12-12T00:00:00"/>
    </cacheField>
    <cacheField name="Observação" numFmtId="164">
      <sharedItems containsBlank="1"/>
    </cacheField>
    <cacheField name="ID Tarefa Precedente" numFmtId="0">
      <sharedItems containsNonDate="0" containsString="0" containsBlank="1"/>
    </cacheField>
    <cacheField name="Tarefas por Cenário" numFmtId="0">
      <sharedItems containsNonDate="0" containsString="0" containsBlank="1"/>
    </cacheField>
    <cacheField name="Tarefas Concluídas" numFmtId="0">
      <sharedItems containsNonDate="0" containsString="0" containsBlank="1"/>
    </cacheField>
    <cacheField name="Cenário Concluído" numFmtId="0">
      <sharedItems containsNonDate="0" containsString="0" containsBlank="1"/>
    </cacheField>
    <cacheField name="Elo - Em correção " numFmtId="0">
      <sharedItems containsNonDate="0" containsString="0" containsBlank="1"/>
    </cacheField>
    <cacheField name="Keyuser - Aguardando tarefa precedente" numFmtId="0">
      <sharedItems containsNonDate="0" containsString="0" containsBlank="1"/>
    </cacheField>
    <cacheField name="Não liberado  para testes" numFmtId="0">
      <sharedItems containsNonDate="0" containsString="0" containsBlank="1"/>
    </cacheField>
    <cacheField name="Em correção?" numFmtId="0">
      <sharedItems containsNonDate="0" containsString="0" containsBlank="1"/>
    </cacheField>
    <cacheField name="Precedentes?" numFmtId="0">
      <sharedItems containsNonDate="0" containsString="0" containsBlank="1"/>
    </cacheField>
    <cacheField name="Bloqueado?" numFmtId="0">
      <sharedItems containsNonDate="0" containsString="0" containsBlank="1"/>
    </cacheField>
    <cacheField name="Dias em pendente Keyuser" numFmtId="0">
      <sharedItems containsNonDate="0" containsString="0" containsBlank="1"/>
    </cacheField>
    <cacheField name="Impedindo processeguir?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x v="0"/>
    <x v="0"/>
    <x v="0"/>
    <x v="0"/>
    <n v="20823939"/>
    <n v="20888620"/>
    <x v="0"/>
    <d v="2025-08-25T00:00:00"/>
    <m/>
    <d v="2025-08-25T00:00:00"/>
    <x v="0"/>
    <m/>
  </r>
  <r>
    <x v="1"/>
    <x v="0"/>
    <x v="1"/>
    <x v="1"/>
    <n v="4501888485"/>
    <n v="4502047216"/>
    <x v="0"/>
    <d v="2025-08-25T00:00:00"/>
    <m/>
    <d v="2025-08-25T00:00:00"/>
    <x v="0"/>
    <m/>
  </r>
  <r>
    <x v="2"/>
    <x v="0"/>
    <x v="2"/>
    <x v="2"/>
    <n v="4501888485"/>
    <m/>
    <x v="0"/>
    <d v="2025-08-25T00:00:00"/>
    <m/>
    <d v="2025-08-25T00:00:00"/>
    <x v="1"/>
    <m/>
  </r>
  <r>
    <x v="3"/>
    <x v="0"/>
    <x v="3"/>
    <x v="3"/>
    <n v="183855890"/>
    <m/>
    <x v="0"/>
    <d v="2025-11-25T00:00:00"/>
    <m/>
    <d v="2025-11-25T00:00:00"/>
    <x v="0"/>
    <m/>
  </r>
  <r>
    <x v="4"/>
    <x v="0"/>
    <x v="4"/>
    <x v="3"/>
    <n v="5026020869"/>
    <m/>
    <x v="0"/>
    <d v="2025-11-25T00:00:00"/>
    <m/>
    <d v="2025-11-25T00:00:00"/>
    <x v="0"/>
    <m/>
  </r>
  <r>
    <x v="5"/>
    <x v="0"/>
    <x v="5"/>
    <x v="4"/>
    <m/>
    <m/>
    <x v="0"/>
    <m/>
    <m/>
    <d v="2025-05-12T00:00:00"/>
    <x v="0"/>
    <m/>
  </r>
  <r>
    <x v="6"/>
    <x v="0"/>
    <x v="6"/>
    <x v="3"/>
    <n v="5109666465"/>
    <m/>
    <x v="0"/>
    <d v="2025-11-25T00:00:00"/>
    <m/>
    <d v="2025-11-25T00:00:00"/>
    <x v="0"/>
    <m/>
  </r>
  <r>
    <x v="7"/>
    <x v="0"/>
    <x v="7"/>
    <x v="5"/>
    <n v="46482548"/>
    <m/>
    <x v="0"/>
    <d v="2025-11-25T00:00:00"/>
    <m/>
    <d v="2025-11-25T00:00:00"/>
    <x v="0"/>
    <m/>
  </r>
  <r>
    <x v="8"/>
    <x v="0"/>
    <x v="8"/>
    <x v="6"/>
    <n v="46482548"/>
    <m/>
    <x v="0"/>
    <s v="25/11/2025"/>
    <m/>
    <d v="2025-11-25T00:00:00"/>
    <x v="0"/>
    <m/>
  </r>
  <r>
    <x v="9"/>
    <x v="0"/>
    <x v="9"/>
    <x v="5"/>
    <m/>
    <m/>
    <x v="1"/>
    <m/>
    <m/>
    <m/>
    <x v="0"/>
    <m/>
  </r>
  <r>
    <x v="10"/>
    <x v="0"/>
    <x v="10"/>
    <x v="7"/>
    <m/>
    <m/>
    <x v="0"/>
    <d v="2025-12-05T00:00:00"/>
    <m/>
    <d v="2025-12-05T00:00:00"/>
    <x v="2"/>
    <m/>
  </r>
  <r>
    <x v="11"/>
    <x v="1"/>
    <x v="0"/>
    <x v="0"/>
    <n v="20823938"/>
    <n v="20873836"/>
    <x v="0"/>
    <d v="2025-08-26T00:00:00"/>
    <m/>
    <d v="2025-08-26T00:00:00"/>
    <x v="0"/>
    <m/>
  </r>
  <r>
    <x v="12"/>
    <x v="1"/>
    <x v="1"/>
    <x v="1"/>
    <n v="4501888489"/>
    <n v="4502006931"/>
    <x v="0"/>
    <d v="2025-08-26T00:00:00"/>
    <m/>
    <d v="2025-08-26T00:00:00"/>
    <x v="0"/>
    <m/>
  </r>
  <r>
    <x v="13"/>
    <x v="1"/>
    <x v="2"/>
    <x v="2"/>
    <n v="4501888489"/>
    <m/>
    <x v="0"/>
    <d v="2025-08-26T00:00:00"/>
    <m/>
    <d v="2025-08-26T00:00:00"/>
    <x v="0"/>
    <m/>
  </r>
  <r>
    <x v="14"/>
    <x v="1"/>
    <x v="3"/>
    <x v="3"/>
    <n v="183855853"/>
    <m/>
    <x v="0"/>
    <d v="2025-11-12T00:00:00"/>
    <m/>
    <d v="2025-11-12T00:00:00"/>
    <x v="0"/>
    <m/>
  </r>
  <r>
    <x v="15"/>
    <x v="1"/>
    <x v="4"/>
    <x v="3"/>
    <n v="5026020839"/>
    <m/>
    <x v="0"/>
    <d v="2025-11-12T00:00:00"/>
    <m/>
    <d v="2025-11-12T00:00:00"/>
    <x v="0"/>
    <m/>
  </r>
  <r>
    <x v="16"/>
    <x v="1"/>
    <x v="5"/>
    <x v="4"/>
    <m/>
    <m/>
    <x v="0"/>
    <d v="2025-12-11T00:00:00"/>
    <m/>
    <d v="2025-11-12T00:00:00"/>
    <x v="0"/>
    <m/>
  </r>
  <r>
    <x v="17"/>
    <x v="1"/>
    <x v="6"/>
    <x v="3"/>
    <n v="5109666390"/>
    <m/>
    <x v="0"/>
    <d v="2025-12-11T00:00:00"/>
    <m/>
    <d v="2025-12-11T00:00:00"/>
    <x v="3"/>
    <m/>
  </r>
  <r>
    <x v="18"/>
    <x v="1"/>
    <x v="7"/>
    <x v="5"/>
    <n v="46482526"/>
    <m/>
    <x v="0"/>
    <m/>
    <m/>
    <d v="2025-11-21T00:00:00"/>
    <x v="0"/>
    <m/>
  </r>
  <r>
    <x v="19"/>
    <x v="1"/>
    <x v="8"/>
    <x v="6"/>
    <n v="46482526"/>
    <m/>
    <x v="0"/>
    <s v="25/11/2025"/>
    <m/>
    <d v="2025-11-25T00:00:00"/>
    <x v="0"/>
    <m/>
  </r>
  <r>
    <x v="20"/>
    <x v="1"/>
    <x v="9"/>
    <x v="5"/>
    <m/>
    <m/>
    <x v="1"/>
    <m/>
    <m/>
    <m/>
    <x v="0"/>
    <m/>
  </r>
  <r>
    <x v="21"/>
    <x v="1"/>
    <x v="10"/>
    <x v="7"/>
    <m/>
    <m/>
    <x v="0"/>
    <d v="2025-12-05T00:00:00"/>
    <m/>
    <d v="2025-12-05T00:00:00"/>
    <x v="2"/>
    <m/>
  </r>
  <r>
    <x v="22"/>
    <x v="2"/>
    <x v="0"/>
    <x v="0"/>
    <n v="20823943"/>
    <n v="20879177"/>
    <x v="0"/>
    <d v="2025-08-27T00:00:00"/>
    <m/>
    <d v="2025-08-27T00:00:00"/>
    <x v="0"/>
    <m/>
  </r>
  <r>
    <x v="23"/>
    <x v="2"/>
    <x v="1"/>
    <x v="1"/>
    <n v="4501888501"/>
    <n v="4502029501"/>
    <x v="0"/>
    <d v="2025-08-28T00:00:00"/>
    <m/>
    <d v="2025-08-28T00:00:00"/>
    <x v="0"/>
    <m/>
  </r>
  <r>
    <x v="24"/>
    <x v="2"/>
    <x v="2"/>
    <x v="2"/>
    <n v="4501888501"/>
    <m/>
    <x v="0"/>
    <d v="2025-08-28T00:00:00"/>
    <m/>
    <d v="2025-08-28T00:00:00"/>
    <x v="4"/>
    <m/>
  </r>
  <r>
    <x v="25"/>
    <x v="2"/>
    <x v="3"/>
    <x v="3"/>
    <m/>
    <n v="46482589"/>
    <x v="0"/>
    <m/>
    <m/>
    <d v="2025-11-21T00:00:00"/>
    <x v="0"/>
    <m/>
  </r>
  <r>
    <x v="26"/>
    <x v="2"/>
    <x v="4"/>
    <x v="3"/>
    <m/>
    <n v="5026020879"/>
    <x v="0"/>
    <m/>
    <m/>
    <d v="2025-11-21T00:00:00"/>
    <x v="0"/>
    <m/>
  </r>
  <r>
    <x v="27"/>
    <x v="2"/>
    <x v="5"/>
    <x v="4"/>
    <m/>
    <m/>
    <x v="0"/>
    <d v="2025-05-12T00:00:00"/>
    <m/>
    <d v="2025-05-12T00:00:00"/>
    <x v="0"/>
    <m/>
  </r>
  <r>
    <x v="28"/>
    <x v="2"/>
    <x v="6"/>
    <x v="3"/>
    <m/>
    <n v="5109666476"/>
    <x v="0"/>
    <m/>
    <m/>
    <d v="2025-11-21T00:00:00"/>
    <x v="0"/>
    <m/>
  </r>
  <r>
    <x v="29"/>
    <x v="2"/>
    <x v="7"/>
    <x v="5"/>
    <n v="46482778"/>
    <m/>
    <x v="0"/>
    <m/>
    <m/>
    <m/>
    <x v="5"/>
    <m/>
  </r>
  <r>
    <x v="30"/>
    <x v="2"/>
    <x v="8"/>
    <x v="6"/>
    <n v="46482778"/>
    <m/>
    <x v="0"/>
    <d v="2025-09-12T00:00:00"/>
    <m/>
    <d v="2025-09-12T00:00:00"/>
    <x v="0"/>
    <m/>
  </r>
  <r>
    <x v="31"/>
    <x v="2"/>
    <x v="9"/>
    <x v="5"/>
    <m/>
    <m/>
    <x v="1"/>
    <m/>
    <m/>
    <m/>
    <x v="0"/>
    <m/>
  </r>
  <r>
    <x v="32"/>
    <x v="2"/>
    <x v="10"/>
    <x v="7"/>
    <m/>
    <m/>
    <x v="0"/>
    <m/>
    <m/>
    <m/>
    <x v="2"/>
    <m/>
  </r>
  <r>
    <x v="33"/>
    <x v="3"/>
    <x v="0"/>
    <x v="0"/>
    <n v="20823990"/>
    <m/>
    <x v="0"/>
    <d v="2025-09-24T00:00:00"/>
    <m/>
    <d v="2025-09-24T00:00:00"/>
    <x v="0"/>
    <m/>
  </r>
  <r>
    <x v="34"/>
    <x v="3"/>
    <x v="1"/>
    <x v="1"/>
    <n v="4501888783"/>
    <n v="4502035270"/>
    <x v="0"/>
    <d v="2025-09-24T00:00:00"/>
    <m/>
    <d v="2025-09-24T00:00:00"/>
    <x v="0"/>
    <m/>
  </r>
  <r>
    <x v="35"/>
    <x v="3"/>
    <x v="2"/>
    <x v="2"/>
    <n v="4501888783"/>
    <m/>
    <x v="0"/>
    <d v="2025-09-24T00:00:00"/>
    <m/>
    <d v="2025-09-24T00:00:00"/>
    <x v="6"/>
    <m/>
  </r>
  <r>
    <x v="36"/>
    <x v="3"/>
    <x v="3"/>
    <x v="3"/>
    <m/>
    <n v="46482595"/>
    <x v="0"/>
    <m/>
    <m/>
    <d v="2025-11-21T00:00:00"/>
    <x v="0"/>
    <m/>
  </r>
  <r>
    <x v="37"/>
    <x v="3"/>
    <x v="4"/>
    <x v="3"/>
    <m/>
    <n v="5026020881"/>
    <x v="0"/>
    <m/>
    <m/>
    <d v="2025-11-21T00:00:00"/>
    <x v="0"/>
    <m/>
  </r>
  <r>
    <x v="38"/>
    <x v="3"/>
    <x v="5"/>
    <x v="4"/>
    <m/>
    <m/>
    <x v="0"/>
    <d v="2025-12-11T00:00:00"/>
    <m/>
    <d v="2025-12-11T00:00:00"/>
    <x v="0"/>
    <m/>
  </r>
  <r>
    <x v="39"/>
    <x v="3"/>
    <x v="6"/>
    <x v="3"/>
    <m/>
    <n v="5109666479"/>
    <x v="0"/>
    <m/>
    <m/>
    <d v="2025-11-21T00:00:00"/>
    <x v="0"/>
    <m/>
  </r>
  <r>
    <x v="40"/>
    <x v="3"/>
    <x v="7"/>
    <x v="5"/>
    <n v="46482595"/>
    <m/>
    <x v="0"/>
    <m/>
    <m/>
    <d v="2025-11-21T00:00:00"/>
    <x v="0"/>
    <m/>
  </r>
  <r>
    <x v="41"/>
    <x v="3"/>
    <x v="8"/>
    <x v="6"/>
    <n v="46482595"/>
    <m/>
    <x v="0"/>
    <d v="2025-04-12T00:00:00"/>
    <m/>
    <d v="2025-04-12T00:00:00"/>
    <x v="0"/>
    <m/>
  </r>
  <r>
    <x v="42"/>
    <x v="3"/>
    <x v="9"/>
    <x v="5"/>
    <m/>
    <m/>
    <x v="1"/>
    <m/>
    <m/>
    <m/>
    <x v="0"/>
    <m/>
  </r>
  <r>
    <x v="43"/>
    <x v="3"/>
    <x v="10"/>
    <x v="7"/>
    <m/>
    <m/>
    <x v="0"/>
    <d v="2025-12-05T00:00:00"/>
    <m/>
    <d v="2025-12-05T00:00:00"/>
    <x v="2"/>
    <m/>
  </r>
  <r>
    <x v="44"/>
    <x v="4"/>
    <x v="0"/>
    <x v="0"/>
    <n v="20823991"/>
    <m/>
    <x v="0"/>
    <d v="2025-09-26T00:00:00"/>
    <m/>
    <d v="2025-09-26T00:00:00"/>
    <x v="0"/>
    <m/>
  </r>
  <r>
    <x v="45"/>
    <x v="4"/>
    <x v="1"/>
    <x v="1"/>
    <n v="4501888784"/>
    <n v="4502016063"/>
    <x v="0"/>
    <d v="2025-09-26T00:00:00"/>
    <m/>
    <d v="2025-09-26T00:00:00"/>
    <x v="0"/>
    <m/>
  </r>
  <r>
    <x v="46"/>
    <x v="4"/>
    <x v="2"/>
    <x v="2"/>
    <n v="4501888784"/>
    <m/>
    <x v="0"/>
    <d v="2025-09-26T00:00:00"/>
    <m/>
    <d v="2025-09-26T00:00:00"/>
    <x v="7"/>
    <m/>
  </r>
  <r>
    <x v="47"/>
    <x v="4"/>
    <x v="3"/>
    <x v="3"/>
    <m/>
    <n v="46482649"/>
    <x v="0"/>
    <m/>
    <m/>
    <d v="2025-11-21T00:00:00"/>
    <x v="0"/>
    <m/>
  </r>
  <r>
    <x v="48"/>
    <x v="4"/>
    <x v="4"/>
    <x v="3"/>
    <m/>
    <n v="5026020900"/>
    <x v="0"/>
    <m/>
    <m/>
    <d v="2025-11-21T00:00:00"/>
    <x v="0"/>
    <m/>
  </r>
  <r>
    <x v="49"/>
    <x v="4"/>
    <x v="5"/>
    <x v="4"/>
    <m/>
    <m/>
    <x v="0"/>
    <d v="2025-12-11T00:00:00"/>
    <m/>
    <d v="2025-12-11T00:00:00"/>
    <x v="0"/>
    <m/>
  </r>
  <r>
    <x v="50"/>
    <x v="4"/>
    <x v="6"/>
    <x v="3"/>
    <m/>
    <n v="5109666554"/>
    <x v="0"/>
    <m/>
    <m/>
    <d v="2025-11-21T00:00:00"/>
    <x v="0"/>
    <m/>
  </r>
  <r>
    <x v="51"/>
    <x v="4"/>
    <x v="7"/>
    <x v="5"/>
    <n v="46482649"/>
    <m/>
    <x v="0"/>
    <m/>
    <m/>
    <d v="2025-12-03T00:00:00"/>
    <x v="0"/>
    <m/>
  </r>
  <r>
    <x v="52"/>
    <x v="4"/>
    <x v="8"/>
    <x v="6"/>
    <m/>
    <m/>
    <x v="0"/>
    <d v="2025-04-12T00:00:00"/>
    <m/>
    <d v="2025-04-12T00:00:00"/>
    <x v="0"/>
    <m/>
  </r>
  <r>
    <x v="53"/>
    <x v="4"/>
    <x v="9"/>
    <x v="5"/>
    <m/>
    <m/>
    <x v="1"/>
    <m/>
    <m/>
    <m/>
    <x v="0"/>
    <m/>
  </r>
  <r>
    <x v="54"/>
    <x v="4"/>
    <x v="10"/>
    <x v="7"/>
    <m/>
    <m/>
    <x v="0"/>
    <d v="2025-12-05T00:00:00"/>
    <m/>
    <d v="2025-12-05T00:00:00"/>
    <x v="2"/>
    <m/>
  </r>
  <r>
    <x v="55"/>
    <x v="5"/>
    <x v="0"/>
    <x v="0"/>
    <n v="20823992"/>
    <m/>
    <x v="0"/>
    <d v="2025-09-26T00:00:00"/>
    <m/>
    <d v="2025-09-26T00:00:00"/>
    <x v="0"/>
    <m/>
  </r>
  <r>
    <x v="56"/>
    <x v="5"/>
    <x v="1"/>
    <x v="1"/>
    <n v="4501888975"/>
    <n v="4502021394"/>
    <x v="0"/>
    <d v="2025-09-26T00:00:00"/>
    <m/>
    <d v="2025-09-26T00:00:00"/>
    <x v="0"/>
    <m/>
  </r>
  <r>
    <x v="57"/>
    <x v="5"/>
    <x v="2"/>
    <x v="2"/>
    <n v="4501888975"/>
    <m/>
    <x v="0"/>
    <d v="2025-09-26T00:00:00"/>
    <m/>
    <d v="2025-09-26T00:00:00"/>
    <x v="8"/>
    <m/>
  </r>
  <r>
    <x v="58"/>
    <x v="5"/>
    <x v="3"/>
    <x v="3"/>
    <n v="183855846"/>
    <n v="46482650"/>
    <x v="0"/>
    <d v="2025-10-28T00:00:00"/>
    <m/>
    <d v="2025-10-28T00:00:00"/>
    <x v="0"/>
    <m/>
  </r>
  <r>
    <x v="59"/>
    <x v="5"/>
    <x v="4"/>
    <x v="3"/>
    <m/>
    <n v="5026020901"/>
    <x v="0"/>
    <d v="2025-10-28T00:00:00"/>
    <m/>
    <d v="2025-10-28T00:00:00"/>
    <x v="0"/>
    <m/>
  </r>
  <r>
    <x v="60"/>
    <x v="5"/>
    <x v="5"/>
    <x v="4"/>
    <m/>
    <m/>
    <x v="2"/>
    <d v="2025-09-12T00:00:00"/>
    <m/>
    <m/>
    <x v="9"/>
    <m/>
  </r>
  <r>
    <x v="61"/>
    <x v="5"/>
    <x v="6"/>
    <x v="3"/>
    <m/>
    <n v="5109666555"/>
    <x v="0"/>
    <m/>
    <m/>
    <d v="2025-11-21T00:00:00"/>
    <x v="0"/>
    <m/>
  </r>
  <r>
    <x v="62"/>
    <x v="5"/>
    <x v="7"/>
    <x v="5"/>
    <n v="46482650"/>
    <m/>
    <x v="0"/>
    <m/>
    <m/>
    <d v="2025-12-03T00:00:00"/>
    <x v="0"/>
    <m/>
  </r>
  <r>
    <x v="63"/>
    <x v="5"/>
    <x v="8"/>
    <x v="6"/>
    <m/>
    <m/>
    <x v="0"/>
    <d v="2025-04-12T00:00:00"/>
    <m/>
    <d v="2025-04-12T00:00:00"/>
    <x v="0"/>
    <m/>
  </r>
  <r>
    <x v="64"/>
    <x v="5"/>
    <x v="9"/>
    <x v="5"/>
    <m/>
    <m/>
    <x v="1"/>
    <m/>
    <m/>
    <m/>
    <x v="0"/>
    <m/>
  </r>
  <r>
    <x v="65"/>
    <x v="5"/>
    <x v="10"/>
    <x v="7"/>
    <m/>
    <m/>
    <x v="0"/>
    <d v="2025-12-05T00:00:00"/>
    <m/>
    <d v="2025-12-05T00:00:00"/>
    <x v="2"/>
    <m/>
  </r>
  <r>
    <x v="66"/>
    <x v="6"/>
    <x v="0"/>
    <x v="0"/>
    <n v="20823997"/>
    <m/>
    <x v="0"/>
    <d v="2025-09-19T00:00:00"/>
    <m/>
    <d v="2025-09-19T00:00:00"/>
    <x v="0"/>
    <m/>
  </r>
  <r>
    <x v="67"/>
    <x v="6"/>
    <x v="1"/>
    <x v="1"/>
    <n v="4501888831"/>
    <n v="4501978724"/>
    <x v="0"/>
    <d v="2025-10-06T00:00:00"/>
    <m/>
    <d v="2025-10-06T00:00:00"/>
    <x v="0"/>
    <m/>
  </r>
  <r>
    <x v="68"/>
    <x v="6"/>
    <x v="2"/>
    <x v="2"/>
    <n v="4501888831"/>
    <n v="4501978724"/>
    <x v="0"/>
    <d v="2025-10-06T00:00:00"/>
    <m/>
    <d v="2025-10-06T00:00:00"/>
    <x v="10"/>
    <m/>
  </r>
  <r>
    <x v="69"/>
    <x v="6"/>
    <x v="3"/>
    <x v="3"/>
    <m/>
    <n v="46482707"/>
    <x v="0"/>
    <m/>
    <m/>
    <d v="2025-12-04T00:00:00"/>
    <x v="0"/>
    <m/>
  </r>
  <r>
    <x v="70"/>
    <x v="6"/>
    <x v="4"/>
    <x v="3"/>
    <m/>
    <n v="46482707"/>
    <x v="0"/>
    <m/>
    <m/>
    <d v="2025-12-04T00:00:00"/>
    <x v="0"/>
    <m/>
  </r>
  <r>
    <x v="71"/>
    <x v="6"/>
    <x v="5"/>
    <x v="4"/>
    <m/>
    <m/>
    <x v="0"/>
    <d v="2025-09-12T00:00:00"/>
    <m/>
    <d v="2025-09-12T00:00:00"/>
    <x v="0"/>
    <m/>
  </r>
  <r>
    <x v="72"/>
    <x v="6"/>
    <x v="6"/>
    <x v="3"/>
    <m/>
    <n v="46482707"/>
    <x v="0"/>
    <m/>
    <m/>
    <d v="2025-12-04T00:00:00"/>
    <x v="0"/>
    <m/>
  </r>
  <r>
    <x v="73"/>
    <x v="6"/>
    <x v="7"/>
    <x v="5"/>
    <n v="46482589"/>
    <m/>
    <x v="3"/>
    <m/>
    <m/>
    <m/>
    <x v="11"/>
    <m/>
  </r>
  <r>
    <x v="74"/>
    <x v="6"/>
    <x v="8"/>
    <x v="6"/>
    <m/>
    <m/>
    <x v="4"/>
    <m/>
    <m/>
    <m/>
    <x v="0"/>
    <m/>
  </r>
  <r>
    <x v="75"/>
    <x v="6"/>
    <x v="9"/>
    <x v="5"/>
    <m/>
    <m/>
    <x v="1"/>
    <m/>
    <m/>
    <m/>
    <x v="0"/>
    <m/>
  </r>
  <r>
    <x v="76"/>
    <x v="6"/>
    <x v="10"/>
    <x v="7"/>
    <m/>
    <m/>
    <x v="4"/>
    <m/>
    <m/>
    <m/>
    <x v="0"/>
    <m/>
  </r>
  <r>
    <x v="77"/>
    <x v="7"/>
    <x v="0"/>
    <x v="0"/>
    <n v="20823994"/>
    <m/>
    <x v="0"/>
    <d v="2025-09-25T00:00:00"/>
    <m/>
    <d v="2025-09-25T00:00:00"/>
    <x v="0"/>
    <m/>
  </r>
  <r>
    <x v="78"/>
    <x v="7"/>
    <x v="1"/>
    <x v="1"/>
    <n v="4501888797"/>
    <n v="4502057503"/>
    <x v="0"/>
    <d v="2025-09-25T00:00:00"/>
    <m/>
    <d v="2025-09-25T00:00:00"/>
    <x v="0"/>
    <m/>
  </r>
  <r>
    <x v="79"/>
    <x v="7"/>
    <x v="2"/>
    <x v="2"/>
    <n v="4501888797"/>
    <n v="4502057503"/>
    <x v="0"/>
    <d v="2025-09-25T00:00:00"/>
    <m/>
    <d v="2025-09-25T00:00:00"/>
    <x v="12"/>
    <m/>
  </r>
  <r>
    <x v="80"/>
    <x v="7"/>
    <x v="3"/>
    <x v="3"/>
    <m/>
    <n v="46482708"/>
    <x v="0"/>
    <m/>
    <m/>
    <d v="2025-12-04T00:00:00"/>
    <x v="0"/>
    <m/>
  </r>
  <r>
    <x v="81"/>
    <x v="7"/>
    <x v="4"/>
    <x v="3"/>
    <m/>
    <n v="46482708"/>
    <x v="0"/>
    <m/>
    <m/>
    <d v="2025-12-04T00:00:00"/>
    <x v="0"/>
    <m/>
  </r>
  <r>
    <x v="82"/>
    <x v="7"/>
    <x v="5"/>
    <x v="4"/>
    <m/>
    <m/>
    <x v="0"/>
    <d v="2025-09-12T00:00:00"/>
    <m/>
    <d v="2025-09-12T00:00:00"/>
    <x v="0"/>
    <m/>
  </r>
  <r>
    <x v="83"/>
    <x v="7"/>
    <x v="6"/>
    <x v="3"/>
    <m/>
    <n v="46482708"/>
    <x v="0"/>
    <m/>
    <m/>
    <d v="2025-12-04T00:00:00"/>
    <x v="0"/>
    <m/>
  </r>
  <r>
    <x v="84"/>
    <x v="7"/>
    <x v="7"/>
    <x v="5"/>
    <n v="46482708"/>
    <m/>
    <x v="0"/>
    <m/>
    <m/>
    <m/>
    <x v="0"/>
    <m/>
  </r>
  <r>
    <x v="85"/>
    <x v="7"/>
    <x v="8"/>
    <x v="6"/>
    <n v="46482708"/>
    <m/>
    <x v="0"/>
    <d v="2025-05-12T00:00:00"/>
    <m/>
    <d v="2025-05-12T00:00:00"/>
    <x v="0"/>
    <m/>
  </r>
  <r>
    <x v="86"/>
    <x v="7"/>
    <x v="9"/>
    <x v="5"/>
    <m/>
    <m/>
    <x v="1"/>
    <m/>
    <m/>
    <m/>
    <x v="0"/>
    <m/>
  </r>
  <r>
    <x v="87"/>
    <x v="7"/>
    <x v="10"/>
    <x v="7"/>
    <m/>
    <m/>
    <x v="5"/>
    <m/>
    <m/>
    <m/>
    <x v="0"/>
    <m/>
  </r>
  <r>
    <x v="88"/>
    <x v="8"/>
    <x v="0"/>
    <x v="0"/>
    <n v="20823995"/>
    <m/>
    <x v="0"/>
    <d v="2025-10-06T00:00:00"/>
    <m/>
    <d v="2025-10-06T00:00:00"/>
    <x v="0"/>
    <m/>
  </r>
  <r>
    <x v="89"/>
    <x v="8"/>
    <x v="1"/>
    <x v="1"/>
    <n v="4501888830"/>
    <n v="4502011662"/>
    <x v="0"/>
    <d v="2025-10-06T00:00:00"/>
    <m/>
    <d v="2025-10-06T00:00:00"/>
    <x v="0"/>
    <m/>
  </r>
  <r>
    <x v="90"/>
    <x v="8"/>
    <x v="2"/>
    <x v="2"/>
    <n v="4501888830"/>
    <n v="4502011662"/>
    <x v="0"/>
    <d v="2025-10-06T00:00:00"/>
    <m/>
    <d v="2025-10-06T00:00:00"/>
    <x v="13"/>
    <m/>
  </r>
  <r>
    <x v="91"/>
    <x v="8"/>
    <x v="3"/>
    <x v="3"/>
    <m/>
    <n v="46482709"/>
    <x v="0"/>
    <m/>
    <m/>
    <d v="2025-12-04T00:00:00"/>
    <x v="0"/>
    <m/>
  </r>
  <r>
    <x v="92"/>
    <x v="8"/>
    <x v="4"/>
    <x v="3"/>
    <m/>
    <n v="46482709"/>
    <x v="0"/>
    <m/>
    <m/>
    <d v="2025-12-04T00:00:00"/>
    <x v="0"/>
    <m/>
  </r>
  <r>
    <x v="93"/>
    <x v="8"/>
    <x v="5"/>
    <x v="4"/>
    <m/>
    <m/>
    <x v="0"/>
    <d v="2025-09-12T00:00:00"/>
    <m/>
    <d v="2025-09-12T00:00:00"/>
    <x v="0"/>
    <m/>
  </r>
  <r>
    <x v="94"/>
    <x v="8"/>
    <x v="6"/>
    <x v="3"/>
    <m/>
    <n v="46482709"/>
    <x v="0"/>
    <m/>
    <m/>
    <d v="2025-12-04T00:00:00"/>
    <x v="0"/>
    <m/>
  </r>
  <r>
    <x v="95"/>
    <x v="8"/>
    <x v="7"/>
    <x v="5"/>
    <n v="46482709"/>
    <m/>
    <x v="0"/>
    <m/>
    <m/>
    <m/>
    <x v="0"/>
    <m/>
  </r>
  <r>
    <x v="96"/>
    <x v="8"/>
    <x v="8"/>
    <x v="6"/>
    <m/>
    <m/>
    <x v="0"/>
    <d v="2025-12-05T00:00:00"/>
    <m/>
    <d v="2025-12-05T00:00:00"/>
    <x v="0"/>
    <m/>
  </r>
  <r>
    <x v="97"/>
    <x v="8"/>
    <x v="9"/>
    <x v="5"/>
    <m/>
    <m/>
    <x v="1"/>
    <m/>
    <m/>
    <m/>
    <x v="0"/>
    <m/>
  </r>
  <r>
    <x v="98"/>
    <x v="8"/>
    <x v="10"/>
    <x v="7"/>
    <m/>
    <m/>
    <x v="0"/>
    <d v="2025-12-05T00:00:00"/>
    <m/>
    <d v="2025-12-05T00:00:00"/>
    <x v="2"/>
    <m/>
  </r>
  <r>
    <x v="99"/>
    <x v="9"/>
    <x v="0"/>
    <x v="0"/>
    <s v="-"/>
    <s v="-"/>
    <x v="0"/>
    <d v="2025-10-06T00:00:00"/>
    <m/>
    <d v="2025-10-06T00:00:00"/>
    <x v="0"/>
    <m/>
  </r>
  <r>
    <x v="100"/>
    <x v="9"/>
    <x v="1"/>
    <x v="1"/>
    <n v="4501888828"/>
    <n v="4501941581"/>
    <x v="0"/>
    <d v="2025-10-06T00:00:00"/>
    <m/>
    <d v="2025-10-06T00:00:00"/>
    <x v="0"/>
    <m/>
  </r>
  <r>
    <x v="101"/>
    <x v="9"/>
    <x v="2"/>
    <x v="2"/>
    <n v="4501888828"/>
    <n v="4501941581"/>
    <x v="0"/>
    <d v="2025-10-06T00:00:00"/>
    <m/>
    <d v="2025-10-06T00:00:00"/>
    <x v="14"/>
    <m/>
  </r>
  <r>
    <x v="102"/>
    <x v="9"/>
    <x v="3"/>
    <x v="3"/>
    <m/>
    <n v="46482710"/>
    <x v="0"/>
    <m/>
    <m/>
    <d v="2025-12-04T00:00:00"/>
    <x v="0"/>
    <m/>
  </r>
  <r>
    <x v="103"/>
    <x v="9"/>
    <x v="4"/>
    <x v="3"/>
    <m/>
    <n v="46482710"/>
    <x v="0"/>
    <m/>
    <m/>
    <d v="2025-12-04T00:00:00"/>
    <x v="0"/>
    <m/>
  </r>
  <r>
    <x v="104"/>
    <x v="9"/>
    <x v="5"/>
    <x v="4"/>
    <m/>
    <m/>
    <x v="2"/>
    <d v="2025-09-12T00:00:00"/>
    <m/>
    <m/>
    <x v="15"/>
    <m/>
  </r>
  <r>
    <x v="105"/>
    <x v="9"/>
    <x v="6"/>
    <x v="3"/>
    <m/>
    <n v="46482710"/>
    <x v="0"/>
    <m/>
    <m/>
    <d v="2025-12-04T00:00:00"/>
    <x v="0"/>
    <m/>
  </r>
  <r>
    <x v="106"/>
    <x v="9"/>
    <x v="7"/>
    <x v="5"/>
    <n v="46482710"/>
    <m/>
    <x v="0"/>
    <m/>
    <m/>
    <m/>
    <x v="0"/>
    <m/>
  </r>
  <r>
    <x v="107"/>
    <x v="9"/>
    <x v="8"/>
    <x v="6"/>
    <n v="46482710"/>
    <m/>
    <x v="0"/>
    <d v="2025-05-12T00:00:00"/>
    <m/>
    <d v="2025-05-12T00:00:00"/>
    <x v="0"/>
    <m/>
  </r>
  <r>
    <x v="108"/>
    <x v="9"/>
    <x v="9"/>
    <x v="5"/>
    <m/>
    <m/>
    <x v="1"/>
    <m/>
    <m/>
    <m/>
    <x v="0"/>
    <m/>
  </r>
  <r>
    <x v="109"/>
    <x v="9"/>
    <x v="10"/>
    <x v="7"/>
    <m/>
    <m/>
    <x v="5"/>
    <m/>
    <m/>
    <m/>
    <x v="0"/>
    <m/>
  </r>
  <r>
    <x v="110"/>
    <x v="10"/>
    <x v="0"/>
    <x v="0"/>
    <s v="-"/>
    <m/>
    <x v="0"/>
    <d v="2025-10-30T00:00:00"/>
    <m/>
    <d v="2025-10-30T00:00:00"/>
    <x v="0"/>
    <m/>
  </r>
  <r>
    <x v="111"/>
    <x v="10"/>
    <x v="1"/>
    <x v="1"/>
    <n v="4501888980"/>
    <m/>
    <x v="0"/>
    <d v="2025-10-30T00:00:00"/>
    <m/>
    <d v="2025-10-30T00:00:00"/>
    <x v="0"/>
    <m/>
  </r>
  <r>
    <x v="112"/>
    <x v="10"/>
    <x v="2"/>
    <x v="2"/>
    <n v="4501888980"/>
    <m/>
    <x v="0"/>
    <d v="2025-10-31T00:00:00"/>
    <m/>
    <d v="2025-10-31T00:00:00"/>
    <x v="0"/>
    <m/>
  </r>
  <r>
    <x v="113"/>
    <x v="10"/>
    <x v="3"/>
    <x v="3"/>
    <n v="183855852"/>
    <m/>
    <x v="0"/>
    <d v="2025-10-31T00:00:00"/>
    <m/>
    <d v="2025-10-31T00:00:00"/>
    <x v="0"/>
    <m/>
  </r>
  <r>
    <x v="114"/>
    <x v="10"/>
    <x v="4"/>
    <x v="3"/>
    <n v="5026020559"/>
    <m/>
    <x v="0"/>
    <d v="2025-11-11T00:00:00"/>
    <m/>
    <d v="2025-11-11T00:00:00"/>
    <x v="0"/>
    <m/>
  </r>
  <r>
    <x v="115"/>
    <x v="10"/>
    <x v="5"/>
    <x v="4"/>
    <m/>
    <m/>
    <x v="0"/>
    <m/>
    <m/>
    <m/>
    <x v="0"/>
    <m/>
  </r>
  <r>
    <x v="116"/>
    <x v="10"/>
    <x v="6"/>
    <x v="3"/>
    <n v="5109666389"/>
    <m/>
    <x v="0"/>
    <d v="2025-11-11T00:00:00"/>
    <m/>
    <d v="2025-11-11T00:00:00"/>
    <x v="0"/>
    <m/>
  </r>
  <r>
    <x v="117"/>
    <x v="10"/>
    <x v="7"/>
    <x v="5"/>
    <n v="46482770"/>
    <m/>
    <x v="3"/>
    <m/>
    <m/>
    <m/>
    <x v="16"/>
    <m/>
  </r>
  <r>
    <x v="118"/>
    <x v="10"/>
    <x v="8"/>
    <x v="6"/>
    <m/>
    <m/>
    <x v="4"/>
    <m/>
    <m/>
    <d v="2025-11-28T00:00:00"/>
    <x v="0"/>
    <m/>
  </r>
  <r>
    <x v="119"/>
    <x v="10"/>
    <x v="9"/>
    <x v="5"/>
    <m/>
    <m/>
    <x v="1"/>
    <m/>
    <m/>
    <m/>
    <x v="0"/>
    <m/>
  </r>
  <r>
    <x v="120"/>
    <x v="10"/>
    <x v="10"/>
    <x v="7"/>
    <m/>
    <m/>
    <x v="5"/>
    <m/>
    <m/>
    <m/>
    <x v="0"/>
    <m/>
  </r>
  <r>
    <x v="121"/>
    <x v="11"/>
    <x v="0"/>
    <x v="0"/>
    <s v="-"/>
    <m/>
    <x v="0"/>
    <d v="2025-10-06T00:00:00"/>
    <m/>
    <d v="2025-10-06T00:00:00"/>
    <x v="0"/>
    <m/>
  </r>
  <r>
    <x v="122"/>
    <x v="11"/>
    <x v="1"/>
    <x v="1"/>
    <n v="4501888827"/>
    <n v="4501959709"/>
    <x v="0"/>
    <d v="2025-10-06T00:00:00"/>
    <m/>
    <d v="2025-10-06T00:00:00"/>
    <x v="0"/>
    <m/>
  </r>
  <r>
    <x v="123"/>
    <x v="11"/>
    <x v="2"/>
    <x v="2"/>
    <n v="4501888827"/>
    <n v="4501959709"/>
    <x v="0"/>
    <d v="2025-10-06T00:00:00"/>
    <m/>
    <d v="2025-10-06T00:00:00"/>
    <x v="17"/>
    <m/>
  </r>
  <r>
    <x v="124"/>
    <x v="11"/>
    <x v="3"/>
    <x v="3"/>
    <m/>
    <n v="46482711"/>
    <x v="0"/>
    <m/>
    <m/>
    <d v="2025-12-04T00:00:00"/>
    <x v="0"/>
    <m/>
  </r>
  <r>
    <x v="125"/>
    <x v="11"/>
    <x v="4"/>
    <x v="3"/>
    <m/>
    <n v="46482711"/>
    <x v="0"/>
    <m/>
    <m/>
    <d v="2025-12-04T00:00:00"/>
    <x v="0"/>
    <m/>
  </r>
  <r>
    <x v="126"/>
    <x v="11"/>
    <x v="5"/>
    <x v="4"/>
    <m/>
    <m/>
    <x v="0"/>
    <d v="2025-09-12T00:00:00"/>
    <m/>
    <d v="2025-09-12T00:00:00"/>
    <x v="0"/>
    <m/>
  </r>
  <r>
    <x v="127"/>
    <x v="11"/>
    <x v="6"/>
    <x v="3"/>
    <m/>
    <n v="46482711"/>
    <x v="0"/>
    <m/>
    <m/>
    <d v="2025-12-04T00:00:00"/>
    <x v="0"/>
    <m/>
  </r>
  <r>
    <x v="128"/>
    <x v="11"/>
    <x v="7"/>
    <x v="5"/>
    <n v="46482769"/>
    <m/>
    <x v="0"/>
    <m/>
    <m/>
    <m/>
    <x v="0"/>
    <m/>
  </r>
  <r>
    <x v="129"/>
    <x v="11"/>
    <x v="8"/>
    <x v="6"/>
    <n v="46482769"/>
    <m/>
    <x v="0"/>
    <d v="2025-05-12T00:00:00"/>
    <m/>
    <d v="2025-05-12T00:00:00"/>
    <x v="0"/>
    <m/>
  </r>
  <r>
    <x v="130"/>
    <x v="11"/>
    <x v="9"/>
    <x v="5"/>
    <m/>
    <m/>
    <x v="1"/>
    <m/>
    <m/>
    <m/>
    <x v="0"/>
    <m/>
  </r>
  <r>
    <x v="131"/>
    <x v="11"/>
    <x v="10"/>
    <x v="7"/>
    <m/>
    <m/>
    <x v="0"/>
    <m/>
    <m/>
    <m/>
    <x v="2"/>
    <m/>
  </r>
  <r>
    <x v="132"/>
    <x v="12"/>
    <x v="0"/>
    <x v="0"/>
    <s v="-"/>
    <s v="-"/>
    <x v="0"/>
    <d v="2025-10-06T00:00:00"/>
    <m/>
    <d v="2025-10-06T00:00:00"/>
    <x v="0"/>
    <m/>
  </r>
  <r>
    <x v="133"/>
    <x v="12"/>
    <x v="1"/>
    <x v="1"/>
    <n v="4501888833"/>
    <n v="4501856587"/>
    <x v="0"/>
    <d v="2025-10-06T00:00:00"/>
    <m/>
    <d v="2025-10-06T00:00:00"/>
    <x v="0"/>
    <m/>
  </r>
  <r>
    <x v="134"/>
    <x v="12"/>
    <x v="2"/>
    <x v="2"/>
    <n v="4501888833"/>
    <n v="4501856587"/>
    <x v="0"/>
    <d v="2025-10-06T00:00:00"/>
    <m/>
    <d v="2025-10-06T00:00:00"/>
    <x v="18"/>
    <m/>
  </r>
  <r>
    <x v="135"/>
    <x v="12"/>
    <x v="6"/>
    <x v="3"/>
    <m/>
    <n v="46482721"/>
    <x v="0"/>
    <m/>
    <m/>
    <d v="2025-12-04T00:00:00"/>
    <x v="19"/>
    <m/>
  </r>
  <r>
    <x v="136"/>
    <x v="12"/>
    <x v="7"/>
    <x v="5"/>
    <n v="46482721"/>
    <m/>
    <x v="3"/>
    <m/>
    <m/>
    <m/>
    <x v="20"/>
    <m/>
  </r>
  <r>
    <x v="137"/>
    <x v="12"/>
    <x v="8"/>
    <x v="6"/>
    <m/>
    <m/>
    <x v="4"/>
    <m/>
    <m/>
    <m/>
    <x v="0"/>
    <m/>
  </r>
  <r>
    <x v="138"/>
    <x v="12"/>
    <x v="9"/>
    <x v="5"/>
    <m/>
    <m/>
    <x v="1"/>
    <m/>
    <m/>
    <m/>
    <x v="0"/>
    <m/>
  </r>
  <r>
    <x v="139"/>
    <x v="12"/>
    <x v="10"/>
    <x v="7"/>
    <m/>
    <m/>
    <x v="4"/>
    <m/>
    <m/>
    <m/>
    <x v="0"/>
    <m/>
  </r>
  <r>
    <x v="140"/>
    <x v="13"/>
    <x v="11"/>
    <x v="3"/>
    <m/>
    <n v="46482596"/>
    <x v="0"/>
    <m/>
    <m/>
    <d v="2025-11-21T00:00:00"/>
    <x v="0"/>
    <m/>
  </r>
  <r>
    <x v="141"/>
    <x v="13"/>
    <x v="12"/>
    <x v="5"/>
    <n v="46482596"/>
    <m/>
    <x v="0"/>
    <m/>
    <m/>
    <d v="2025-12-03T00:00:00"/>
    <x v="21"/>
    <m/>
  </r>
  <r>
    <x v="142"/>
    <x v="13"/>
    <x v="9"/>
    <x v="5"/>
    <m/>
    <m/>
    <x v="1"/>
    <m/>
    <m/>
    <m/>
    <x v="0"/>
    <m/>
  </r>
  <r>
    <x v="143"/>
    <x v="14"/>
    <x v="11"/>
    <x v="3"/>
    <m/>
    <n v="46482597"/>
    <x v="0"/>
    <m/>
    <m/>
    <d v="2025-11-21T00:00:00"/>
    <x v="0"/>
    <m/>
  </r>
  <r>
    <x v="144"/>
    <x v="15"/>
    <x v="12"/>
    <x v="5"/>
    <n v="46482597"/>
    <m/>
    <x v="0"/>
    <m/>
    <m/>
    <d v="2025-12-03T00:00:00"/>
    <x v="21"/>
    <m/>
  </r>
  <r>
    <x v="145"/>
    <x v="16"/>
    <x v="9"/>
    <x v="5"/>
    <m/>
    <m/>
    <x v="1"/>
    <m/>
    <m/>
    <m/>
    <x v="0"/>
    <m/>
  </r>
  <r>
    <x v="146"/>
    <x v="17"/>
    <x v="13"/>
    <x v="3"/>
    <m/>
    <m/>
    <x v="5"/>
    <m/>
    <m/>
    <m/>
    <x v="0"/>
    <m/>
  </r>
  <r>
    <x v="147"/>
    <x v="17"/>
    <x v="14"/>
    <x v="8"/>
    <m/>
    <m/>
    <x v="4"/>
    <m/>
    <m/>
    <m/>
    <x v="0"/>
    <m/>
  </r>
  <r>
    <x v="148"/>
    <x v="17"/>
    <x v="15"/>
    <x v="8"/>
    <m/>
    <m/>
    <x v="4"/>
    <m/>
    <m/>
    <m/>
    <x v="0"/>
    <m/>
  </r>
  <r>
    <x v="149"/>
    <x v="17"/>
    <x v="16"/>
    <x v="3"/>
    <m/>
    <m/>
    <x v="4"/>
    <m/>
    <m/>
    <m/>
    <x v="0"/>
    <m/>
  </r>
  <r>
    <x v="150"/>
    <x v="17"/>
    <x v="17"/>
    <x v="8"/>
    <m/>
    <m/>
    <x v="4"/>
    <m/>
    <m/>
    <m/>
    <x v="0"/>
    <m/>
  </r>
  <r>
    <x v="151"/>
    <x v="17"/>
    <x v="18"/>
    <x v="8"/>
    <m/>
    <m/>
    <x v="4"/>
    <m/>
    <m/>
    <m/>
    <x v="0"/>
    <m/>
  </r>
  <r>
    <x v="152"/>
    <x v="17"/>
    <x v="19"/>
    <x v="8"/>
    <m/>
    <m/>
    <x v="4"/>
    <m/>
    <m/>
    <m/>
    <x v="0"/>
    <m/>
  </r>
  <r>
    <x v="153"/>
    <x v="17"/>
    <x v="19"/>
    <x v="8"/>
    <m/>
    <m/>
    <x v="4"/>
    <m/>
    <m/>
    <m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">
  <r>
    <x v="0"/>
    <x v="0"/>
    <x v="0"/>
    <x v="0"/>
    <n v="1"/>
    <x v="0"/>
    <x v="0"/>
    <s v="15603600 "/>
    <s v="BEP: 15572935"/>
    <s v="OK"/>
    <x v="0"/>
    <d v="2025-10-14T00:00:00"/>
    <m/>
    <d v="2025-10-14T00:00:00"/>
    <x v="0"/>
    <m/>
    <x v="0"/>
    <n v="7"/>
    <s v="Não"/>
    <n v="0"/>
    <n v="0"/>
    <n v="1"/>
    <s v="Não"/>
    <s v="Não"/>
    <s v="Sim"/>
    <s v=""/>
    <b v="0"/>
  </r>
  <r>
    <x v="1"/>
    <x v="0"/>
    <x v="0"/>
    <x v="1"/>
    <n v="2"/>
    <x v="1"/>
    <x v="1"/>
    <s v="15603600 "/>
    <s v="BEP: 15572935"/>
    <s v="OK"/>
    <x v="0"/>
    <d v="2025-10-14T00:00:00"/>
    <m/>
    <d v="2025-10-14T00:00:00"/>
    <x v="0"/>
    <m/>
    <x v="0"/>
    <n v="7"/>
    <s v="Não"/>
    <n v="0"/>
    <n v="0"/>
    <n v="1"/>
    <s v="Não"/>
    <s v="Não"/>
    <s v="Sim"/>
    <s v=""/>
    <b v="0"/>
  </r>
  <r>
    <x v="2"/>
    <x v="0"/>
    <x v="0"/>
    <x v="2"/>
    <n v="3"/>
    <x v="2"/>
    <x v="2"/>
    <s v="15603600 "/>
    <s v="BEP: 15572935"/>
    <s v="OK"/>
    <x v="0"/>
    <d v="2025-10-15T00:00:00"/>
    <m/>
    <d v="2025-10-15T00:00:00"/>
    <x v="0"/>
    <m/>
    <x v="0"/>
    <n v="7"/>
    <s v="Não"/>
    <n v="0"/>
    <n v="0"/>
    <n v="1"/>
    <s v="Não"/>
    <s v="Não"/>
    <s v="Sim"/>
    <s v=""/>
    <b v="0"/>
  </r>
  <r>
    <x v="3"/>
    <x v="0"/>
    <x v="0"/>
    <x v="3"/>
    <n v="4"/>
    <x v="3"/>
    <x v="3"/>
    <s v="DocNum - 46482170"/>
    <m/>
    <m/>
    <x v="0"/>
    <d v="2025-10-15T00:00:00"/>
    <m/>
    <d v="2025-10-15T00:00:00"/>
    <x v="0"/>
    <m/>
    <x v="0"/>
    <n v="7"/>
    <s v="Não"/>
    <n v="0"/>
    <n v="0"/>
    <n v="1"/>
    <s v="Não"/>
    <s v="Não"/>
    <s v="Sim"/>
    <s v=""/>
    <b v="0"/>
  </r>
  <r>
    <x v="4"/>
    <x v="0"/>
    <x v="0"/>
    <x v="4"/>
    <n v="5"/>
    <x v="4"/>
    <x v="4"/>
    <s v="DocNum - 46482170"/>
    <m/>
    <m/>
    <x v="0"/>
    <d v="2025-10-15T00:00:00"/>
    <m/>
    <d v="2025-10-15T00:00:00"/>
    <x v="0"/>
    <m/>
    <x v="0"/>
    <n v="7"/>
    <s v="Não"/>
    <n v="0"/>
    <n v="0"/>
    <n v="1"/>
    <s v="Não"/>
    <s v="Não"/>
    <s v="Sim"/>
    <s v=""/>
    <b v="0"/>
  </r>
  <r>
    <x v="5"/>
    <x v="0"/>
    <x v="0"/>
    <x v="5"/>
    <n v="6"/>
    <x v="5"/>
    <x v="5"/>
    <s v="DocNum - 46482170"/>
    <m/>
    <m/>
    <x v="0"/>
    <d v="2025-10-15T00:00:00"/>
    <m/>
    <d v="2025-10-15T00:00:00"/>
    <x v="0"/>
    <m/>
    <x v="0"/>
    <n v="7"/>
    <s v="Não"/>
    <n v="0"/>
    <n v="0"/>
    <n v="1"/>
    <s v="Não"/>
    <s v="Não"/>
    <s v="Sim"/>
    <s v=""/>
    <b v="0"/>
  </r>
  <r>
    <x v="6"/>
    <x v="1"/>
    <x v="0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7"/>
    <x v="0"/>
    <x v="0"/>
    <x v="7"/>
    <n v="8"/>
    <x v="7"/>
    <x v="2"/>
    <s v="15603600 "/>
    <s v="BEP: 15572935"/>
    <s v="OK"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8"/>
    <x v="0"/>
    <x v="1"/>
    <x v="0"/>
    <n v="1"/>
    <x v="0"/>
    <x v="6"/>
    <n v="60668325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9"/>
    <x v="0"/>
    <x v="1"/>
    <x v="1"/>
    <n v="2"/>
    <x v="1"/>
    <x v="1"/>
    <n v="60668325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10"/>
    <x v="0"/>
    <x v="1"/>
    <x v="3"/>
    <n v="3"/>
    <x v="3"/>
    <x v="6"/>
    <s v="Doc Num - 46482274"/>
    <m/>
    <m/>
    <x v="0"/>
    <d v="2025-10-28T00:00:00"/>
    <m/>
    <d v="2025-10-28T00:00:00"/>
    <x v="1"/>
    <m/>
    <x v="1"/>
    <n v="5"/>
    <s v="Não"/>
    <n v="0"/>
    <n v="0"/>
    <n v="1"/>
    <s v="Não"/>
    <s v="Não"/>
    <s v="Sim"/>
    <s v=""/>
    <b v="0"/>
  </r>
  <r>
    <x v="11"/>
    <x v="0"/>
    <x v="1"/>
    <x v="4"/>
    <n v="4"/>
    <x v="4"/>
    <x v="4"/>
    <s v="Doc Num - 46482274"/>
    <m/>
    <m/>
    <x v="0"/>
    <d v="2025-10-29T00:00:00"/>
    <m/>
    <d v="2025-10-29T00:00:00"/>
    <x v="0"/>
    <m/>
    <x v="1"/>
    <n v="5"/>
    <s v="Não"/>
    <n v="0"/>
    <n v="0"/>
    <n v="1"/>
    <s v="Não"/>
    <s v="Não"/>
    <s v="Sim"/>
    <s v=""/>
    <b v="0"/>
  </r>
  <r>
    <x v="12"/>
    <x v="0"/>
    <x v="1"/>
    <x v="5"/>
    <n v="5"/>
    <x v="5"/>
    <x v="5"/>
    <s v="Doc Num - 46482274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13"/>
    <x v="1"/>
    <x v="1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4"/>
    <x v="0"/>
    <x v="2"/>
    <x v="0"/>
    <n v="1"/>
    <x v="0"/>
    <x v="6"/>
    <n v="60668326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15"/>
    <x v="0"/>
    <x v="2"/>
    <x v="1"/>
    <n v="2"/>
    <x v="1"/>
    <x v="1"/>
    <n v="60668326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16"/>
    <x v="0"/>
    <x v="2"/>
    <x v="3"/>
    <n v="3"/>
    <x v="3"/>
    <x v="6"/>
    <s v="DocNum - 46482290"/>
    <m/>
    <m/>
    <x v="0"/>
    <d v="2025-10-29T00:00:00"/>
    <m/>
    <d v="2025-10-29T00:00:00"/>
    <x v="2"/>
    <m/>
    <x v="1"/>
    <n v="5"/>
    <s v="Não"/>
    <n v="0"/>
    <n v="0"/>
    <n v="1"/>
    <s v="Não"/>
    <s v="Não"/>
    <s v="Sim"/>
    <s v=""/>
    <b v="0"/>
  </r>
  <r>
    <x v="17"/>
    <x v="0"/>
    <x v="2"/>
    <x v="4"/>
    <n v="4"/>
    <x v="4"/>
    <x v="4"/>
    <s v="DocNum - 46482290"/>
    <m/>
    <m/>
    <x v="0"/>
    <d v="2025-10-29T00:00:00"/>
    <m/>
    <d v="2025-10-29T00:00:00"/>
    <x v="0"/>
    <m/>
    <x v="1"/>
    <n v="5"/>
    <s v="Não"/>
    <n v="0"/>
    <n v="0"/>
    <n v="1"/>
    <s v="Não"/>
    <s v="Não"/>
    <s v="Sim"/>
    <s v=""/>
    <b v="0"/>
  </r>
  <r>
    <x v="18"/>
    <x v="0"/>
    <x v="2"/>
    <x v="5"/>
    <n v="5"/>
    <x v="5"/>
    <x v="5"/>
    <s v="DocNum - 46482290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19"/>
    <x v="1"/>
    <x v="2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20"/>
    <x v="0"/>
    <x v="3"/>
    <x v="0"/>
    <n v="1"/>
    <x v="0"/>
    <x v="0"/>
    <n v="15603629"/>
    <s v="BEP: 15608806"/>
    <s v="OK"/>
    <x v="0"/>
    <d v="2025-10-21T00:00:00"/>
    <m/>
    <d v="2025-10-21T00:00:00"/>
    <x v="0"/>
    <m/>
    <x v="0"/>
    <n v="7"/>
    <s v="Não"/>
    <n v="0"/>
    <n v="0"/>
    <n v="1"/>
    <s v="Não"/>
    <s v="Não"/>
    <s v="Sim"/>
    <s v=""/>
    <b v="0"/>
  </r>
  <r>
    <x v="21"/>
    <x v="0"/>
    <x v="3"/>
    <x v="1"/>
    <n v="2"/>
    <x v="1"/>
    <x v="1"/>
    <n v="15603629"/>
    <s v="BEP: 15608806"/>
    <s v="OK"/>
    <x v="0"/>
    <d v="2025-10-21T00:00:00"/>
    <m/>
    <d v="2025-10-21T00:00:00"/>
    <x v="0"/>
    <m/>
    <x v="0"/>
    <n v="7"/>
    <s v="Não"/>
    <n v="0"/>
    <n v="0"/>
    <n v="1"/>
    <s v="Não"/>
    <s v="Não"/>
    <s v="Sim"/>
    <s v=""/>
    <b v="0"/>
  </r>
  <r>
    <x v="22"/>
    <x v="0"/>
    <x v="3"/>
    <x v="2"/>
    <n v="3"/>
    <x v="2"/>
    <x v="2"/>
    <n v="15603629"/>
    <s v="BEP: 15608806"/>
    <s v="OK"/>
    <x v="0"/>
    <d v="2025-10-21T00:00:00"/>
    <m/>
    <d v="2025-10-21T00:00:00"/>
    <x v="0"/>
    <m/>
    <x v="0"/>
    <n v="7"/>
    <s v="Não"/>
    <n v="0"/>
    <n v="0"/>
    <n v="1"/>
    <s v="Não"/>
    <s v="Não"/>
    <s v="Sim"/>
    <s v=""/>
    <b v="0"/>
  </r>
  <r>
    <x v="23"/>
    <x v="0"/>
    <x v="3"/>
    <x v="3"/>
    <n v="4"/>
    <x v="3"/>
    <x v="3"/>
    <s v="DocNum - 46482219"/>
    <m/>
    <m/>
    <x v="0"/>
    <d v="2025-10-21T00:00:00"/>
    <m/>
    <d v="2025-10-21T00:00:00"/>
    <x v="0"/>
    <m/>
    <x v="0"/>
    <n v="7"/>
    <s v="Não"/>
    <n v="0"/>
    <n v="0"/>
    <n v="1"/>
    <s v="Não"/>
    <s v="Não"/>
    <s v="Sim"/>
    <s v=""/>
    <b v="0"/>
  </r>
  <r>
    <x v="24"/>
    <x v="0"/>
    <x v="3"/>
    <x v="4"/>
    <n v="5"/>
    <x v="4"/>
    <x v="4"/>
    <s v="DocNum - 46482219"/>
    <m/>
    <m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25"/>
    <x v="0"/>
    <x v="3"/>
    <x v="5"/>
    <n v="6"/>
    <x v="5"/>
    <x v="5"/>
    <s v="Doc Num - 46482219"/>
    <m/>
    <m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26"/>
    <x v="1"/>
    <x v="3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27"/>
    <x v="0"/>
    <x v="3"/>
    <x v="7"/>
    <n v="8"/>
    <x v="7"/>
    <x v="2"/>
    <n v="15603629"/>
    <s v="BEP: 15608806"/>
    <s v="OK"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28"/>
    <x v="0"/>
    <x v="4"/>
    <x v="0"/>
    <n v="1"/>
    <x v="0"/>
    <x v="6"/>
    <n v="60668330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29"/>
    <x v="0"/>
    <x v="4"/>
    <x v="1"/>
    <n v="2"/>
    <x v="1"/>
    <x v="1"/>
    <n v="60668330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30"/>
    <x v="0"/>
    <x v="4"/>
    <x v="3"/>
    <n v="3"/>
    <x v="3"/>
    <x v="6"/>
    <s v="DocNum - 46482285"/>
    <m/>
    <m/>
    <x v="0"/>
    <d v="2025-10-29T00:00:00"/>
    <m/>
    <d v="2025-10-29T00:00:00"/>
    <x v="3"/>
    <m/>
    <x v="1"/>
    <n v="5"/>
    <s v="Não"/>
    <n v="0"/>
    <n v="0"/>
    <n v="1"/>
    <s v="Não"/>
    <s v="Não"/>
    <s v="Sim"/>
    <s v=""/>
    <b v="0"/>
  </r>
  <r>
    <x v="31"/>
    <x v="0"/>
    <x v="4"/>
    <x v="4"/>
    <n v="4"/>
    <x v="4"/>
    <x v="4"/>
    <s v="DocNum - 46482285"/>
    <m/>
    <m/>
    <x v="0"/>
    <d v="2025-10-29T00:00:00"/>
    <m/>
    <d v="2025-10-29T00:00:00"/>
    <x v="0"/>
    <m/>
    <x v="1"/>
    <n v="5"/>
    <s v="Não"/>
    <n v="0"/>
    <n v="0"/>
    <n v="1"/>
    <s v="Não"/>
    <s v="Não"/>
    <s v="Sim"/>
    <s v=""/>
    <b v="0"/>
  </r>
  <r>
    <x v="32"/>
    <x v="0"/>
    <x v="4"/>
    <x v="5"/>
    <n v="5"/>
    <x v="5"/>
    <x v="5"/>
    <s v="DocNum - 46482285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33"/>
    <x v="1"/>
    <x v="4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34"/>
    <x v="0"/>
    <x v="5"/>
    <x v="0"/>
    <n v="1"/>
    <x v="0"/>
    <x v="6"/>
    <n v="60668337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35"/>
    <x v="0"/>
    <x v="5"/>
    <x v="1"/>
    <n v="2"/>
    <x v="1"/>
    <x v="1"/>
    <n v="60668337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36"/>
    <x v="0"/>
    <x v="5"/>
    <x v="3"/>
    <n v="3"/>
    <x v="3"/>
    <x v="6"/>
    <s v="DocNum - 46482293"/>
    <m/>
    <m/>
    <x v="0"/>
    <d v="2025-10-29T00:00:00"/>
    <m/>
    <d v="2025-10-29T00:00:00"/>
    <x v="4"/>
    <m/>
    <x v="1"/>
    <n v="5"/>
    <s v="Não"/>
    <n v="0"/>
    <n v="0"/>
    <n v="1"/>
    <s v="Não"/>
    <s v="Não"/>
    <s v="Sim"/>
    <s v=""/>
    <b v="0"/>
  </r>
  <r>
    <x v="37"/>
    <x v="0"/>
    <x v="5"/>
    <x v="4"/>
    <n v="4"/>
    <x v="4"/>
    <x v="4"/>
    <s v="DocNum - 46482293"/>
    <m/>
    <m/>
    <x v="0"/>
    <d v="2025-10-29T00:00:00"/>
    <m/>
    <d v="2025-10-29T00:00:00"/>
    <x v="0"/>
    <m/>
    <x v="1"/>
    <n v="5"/>
    <s v="Não"/>
    <n v="0"/>
    <n v="0"/>
    <n v="1"/>
    <s v="Não"/>
    <s v="Não"/>
    <s v="Sim"/>
    <s v=""/>
    <b v="0"/>
  </r>
  <r>
    <x v="38"/>
    <x v="0"/>
    <x v="5"/>
    <x v="5"/>
    <n v="5"/>
    <x v="5"/>
    <x v="5"/>
    <s v="DocNum - 46482293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39"/>
    <x v="1"/>
    <x v="5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40"/>
    <x v="0"/>
    <x v="6"/>
    <x v="0"/>
    <n v="1"/>
    <x v="0"/>
    <x v="0"/>
    <n v="15603605"/>
    <s v="BEP: 15581731"/>
    <s v="OK"/>
    <x v="0"/>
    <d v="2025-10-16T00:00:00"/>
    <m/>
    <d v="2025-10-16T00:00:00"/>
    <x v="0"/>
    <m/>
    <x v="0"/>
    <n v="7"/>
    <s v="Não"/>
    <n v="0"/>
    <n v="0"/>
    <n v="1"/>
    <s v="Não"/>
    <s v="Não"/>
    <s v="Sim"/>
    <s v=""/>
    <b v="0"/>
  </r>
  <r>
    <x v="41"/>
    <x v="0"/>
    <x v="6"/>
    <x v="1"/>
    <n v="2"/>
    <x v="1"/>
    <x v="1"/>
    <n v="15603605"/>
    <s v="BEP: 15581731"/>
    <s v="OK"/>
    <x v="0"/>
    <d v="2025-10-16T00:00:00"/>
    <m/>
    <d v="2025-10-16T00:00:00"/>
    <x v="0"/>
    <m/>
    <x v="0"/>
    <n v="7"/>
    <s v="Não"/>
    <n v="0"/>
    <n v="0"/>
    <n v="1"/>
    <s v="Não"/>
    <s v="Não"/>
    <s v="Sim"/>
    <s v=""/>
    <b v="0"/>
  </r>
  <r>
    <x v="42"/>
    <x v="0"/>
    <x v="6"/>
    <x v="2"/>
    <n v="3"/>
    <x v="2"/>
    <x v="2"/>
    <n v="15603605"/>
    <s v="BEP: 15581731"/>
    <s v="OK"/>
    <x v="0"/>
    <d v="2025-10-16T00:00:00"/>
    <m/>
    <d v="2025-10-16T00:00:00"/>
    <x v="0"/>
    <m/>
    <x v="0"/>
    <n v="7"/>
    <s v="Não"/>
    <n v="0"/>
    <n v="0"/>
    <n v="1"/>
    <s v="Não"/>
    <s v="Não"/>
    <s v="Sim"/>
    <s v=""/>
    <b v="0"/>
  </r>
  <r>
    <x v="43"/>
    <x v="0"/>
    <x v="6"/>
    <x v="3"/>
    <n v="4"/>
    <x v="3"/>
    <x v="3"/>
    <s v="DocNum - 46482197"/>
    <m/>
    <m/>
    <x v="0"/>
    <d v="2025-10-17T00:00:00"/>
    <m/>
    <d v="2025-10-17T00:00:00"/>
    <x v="0"/>
    <m/>
    <x v="0"/>
    <n v="7"/>
    <s v="Não"/>
    <n v="0"/>
    <n v="0"/>
    <n v="1"/>
    <s v="Não"/>
    <s v="Não"/>
    <s v="Sim"/>
    <s v=""/>
    <b v="0"/>
  </r>
  <r>
    <x v="44"/>
    <x v="0"/>
    <x v="6"/>
    <x v="4"/>
    <n v="5"/>
    <x v="4"/>
    <x v="4"/>
    <s v="DocNum - 46482197"/>
    <m/>
    <m/>
    <x v="0"/>
    <d v="2025-10-17T00:00:00"/>
    <m/>
    <d v="2025-10-17T00:00:00"/>
    <x v="0"/>
    <m/>
    <x v="0"/>
    <n v="7"/>
    <s v="Não"/>
    <n v="0"/>
    <n v="0"/>
    <n v="1"/>
    <s v="Não"/>
    <s v="Não"/>
    <s v="Sim"/>
    <s v=""/>
    <b v="0"/>
  </r>
  <r>
    <x v="45"/>
    <x v="0"/>
    <x v="6"/>
    <x v="5"/>
    <n v="6"/>
    <x v="5"/>
    <x v="5"/>
    <s v="DocNum - 46482197"/>
    <m/>
    <m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46"/>
    <x v="1"/>
    <x v="6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47"/>
    <x v="0"/>
    <x v="6"/>
    <x v="7"/>
    <n v="8"/>
    <x v="7"/>
    <x v="2"/>
    <n v="15603605"/>
    <s v="BEP: 15581731"/>
    <s v="OK"/>
    <x v="0"/>
    <d v="2025-10-21T00:00:00"/>
    <m/>
    <d v="2025-10-21T00:00:00"/>
    <x v="0"/>
    <m/>
    <x v="0"/>
    <n v="7"/>
    <s v="Não"/>
    <n v="0"/>
    <n v="0"/>
    <n v="1"/>
    <s v="Não"/>
    <s v="Não"/>
    <s v="Sim"/>
    <s v=""/>
    <b v="0"/>
  </r>
  <r>
    <x v="48"/>
    <x v="0"/>
    <x v="7"/>
    <x v="0"/>
    <n v="1"/>
    <x v="0"/>
    <x v="6"/>
    <n v="60668331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49"/>
    <x v="0"/>
    <x v="7"/>
    <x v="1"/>
    <n v="2"/>
    <x v="1"/>
    <x v="1"/>
    <n v="60668331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50"/>
    <x v="0"/>
    <x v="7"/>
    <x v="3"/>
    <n v="3"/>
    <x v="3"/>
    <x v="6"/>
    <s v="DocNum - 46482286"/>
    <m/>
    <m/>
    <x v="0"/>
    <d v="2025-10-29T00:00:00"/>
    <m/>
    <d v="2025-10-29T00:00:00"/>
    <x v="5"/>
    <m/>
    <x v="1"/>
    <n v="5"/>
    <s v="Não"/>
    <n v="0"/>
    <n v="0"/>
    <n v="1"/>
    <s v="Não"/>
    <s v="Não"/>
    <s v="Sim"/>
    <s v=""/>
    <b v="0"/>
  </r>
  <r>
    <x v="51"/>
    <x v="0"/>
    <x v="7"/>
    <x v="4"/>
    <n v="4"/>
    <x v="4"/>
    <x v="4"/>
    <s v="DocNum - 46482286"/>
    <m/>
    <m/>
    <x v="0"/>
    <d v="2025-10-29T00:00:00"/>
    <m/>
    <d v="2025-10-29T00:00:00"/>
    <x v="0"/>
    <m/>
    <x v="1"/>
    <n v="5"/>
    <s v="Não"/>
    <n v="0"/>
    <n v="0"/>
    <n v="1"/>
    <s v="Não"/>
    <s v="Não"/>
    <s v="Sim"/>
    <s v=""/>
    <b v="0"/>
  </r>
  <r>
    <x v="52"/>
    <x v="0"/>
    <x v="7"/>
    <x v="5"/>
    <n v="5"/>
    <x v="5"/>
    <x v="5"/>
    <s v="DocNum - 46482286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53"/>
    <x v="1"/>
    <x v="7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54"/>
    <x v="0"/>
    <x v="8"/>
    <x v="0"/>
    <n v="1"/>
    <x v="0"/>
    <x v="6"/>
    <n v="60668338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55"/>
    <x v="0"/>
    <x v="8"/>
    <x v="1"/>
    <n v="2"/>
    <x v="1"/>
    <x v="1"/>
    <n v="60668338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56"/>
    <x v="0"/>
    <x v="8"/>
    <x v="3"/>
    <n v="3"/>
    <x v="3"/>
    <x v="6"/>
    <s v="DocNum - 46482294"/>
    <m/>
    <m/>
    <x v="0"/>
    <d v="2025-10-29T00:00:00"/>
    <m/>
    <d v="2025-10-29T00:00:00"/>
    <x v="6"/>
    <m/>
    <x v="1"/>
    <n v="5"/>
    <s v="Não"/>
    <n v="0"/>
    <n v="0"/>
    <n v="1"/>
    <s v="Não"/>
    <s v="Não"/>
    <s v="Sim"/>
    <s v=""/>
    <b v="0"/>
  </r>
  <r>
    <x v="57"/>
    <x v="0"/>
    <x v="8"/>
    <x v="4"/>
    <n v="4"/>
    <x v="4"/>
    <x v="4"/>
    <s v="DocNum - 46482294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58"/>
    <x v="0"/>
    <x v="8"/>
    <x v="5"/>
    <n v="5"/>
    <x v="5"/>
    <x v="5"/>
    <s v="DocNum - 46482294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59"/>
    <x v="1"/>
    <x v="8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60"/>
    <x v="0"/>
    <x v="9"/>
    <x v="0"/>
    <n v="1"/>
    <x v="0"/>
    <x v="0"/>
    <s v="15603630 "/>
    <s v="BEP: 15597290"/>
    <s v="OK"/>
    <x v="0"/>
    <d v="2025-10-21T00:00:00"/>
    <m/>
    <d v="2025-10-21T00:00:00"/>
    <x v="0"/>
    <m/>
    <x v="0"/>
    <n v="7"/>
    <s v="Não"/>
    <n v="0"/>
    <n v="0"/>
    <n v="1"/>
    <s v="Não"/>
    <s v="Não"/>
    <s v="Sim"/>
    <s v=""/>
    <b v="0"/>
  </r>
  <r>
    <x v="61"/>
    <x v="0"/>
    <x v="9"/>
    <x v="1"/>
    <n v="2"/>
    <x v="1"/>
    <x v="1"/>
    <s v="15603630 "/>
    <s v="BEP: 15597290"/>
    <s v="OK"/>
    <x v="0"/>
    <d v="2025-10-21T00:00:00"/>
    <m/>
    <d v="2025-10-21T00:00:00"/>
    <x v="0"/>
    <m/>
    <x v="0"/>
    <n v="7"/>
    <s v="Não"/>
    <n v="0"/>
    <n v="0"/>
    <n v="1"/>
    <s v="Não"/>
    <s v="Não"/>
    <s v="Sim"/>
    <s v=""/>
    <b v="0"/>
  </r>
  <r>
    <x v="62"/>
    <x v="0"/>
    <x v="9"/>
    <x v="2"/>
    <n v="3"/>
    <x v="2"/>
    <x v="2"/>
    <s v="15603630 "/>
    <s v="BEP: 15597290"/>
    <s v="OK"/>
    <x v="0"/>
    <d v="2025-10-21T00:00:00"/>
    <m/>
    <d v="2025-10-21T00:00:00"/>
    <x v="0"/>
    <m/>
    <x v="0"/>
    <n v="7"/>
    <s v="Não"/>
    <n v="0"/>
    <n v="0"/>
    <n v="1"/>
    <s v="Não"/>
    <s v="Não"/>
    <s v="Sim"/>
    <s v=""/>
    <b v="0"/>
  </r>
  <r>
    <x v="63"/>
    <x v="0"/>
    <x v="9"/>
    <x v="3"/>
    <n v="4"/>
    <x v="3"/>
    <x v="3"/>
    <s v="DocNum - 46482220"/>
    <m/>
    <m/>
    <x v="0"/>
    <d v="2025-10-21T00:00:00"/>
    <m/>
    <d v="2025-10-21T00:00:00"/>
    <x v="0"/>
    <m/>
    <x v="0"/>
    <n v="7"/>
    <s v="Não"/>
    <n v="0"/>
    <n v="0"/>
    <n v="1"/>
    <s v="Não"/>
    <s v="Não"/>
    <s v="Sim"/>
    <s v=""/>
    <b v="0"/>
  </r>
  <r>
    <x v="64"/>
    <x v="0"/>
    <x v="9"/>
    <x v="4"/>
    <n v="5"/>
    <x v="4"/>
    <x v="4"/>
    <s v="DocNum - 46482220"/>
    <m/>
    <m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65"/>
    <x v="0"/>
    <x v="9"/>
    <x v="5"/>
    <n v="6"/>
    <x v="5"/>
    <x v="5"/>
    <s v="Doc Num - 46482220"/>
    <m/>
    <m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66"/>
    <x v="1"/>
    <x v="9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67"/>
    <x v="0"/>
    <x v="9"/>
    <x v="7"/>
    <n v="8"/>
    <x v="7"/>
    <x v="2"/>
    <s v="15603630 "/>
    <s v="BEP: 15597290"/>
    <s v="OK"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68"/>
    <x v="0"/>
    <x v="10"/>
    <x v="0"/>
    <n v="1"/>
    <x v="0"/>
    <x v="6"/>
    <n v="60668332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69"/>
    <x v="0"/>
    <x v="10"/>
    <x v="1"/>
    <n v="2"/>
    <x v="1"/>
    <x v="1"/>
    <n v="60668332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70"/>
    <x v="0"/>
    <x v="10"/>
    <x v="3"/>
    <n v="3"/>
    <x v="3"/>
    <x v="6"/>
    <s v="DocNum - 46482287"/>
    <m/>
    <m/>
    <x v="0"/>
    <d v="2025-10-29T00:00:00"/>
    <m/>
    <d v="2025-10-29T00:00:00"/>
    <x v="7"/>
    <m/>
    <x v="1"/>
    <n v="5"/>
    <s v="Não"/>
    <n v="0"/>
    <n v="0"/>
    <n v="1"/>
    <s v="Não"/>
    <s v="Não"/>
    <s v="Sim"/>
    <s v=""/>
    <b v="0"/>
  </r>
  <r>
    <x v="71"/>
    <x v="0"/>
    <x v="10"/>
    <x v="4"/>
    <n v="4"/>
    <x v="4"/>
    <x v="4"/>
    <s v="DocNum - 46482287"/>
    <m/>
    <m/>
    <x v="0"/>
    <d v="2025-10-29T00:00:00"/>
    <m/>
    <d v="2025-10-29T00:00:00"/>
    <x v="0"/>
    <m/>
    <x v="1"/>
    <n v="5"/>
    <s v="Não"/>
    <n v="0"/>
    <n v="0"/>
    <n v="1"/>
    <s v="Não"/>
    <s v="Não"/>
    <s v="Sim"/>
    <s v=""/>
    <b v="0"/>
  </r>
  <r>
    <x v="72"/>
    <x v="0"/>
    <x v="10"/>
    <x v="5"/>
    <n v="5"/>
    <x v="5"/>
    <x v="5"/>
    <s v="DocNum - 46482287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73"/>
    <x v="1"/>
    <x v="10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74"/>
    <x v="0"/>
    <x v="11"/>
    <x v="0"/>
    <n v="1"/>
    <x v="0"/>
    <x v="6"/>
    <n v="60668339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75"/>
    <x v="0"/>
    <x v="11"/>
    <x v="1"/>
    <n v="2"/>
    <x v="1"/>
    <x v="1"/>
    <n v="60668339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76"/>
    <x v="0"/>
    <x v="11"/>
    <x v="3"/>
    <n v="3"/>
    <x v="3"/>
    <x v="6"/>
    <s v="DocNum - 46482295"/>
    <m/>
    <m/>
    <x v="0"/>
    <d v="2025-10-29T00:00:00"/>
    <m/>
    <d v="2025-10-29T00:00:00"/>
    <x v="8"/>
    <m/>
    <x v="1"/>
    <n v="5"/>
    <s v="Não"/>
    <n v="0"/>
    <n v="0"/>
    <n v="1"/>
    <s v="Não"/>
    <s v="Não"/>
    <s v="Sim"/>
    <s v=""/>
    <b v="0"/>
  </r>
  <r>
    <x v="77"/>
    <x v="0"/>
    <x v="11"/>
    <x v="4"/>
    <n v="4"/>
    <x v="4"/>
    <x v="4"/>
    <s v="DocNum - 46482295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78"/>
    <x v="0"/>
    <x v="11"/>
    <x v="5"/>
    <n v="5"/>
    <x v="5"/>
    <x v="5"/>
    <s v="DocNum - 46482295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79"/>
    <x v="1"/>
    <x v="11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80"/>
    <x v="0"/>
    <x v="12"/>
    <x v="0"/>
    <n v="1"/>
    <x v="0"/>
    <x v="0"/>
    <n v="15603606"/>
    <s v="NT"/>
    <m/>
    <x v="0"/>
    <d v="2025-10-16T00:00:00"/>
    <m/>
    <d v="2025-10-16T00:00:00"/>
    <x v="0"/>
    <m/>
    <x v="0"/>
    <n v="7"/>
    <s v="Não"/>
    <n v="0"/>
    <n v="0"/>
    <n v="1"/>
    <s v="Não"/>
    <s v="Não"/>
    <s v="Sim"/>
    <s v=""/>
    <b v="0"/>
  </r>
  <r>
    <x v="81"/>
    <x v="0"/>
    <x v="12"/>
    <x v="1"/>
    <n v="2"/>
    <x v="1"/>
    <x v="1"/>
    <n v="15603606"/>
    <s v="NT"/>
    <m/>
    <x v="0"/>
    <d v="2025-10-16T00:00:00"/>
    <m/>
    <d v="2025-10-16T00:00:00"/>
    <x v="0"/>
    <m/>
    <x v="0"/>
    <n v="7"/>
    <s v="Não"/>
    <n v="0"/>
    <n v="0"/>
    <n v="1"/>
    <s v="Não"/>
    <s v="Não"/>
    <s v="Sim"/>
    <s v=""/>
    <b v="0"/>
  </r>
  <r>
    <x v="82"/>
    <x v="0"/>
    <x v="12"/>
    <x v="2"/>
    <n v="3"/>
    <x v="2"/>
    <x v="2"/>
    <n v="15603606"/>
    <s v="NT"/>
    <m/>
    <x v="0"/>
    <d v="2025-10-16T00:00:00"/>
    <m/>
    <d v="2025-10-16T00:00:00"/>
    <x v="0"/>
    <m/>
    <x v="0"/>
    <n v="7"/>
    <s v="Não"/>
    <n v="0"/>
    <n v="0"/>
    <n v="1"/>
    <s v="Não"/>
    <s v="Não"/>
    <s v="Sim"/>
    <s v=""/>
    <b v="0"/>
  </r>
  <r>
    <x v="83"/>
    <x v="0"/>
    <x v="12"/>
    <x v="3"/>
    <n v="4"/>
    <x v="3"/>
    <x v="3"/>
    <s v="DocNum - 46482202"/>
    <m/>
    <m/>
    <x v="0"/>
    <d v="2025-10-17T00:00:00"/>
    <m/>
    <d v="2025-10-17T00:00:00"/>
    <x v="0"/>
    <m/>
    <x v="0"/>
    <n v="7"/>
    <s v="Não"/>
    <n v="0"/>
    <n v="0"/>
    <n v="1"/>
    <s v="Não"/>
    <s v="Não"/>
    <s v="Sim"/>
    <s v=""/>
    <b v="0"/>
  </r>
  <r>
    <x v="84"/>
    <x v="0"/>
    <x v="12"/>
    <x v="4"/>
    <n v="5"/>
    <x v="4"/>
    <x v="4"/>
    <s v="DocNum - 46482202"/>
    <m/>
    <m/>
    <x v="0"/>
    <d v="2025-10-17T00:00:00"/>
    <m/>
    <d v="2025-10-17T00:00:00"/>
    <x v="0"/>
    <m/>
    <x v="0"/>
    <n v="7"/>
    <s v="Não"/>
    <n v="0"/>
    <n v="0"/>
    <n v="1"/>
    <s v="Não"/>
    <s v="Não"/>
    <s v="Sim"/>
    <s v=""/>
    <b v="0"/>
  </r>
  <r>
    <x v="85"/>
    <x v="0"/>
    <x v="12"/>
    <x v="5"/>
    <n v="6"/>
    <x v="5"/>
    <x v="5"/>
    <s v="DocNum - 46482202"/>
    <m/>
    <m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86"/>
    <x v="1"/>
    <x v="12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87"/>
    <x v="0"/>
    <x v="12"/>
    <x v="7"/>
    <n v="8"/>
    <x v="7"/>
    <x v="2"/>
    <n v="15603606"/>
    <s v="NT"/>
    <m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88"/>
    <x v="0"/>
    <x v="13"/>
    <x v="0"/>
    <n v="1"/>
    <x v="0"/>
    <x v="6"/>
    <n v="60668333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89"/>
    <x v="0"/>
    <x v="13"/>
    <x v="1"/>
    <n v="2"/>
    <x v="1"/>
    <x v="1"/>
    <n v="60668333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90"/>
    <x v="0"/>
    <x v="13"/>
    <x v="3"/>
    <n v="3"/>
    <x v="3"/>
    <x v="6"/>
    <s v="DocNum - 46482288"/>
    <m/>
    <m/>
    <x v="0"/>
    <d v="2025-10-29T00:00:00"/>
    <m/>
    <d v="2025-10-29T00:00:00"/>
    <x v="9"/>
    <m/>
    <x v="1"/>
    <n v="5"/>
    <s v="Não"/>
    <n v="0"/>
    <n v="0"/>
    <n v="1"/>
    <s v="Não"/>
    <s v="Não"/>
    <s v="Sim"/>
    <s v=""/>
    <b v="0"/>
  </r>
  <r>
    <x v="91"/>
    <x v="0"/>
    <x v="13"/>
    <x v="4"/>
    <n v="4"/>
    <x v="4"/>
    <x v="4"/>
    <s v="DocNum - 46482288"/>
    <m/>
    <m/>
    <x v="0"/>
    <d v="2025-10-29T00:00:00"/>
    <m/>
    <d v="2025-10-29T00:00:00"/>
    <x v="0"/>
    <m/>
    <x v="1"/>
    <n v="5"/>
    <s v="Não"/>
    <n v="0"/>
    <n v="0"/>
    <n v="1"/>
    <s v="Não"/>
    <s v="Não"/>
    <s v="Sim"/>
    <s v=""/>
    <b v="0"/>
  </r>
  <r>
    <x v="92"/>
    <x v="0"/>
    <x v="13"/>
    <x v="5"/>
    <n v="5"/>
    <x v="5"/>
    <x v="5"/>
    <s v="DocNum - 46482288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93"/>
    <x v="1"/>
    <x v="13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94"/>
    <x v="0"/>
    <x v="14"/>
    <x v="0"/>
    <n v="1"/>
    <x v="0"/>
    <x v="6"/>
    <n v="60668340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95"/>
    <x v="0"/>
    <x v="14"/>
    <x v="1"/>
    <n v="2"/>
    <x v="1"/>
    <x v="1"/>
    <n v="60668340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96"/>
    <x v="0"/>
    <x v="14"/>
    <x v="3"/>
    <n v="3"/>
    <x v="3"/>
    <x v="6"/>
    <s v="DocNum - 46482296"/>
    <m/>
    <m/>
    <x v="0"/>
    <d v="2025-10-29T00:00:00"/>
    <m/>
    <d v="2025-10-29T00:00:00"/>
    <x v="10"/>
    <m/>
    <x v="1"/>
    <n v="5"/>
    <s v="Não"/>
    <n v="0"/>
    <n v="0"/>
    <n v="1"/>
    <s v="Não"/>
    <s v="Não"/>
    <s v="Sim"/>
    <s v=""/>
    <b v="0"/>
  </r>
  <r>
    <x v="97"/>
    <x v="0"/>
    <x v="14"/>
    <x v="4"/>
    <n v="4"/>
    <x v="4"/>
    <x v="4"/>
    <s v="DocNum - 46482296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98"/>
    <x v="0"/>
    <x v="14"/>
    <x v="5"/>
    <n v="5"/>
    <x v="5"/>
    <x v="5"/>
    <s v="DocNum - 46482296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99"/>
    <x v="1"/>
    <x v="14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00"/>
    <x v="0"/>
    <x v="15"/>
    <x v="0"/>
    <n v="1"/>
    <x v="0"/>
    <x v="0"/>
    <n v="15603607"/>
    <s v="BEP: 15620560"/>
    <s v="OK"/>
    <x v="0"/>
    <d v="2025-10-16T00:00:00"/>
    <m/>
    <d v="2025-10-16T00:00:00"/>
    <x v="0"/>
    <m/>
    <x v="0"/>
    <n v="7"/>
    <s v="Não"/>
    <n v="0"/>
    <n v="0"/>
    <n v="1"/>
    <s v="Não"/>
    <s v="Não"/>
    <s v="Sim"/>
    <s v=""/>
    <b v="0"/>
  </r>
  <r>
    <x v="101"/>
    <x v="0"/>
    <x v="15"/>
    <x v="1"/>
    <n v="2"/>
    <x v="1"/>
    <x v="1"/>
    <n v="15603607"/>
    <s v="BEP: 15620560"/>
    <s v="OK"/>
    <x v="0"/>
    <d v="2025-10-16T00:00:00"/>
    <m/>
    <d v="2025-10-16T00:00:00"/>
    <x v="0"/>
    <m/>
    <x v="0"/>
    <n v="7"/>
    <s v="Não"/>
    <n v="0"/>
    <n v="0"/>
    <n v="1"/>
    <s v="Não"/>
    <s v="Não"/>
    <s v="Sim"/>
    <s v=""/>
    <b v="0"/>
  </r>
  <r>
    <x v="102"/>
    <x v="0"/>
    <x v="15"/>
    <x v="2"/>
    <n v="3"/>
    <x v="2"/>
    <x v="2"/>
    <n v="15603607"/>
    <s v="BEP: 15620560"/>
    <s v="OK"/>
    <x v="0"/>
    <d v="2025-10-16T00:00:00"/>
    <m/>
    <d v="2025-10-16T00:00:00"/>
    <x v="0"/>
    <m/>
    <x v="0"/>
    <n v="7"/>
    <s v="Não"/>
    <n v="0"/>
    <n v="0"/>
    <n v="1"/>
    <s v="Não"/>
    <s v="Não"/>
    <s v="Sim"/>
    <s v=""/>
    <b v="0"/>
  </r>
  <r>
    <x v="103"/>
    <x v="0"/>
    <x v="15"/>
    <x v="3"/>
    <n v="4"/>
    <x v="3"/>
    <x v="3"/>
    <s v="DocNum - 46482202"/>
    <m/>
    <m/>
    <x v="0"/>
    <d v="2025-10-17T00:00:00"/>
    <m/>
    <d v="2025-10-17T00:00:00"/>
    <x v="0"/>
    <m/>
    <x v="0"/>
    <n v="7"/>
    <s v="Não"/>
    <n v="0"/>
    <n v="0"/>
    <n v="1"/>
    <s v="Não"/>
    <s v="Não"/>
    <s v="Sim"/>
    <s v=""/>
    <b v="0"/>
  </r>
  <r>
    <x v="104"/>
    <x v="0"/>
    <x v="15"/>
    <x v="4"/>
    <n v="5"/>
    <x v="4"/>
    <x v="4"/>
    <s v="DocNum - 46482204"/>
    <m/>
    <m/>
    <x v="0"/>
    <d v="2025-10-17T00:00:00"/>
    <m/>
    <d v="2025-10-17T00:00:00"/>
    <x v="0"/>
    <m/>
    <x v="0"/>
    <n v="7"/>
    <s v="Não"/>
    <n v="0"/>
    <n v="0"/>
    <n v="1"/>
    <s v="Não"/>
    <s v="Não"/>
    <s v="Sim"/>
    <s v=""/>
    <b v="0"/>
  </r>
  <r>
    <x v="105"/>
    <x v="0"/>
    <x v="15"/>
    <x v="5"/>
    <n v="6"/>
    <x v="5"/>
    <x v="5"/>
    <s v="DocNum - 46482204"/>
    <m/>
    <m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106"/>
    <x v="1"/>
    <x v="15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107"/>
    <x v="0"/>
    <x v="15"/>
    <x v="7"/>
    <n v="8"/>
    <x v="7"/>
    <x v="2"/>
    <n v="15603607"/>
    <s v="BEP: 15620560"/>
    <s v="OK"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108"/>
    <x v="0"/>
    <x v="16"/>
    <x v="0"/>
    <n v="1"/>
    <x v="0"/>
    <x v="6"/>
    <n v="60668327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109"/>
    <x v="0"/>
    <x v="16"/>
    <x v="1"/>
    <n v="2"/>
    <x v="1"/>
    <x v="1"/>
    <n v="60668327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110"/>
    <x v="0"/>
    <x v="16"/>
    <x v="3"/>
    <n v="3"/>
    <x v="3"/>
    <x v="6"/>
    <s v="DocNum - 46482273"/>
    <m/>
    <m/>
    <x v="0"/>
    <d v="2025-10-28T00:00:00"/>
    <m/>
    <d v="2025-10-28T00:00:00"/>
    <x v="11"/>
    <m/>
    <x v="1"/>
    <n v="5"/>
    <s v="Não"/>
    <n v="0"/>
    <n v="0"/>
    <n v="1"/>
    <s v="Não"/>
    <s v="Não"/>
    <s v="Sim"/>
    <s v=""/>
    <b v="0"/>
  </r>
  <r>
    <x v="111"/>
    <x v="0"/>
    <x v="16"/>
    <x v="4"/>
    <n v="4"/>
    <x v="4"/>
    <x v="4"/>
    <s v="DocNum - 46482273"/>
    <m/>
    <m/>
    <x v="0"/>
    <d v="2025-10-29T00:00:00"/>
    <m/>
    <d v="2025-10-29T00:00:00"/>
    <x v="0"/>
    <m/>
    <x v="1"/>
    <n v="5"/>
    <s v="Não"/>
    <n v="0"/>
    <n v="0"/>
    <n v="1"/>
    <s v="Não"/>
    <s v="Não"/>
    <s v="Sim"/>
    <s v=""/>
    <b v="0"/>
  </r>
  <r>
    <x v="112"/>
    <x v="0"/>
    <x v="16"/>
    <x v="5"/>
    <n v="5"/>
    <x v="5"/>
    <x v="5"/>
    <s v="DocNum - 46482273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113"/>
    <x v="1"/>
    <x v="16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14"/>
    <x v="0"/>
    <x v="17"/>
    <x v="0"/>
    <n v="1"/>
    <x v="0"/>
    <x v="6"/>
    <n v="60668334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115"/>
    <x v="0"/>
    <x v="17"/>
    <x v="1"/>
    <n v="2"/>
    <x v="1"/>
    <x v="1"/>
    <n v="60668334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116"/>
    <x v="0"/>
    <x v="17"/>
    <x v="3"/>
    <n v="3"/>
    <x v="3"/>
    <x v="6"/>
    <s v="DocNum - 46482289"/>
    <m/>
    <m/>
    <x v="0"/>
    <d v="2025-10-29T00:00:00"/>
    <m/>
    <d v="2025-10-29T00:00:00"/>
    <x v="12"/>
    <m/>
    <x v="1"/>
    <n v="5"/>
    <s v="Não"/>
    <n v="0"/>
    <n v="0"/>
    <n v="1"/>
    <s v="Não"/>
    <s v="Não"/>
    <s v="Sim"/>
    <s v=""/>
    <b v="0"/>
  </r>
  <r>
    <x v="117"/>
    <x v="0"/>
    <x v="17"/>
    <x v="4"/>
    <n v="4"/>
    <x v="4"/>
    <x v="4"/>
    <s v="DocNum - 46482289"/>
    <m/>
    <m/>
    <x v="0"/>
    <d v="2025-10-29T00:00:00"/>
    <m/>
    <d v="2025-10-29T00:00:00"/>
    <x v="0"/>
    <m/>
    <x v="1"/>
    <n v="5"/>
    <s v="Não"/>
    <n v="0"/>
    <n v="0"/>
    <n v="1"/>
    <s v="Não"/>
    <s v="Não"/>
    <s v="Sim"/>
    <s v=""/>
    <b v="0"/>
  </r>
  <r>
    <x v="118"/>
    <x v="0"/>
    <x v="17"/>
    <x v="5"/>
    <n v="5"/>
    <x v="5"/>
    <x v="5"/>
    <s v="DocNum - 46482289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119"/>
    <x v="1"/>
    <x v="17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20"/>
    <x v="0"/>
    <x v="18"/>
    <x v="0"/>
    <n v="1"/>
    <x v="0"/>
    <x v="0"/>
    <n v="15603636"/>
    <s v="BEP: 15550186"/>
    <s v="OK"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121"/>
    <x v="0"/>
    <x v="18"/>
    <x v="1"/>
    <n v="2"/>
    <x v="1"/>
    <x v="1"/>
    <n v="15603636"/>
    <s v="BEP: 15550186"/>
    <s v="OK"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122"/>
    <x v="0"/>
    <x v="18"/>
    <x v="2"/>
    <n v="3"/>
    <x v="2"/>
    <x v="2"/>
    <n v="15603636"/>
    <s v="BEP: 15550186"/>
    <s v="OK"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123"/>
    <x v="0"/>
    <x v="18"/>
    <x v="3"/>
    <n v="4"/>
    <x v="3"/>
    <x v="3"/>
    <s v="DocNum - 46482272"/>
    <m/>
    <s v="OK"/>
    <x v="0"/>
    <d v="2025-10-28T00:00:00"/>
    <m/>
    <d v="2025-10-28T00:00:00"/>
    <x v="0"/>
    <m/>
    <x v="0"/>
    <n v="7"/>
    <s v="Não"/>
    <n v="0"/>
    <n v="0"/>
    <n v="1"/>
    <s v="Não"/>
    <s v="Não"/>
    <s v="Sim"/>
    <s v=""/>
    <b v="0"/>
  </r>
  <r>
    <x v="124"/>
    <x v="0"/>
    <x v="18"/>
    <x v="8"/>
    <n v="5"/>
    <x v="8"/>
    <x v="4"/>
    <s v="DocNum - 46482272"/>
    <m/>
    <m/>
    <x v="0"/>
    <d v="2025-10-29T00:00:00"/>
    <m/>
    <d v="2025-10-29T00:00:00"/>
    <x v="0"/>
    <m/>
    <x v="0"/>
    <n v="7"/>
    <s v="Não"/>
    <n v="0"/>
    <n v="0"/>
    <n v="1"/>
    <s v="Não"/>
    <s v="Não"/>
    <s v="Sim"/>
    <s v=""/>
    <b v="0"/>
  </r>
  <r>
    <x v="125"/>
    <x v="0"/>
    <x v="18"/>
    <x v="5"/>
    <n v="6"/>
    <x v="5"/>
    <x v="5"/>
    <s v="DocNum - 46482272"/>
    <m/>
    <m/>
    <x v="0"/>
    <d v="2025-10-30T00:00:00"/>
    <m/>
    <d v="2025-10-30T00:00:00"/>
    <x v="0"/>
    <m/>
    <x v="0"/>
    <n v="7"/>
    <s v="Não"/>
    <n v="0"/>
    <n v="0"/>
    <n v="1"/>
    <s v="Não"/>
    <s v="Não"/>
    <s v="Sim"/>
    <s v=""/>
    <b v="0"/>
  </r>
  <r>
    <x v="126"/>
    <x v="1"/>
    <x v="18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127"/>
    <x v="0"/>
    <x v="18"/>
    <x v="7"/>
    <n v="8"/>
    <x v="7"/>
    <x v="2"/>
    <n v="15603636"/>
    <s v="BEP: 15550186"/>
    <m/>
    <x v="0"/>
    <d v="2025-10-30T00:00:00"/>
    <m/>
    <d v="2025-10-30T00:00:00"/>
    <x v="0"/>
    <m/>
    <x v="0"/>
    <n v="7"/>
    <s v="Não"/>
    <n v="0"/>
    <n v="0"/>
    <n v="1"/>
    <s v="Não"/>
    <s v="Não"/>
    <s v="Sim"/>
    <s v=""/>
    <b v="0"/>
  </r>
  <r>
    <x v="128"/>
    <x v="0"/>
    <x v="19"/>
    <x v="0"/>
    <n v="1"/>
    <x v="0"/>
    <x v="6"/>
    <n v="60668358"/>
    <m/>
    <m/>
    <x v="0"/>
    <d v="2025-11-26T00:00:00"/>
    <m/>
    <d v="2025-11-26T00:00:00"/>
    <x v="0"/>
    <m/>
    <x v="1"/>
    <n v="5"/>
    <s v="Não"/>
    <n v="0"/>
    <n v="0"/>
    <n v="1"/>
    <s v="Não"/>
    <s v="Não"/>
    <s v="Sim"/>
    <s v=""/>
    <b v="0"/>
  </r>
  <r>
    <x v="129"/>
    <x v="0"/>
    <x v="19"/>
    <x v="1"/>
    <n v="2"/>
    <x v="1"/>
    <x v="1"/>
    <n v="60668358"/>
    <m/>
    <m/>
    <x v="0"/>
    <d v="2025-11-26T00:00:00"/>
    <m/>
    <d v="2025-11-26T00:00:00"/>
    <x v="0"/>
    <m/>
    <x v="1"/>
    <n v="5"/>
    <s v="Não"/>
    <n v="0"/>
    <n v="0"/>
    <n v="1"/>
    <s v="Não"/>
    <s v="Não"/>
    <s v="Sim"/>
    <s v=""/>
    <b v="0"/>
  </r>
  <r>
    <x v="130"/>
    <x v="0"/>
    <x v="19"/>
    <x v="3"/>
    <n v="3"/>
    <x v="3"/>
    <x v="6"/>
    <s v="DocNum -  46482722"/>
    <m/>
    <m/>
    <x v="0"/>
    <d v="2025-11-26T00:00:00"/>
    <m/>
    <d v="2025-12-04T00:00:00"/>
    <x v="13"/>
    <m/>
    <x v="1"/>
    <n v="5"/>
    <s v="Não"/>
    <n v="0"/>
    <n v="0"/>
    <n v="1"/>
    <s v="Não"/>
    <s v="Não"/>
    <s v="Sim"/>
    <s v=""/>
    <b v="0"/>
  </r>
  <r>
    <x v="131"/>
    <x v="0"/>
    <x v="19"/>
    <x v="4"/>
    <n v="4"/>
    <x v="4"/>
    <x v="4"/>
    <s v="DocNum -  46482722"/>
    <m/>
    <m/>
    <x v="0"/>
    <d v="2025-05-12T00:00:00"/>
    <m/>
    <d v="2025-05-12T00:00:00"/>
    <x v="0"/>
    <m/>
    <x v="1"/>
    <n v="5"/>
    <s v="Não"/>
    <n v="0"/>
    <n v="0"/>
    <n v="1"/>
    <s v="Não"/>
    <s v="Não"/>
    <s v="Sim"/>
    <s v=""/>
    <b v="0"/>
  </r>
  <r>
    <x v="132"/>
    <x v="0"/>
    <x v="19"/>
    <x v="5"/>
    <n v="5"/>
    <x v="5"/>
    <x v="5"/>
    <s v="DocNum -  46482722"/>
    <m/>
    <m/>
    <x v="0"/>
    <d v="2025-12-05T00:00:00"/>
    <m/>
    <d v="2025-05-12T00:00:00"/>
    <x v="0"/>
    <m/>
    <x v="1"/>
    <n v="5"/>
    <s v="Não"/>
    <n v="0"/>
    <n v="0"/>
    <n v="1"/>
    <s v="Não"/>
    <s v="Não"/>
    <s v="Sim"/>
    <s v=""/>
    <b v="0"/>
  </r>
  <r>
    <x v="133"/>
    <x v="1"/>
    <x v="19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34"/>
    <x v="0"/>
    <x v="20"/>
    <x v="0"/>
    <n v="1"/>
    <x v="0"/>
    <x v="6"/>
    <n v="60668356"/>
    <m/>
    <m/>
    <x v="0"/>
    <d v="2025-11-11T00:00:00"/>
    <m/>
    <d v="2025-11-11T00:00:00"/>
    <x v="0"/>
    <m/>
    <x v="1"/>
    <n v="5"/>
    <s v="Não"/>
    <n v="0"/>
    <n v="0"/>
    <n v="1"/>
    <s v="Não"/>
    <s v="Não"/>
    <s v="Sim"/>
    <s v=""/>
    <b v="0"/>
  </r>
  <r>
    <x v="135"/>
    <x v="0"/>
    <x v="20"/>
    <x v="1"/>
    <n v="2"/>
    <x v="1"/>
    <x v="1"/>
    <n v="60668356"/>
    <m/>
    <m/>
    <x v="0"/>
    <d v="2025-11-13T00:00:00"/>
    <m/>
    <d v="2025-11-13T00:00:00"/>
    <x v="0"/>
    <m/>
    <x v="1"/>
    <n v="5"/>
    <s v="Não"/>
    <n v="0"/>
    <n v="0"/>
    <n v="1"/>
    <s v="Não"/>
    <s v="Não"/>
    <s v="Sim"/>
    <s v=""/>
    <b v="0"/>
  </r>
  <r>
    <x v="136"/>
    <x v="0"/>
    <x v="20"/>
    <x v="3"/>
    <n v="3"/>
    <x v="3"/>
    <x v="6"/>
    <s v="DocNum - 46482416"/>
    <m/>
    <m/>
    <x v="0"/>
    <d v="2025-11-13T00:00:00"/>
    <m/>
    <d v="2025-11-14T00:00:00"/>
    <x v="14"/>
    <m/>
    <x v="1"/>
    <n v="5"/>
    <s v="Não"/>
    <n v="0"/>
    <n v="0"/>
    <n v="1"/>
    <s v="Não"/>
    <s v="Não"/>
    <s v="Sim"/>
    <s v=""/>
    <b v="0"/>
  </r>
  <r>
    <x v="137"/>
    <x v="0"/>
    <x v="20"/>
    <x v="4"/>
    <n v="4"/>
    <x v="4"/>
    <x v="4"/>
    <s v="DocNum - 46482416"/>
    <m/>
    <m/>
    <x v="0"/>
    <d v="2025-11-17T00:00:00"/>
    <m/>
    <d v="2025-11-17T00:00:00"/>
    <x v="0"/>
    <m/>
    <x v="1"/>
    <n v="5"/>
    <s v="Não"/>
    <n v="0"/>
    <n v="0"/>
    <n v="1"/>
    <s v="Não"/>
    <s v="Não"/>
    <s v="Sim"/>
    <s v=""/>
    <b v="0"/>
  </r>
  <r>
    <x v="138"/>
    <x v="0"/>
    <x v="20"/>
    <x v="5"/>
    <n v="5"/>
    <x v="5"/>
    <x v="5"/>
    <s v="DocNum - 46482416"/>
    <m/>
    <m/>
    <x v="0"/>
    <d v="2025-11-25T00:00:00"/>
    <m/>
    <d v="2025-11-25T00:00:00"/>
    <x v="0"/>
    <m/>
    <x v="1"/>
    <n v="5"/>
    <s v="Não"/>
    <n v="0"/>
    <n v="0"/>
    <n v="1"/>
    <s v="Não"/>
    <s v="Não"/>
    <s v="Sim"/>
    <s v=""/>
    <b v="0"/>
  </r>
  <r>
    <x v="139"/>
    <x v="1"/>
    <x v="20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40"/>
    <x v="0"/>
    <x v="21"/>
    <x v="0"/>
    <n v="1"/>
    <x v="0"/>
    <x v="0"/>
    <n v="15603657"/>
    <s v="BEP: 15566193"/>
    <s v="OK"/>
    <x v="0"/>
    <d v="2025-10-27T00:00:00"/>
    <m/>
    <d v="2025-10-27T00:00:00"/>
    <x v="0"/>
    <m/>
    <x v="1"/>
    <n v="5"/>
    <s v="Não"/>
    <n v="0"/>
    <n v="0"/>
    <n v="1"/>
    <s v="Não"/>
    <s v="Não"/>
    <s v="Sim"/>
    <s v=""/>
    <b v="0"/>
  </r>
  <r>
    <x v="141"/>
    <x v="0"/>
    <x v="21"/>
    <x v="1"/>
    <n v="2"/>
    <x v="1"/>
    <x v="1"/>
    <n v="15603657"/>
    <s v="BEP: 15566193"/>
    <s v="OK"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142"/>
    <x v="0"/>
    <x v="21"/>
    <x v="3"/>
    <n v="3"/>
    <x v="3"/>
    <x v="3"/>
    <s v="DocNum - 46482266"/>
    <m/>
    <s v="OK"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143"/>
    <x v="0"/>
    <x v="21"/>
    <x v="4"/>
    <n v="4"/>
    <x v="4"/>
    <x v="4"/>
    <s v="DocNum - 46482266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144"/>
    <x v="0"/>
    <x v="21"/>
    <x v="5"/>
    <n v="5"/>
    <x v="5"/>
    <x v="5"/>
    <s v="DocNum - 46482266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145"/>
    <x v="1"/>
    <x v="21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46"/>
    <x v="0"/>
    <x v="22"/>
    <x v="0"/>
    <n v="1"/>
    <x v="0"/>
    <x v="6"/>
    <n v="60668341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147"/>
    <x v="0"/>
    <x v="22"/>
    <x v="1"/>
    <n v="2"/>
    <x v="1"/>
    <x v="1"/>
    <n v="60668341"/>
    <m/>
    <m/>
    <x v="0"/>
    <d v="2025-10-31T00:00:00"/>
    <m/>
    <d v="2025-10-31T00:00:00"/>
    <x v="0"/>
    <m/>
    <x v="1"/>
    <n v="5"/>
    <s v="Não"/>
    <n v="0"/>
    <n v="0"/>
    <n v="1"/>
    <s v="Não"/>
    <s v="Não"/>
    <s v="Sim"/>
    <s v=""/>
    <b v="0"/>
  </r>
  <r>
    <x v="148"/>
    <x v="0"/>
    <x v="22"/>
    <x v="3"/>
    <n v="3"/>
    <x v="3"/>
    <x v="6"/>
    <s v="DocNum - 46482342"/>
    <m/>
    <m/>
    <x v="0"/>
    <d v="2025-11-03T00:00:00"/>
    <m/>
    <d v="2025-11-03T00:00:00"/>
    <x v="0"/>
    <m/>
    <x v="1"/>
    <n v="5"/>
    <s v="Não"/>
    <n v="0"/>
    <n v="0"/>
    <n v="1"/>
    <s v="Não"/>
    <s v="Não"/>
    <s v="Sim"/>
    <s v=""/>
    <b v="0"/>
  </r>
  <r>
    <x v="149"/>
    <x v="0"/>
    <x v="22"/>
    <x v="4"/>
    <n v="4"/>
    <x v="4"/>
    <x v="4"/>
    <s v="DocNum - 46482342"/>
    <m/>
    <m/>
    <x v="0"/>
    <d v="2025-10-11T00:00:00"/>
    <m/>
    <d v="2025-10-11T00:00:00"/>
    <x v="0"/>
    <m/>
    <x v="1"/>
    <n v="5"/>
    <s v="Não"/>
    <n v="0"/>
    <n v="0"/>
    <n v="1"/>
    <s v="Não"/>
    <s v="Não"/>
    <s v="Sim"/>
    <s v=""/>
    <b v="0"/>
  </r>
  <r>
    <x v="150"/>
    <x v="0"/>
    <x v="22"/>
    <x v="5"/>
    <n v="5"/>
    <x v="5"/>
    <x v="5"/>
    <s v="DocNum - 46482342"/>
    <m/>
    <m/>
    <x v="0"/>
    <d v="2025-10-11T00:00:00"/>
    <m/>
    <d v="2025-10-11T00:00:00"/>
    <x v="0"/>
    <m/>
    <x v="1"/>
    <n v="5"/>
    <s v="Não"/>
    <n v="0"/>
    <n v="0"/>
    <n v="1"/>
    <s v="Não"/>
    <s v="Não"/>
    <s v="Sim"/>
    <s v=""/>
    <b v="0"/>
  </r>
  <r>
    <x v="151"/>
    <x v="1"/>
    <x v="22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52"/>
    <x v="0"/>
    <x v="23"/>
    <x v="0"/>
    <n v="1"/>
    <x v="0"/>
    <x v="6"/>
    <n v="60668353"/>
    <m/>
    <m/>
    <x v="0"/>
    <d v="2025-11-08T00:00:00"/>
    <m/>
    <d v="2025-11-08T00:00:00"/>
    <x v="0"/>
    <m/>
    <x v="1"/>
    <n v="5"/>
    <s v="Não"/>
    <n v="0"/>
    <n v="0"/>
    <n v="1"/>
    <s v="Não"/>
    <s v="Não"/>
    <s v="Sim"/>
    <s v=""/>
    <b v="0"/>
  </r>
  <r>
    <x v="153"/>
    <x v="0"/>
    <x v="23"/>
    <x v="1"/>
    <n v="2"/>
    <x v="1"/>
    <x v="1"/>
    <n v="60668353"/>
    <m/>
    <m/>
    <x v="0"/>
    <d v="2025-11-08T00:00:00"/>
    <m/>
    <d v="2025-11-08T00:00:00"/>
    <x v="0"/>
    <m/>
    <x v="1"/>
    <n v="5"/>
    <s v="Não"/>
    <n v="0"/>
    <n v="0"/>
    <n v="1"/>
    <s v="Não"/>
    <s v="Não"/>
    <s v="Sim"/>
    <s v=""/>
    <b v="0"/>
  </r>
  <r>
    <x v="154"/>
    <x v="0"/>
    <x v="23"/>
    <x v="3"/>
    <n v="3"/>
    <x v="3"/>
    <x v="6"/>
    <s v="DocNum - 46482383"/>
    <m/>
    <m/>
    <x v="0"/>
    <d v="2025-11-11T00:00:00"/>
    <m/>
    <d v="2025-11-11T00:00:00"/>
    <x v="15"/>
    <m/>
    <x v="1"/>
    <n v="5"/>
    <s v="Não"/>
    <n v="0"/>
    <n v="0"/>
    <n v="1"/>
    <s v="Não"/>
    <s v="Não"/>
    <s v="Sim"/>
    <s v=""/>
    <b v="0"/>
  </r>
  <r>
    <x v="155"/>
    <x v="0"/>
    <x v="23"/>
    <x v="4"/>
    <n v="4"/>
    <x v="4"/>
    <x v="4"/>
    <s v="DocNum - 46482383"/>
    <m/>
    <m/>
    <x v="0"/>
    <d v="2025-11-13T00:00:00"/>
    <m/>
    <d v="2025-11-13T00:00:00"/>
    <x v="0"/>
    <m/>
    <x v="1"/>
    <n v="5"/>
    <s v="Não"/>
    <n v="0"/>
    <n v="0"/>
    <n v="1"/>
    <s v="Não"/>
    <s v="Não"/>
    <s v="Sim"/>
    <s v=""/>
    <b v="0"/>
  </r>
  <r>
    <x v="156"/>
    <x v="0"/>
    <x v="23"/>
    <x v="5"/>
    <n v="5"/>
    <x v="5"/>
    <x v="5"/>
    <s v="DocNum - 46482383"/>
    <m/>
    <m/>
    <x v="0"/>
    <d v="2025-11-17T00:00:00"/>
    <m/>
    <d v="2025-11-17T00:00:00"/>
    <x v="0"/>
    <m/>
    <x v="1"/>
    <n v="5"/>
    <s v="Não"/>
    <n v="0"/>
    <n v="0"/>
    <n v="1"/>
    <s v="Não"/>
    <s v="Não"/>
    <s v="Sim"/>
    <s v=""/>
    <b v="0"/>
  </r>
  <r>
    <x v="157"/>
    <x v="1"/>
    <x v="23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58"/>
    <x v="0"/>
    <x v="24"/>
    <x v="0"/>
    <n v="1"/>
    <x v="0"/>
    <x v="0"/>
    <n v="15603695"/>
    <s v="BEP: 15591100"/>
    <s v="OK"/>
    <x v="0"/>
    <d v="2025-11-17T00:00:00"/>
    <m/>
    <d v="2025-11-17T00:00:00"/>
    <x v="0"/>
    <m/>
    <x v="0"/>
    <n v="7"/>
    <s v="Não"/>
    <n v="0"/>
    <n v="0"/>
    <n v="1"/>
    <s v="Não"/>
    <s v="Não"/>
    <s v="Sim"/>
    <s v=""/>
    <b v="0"/>
  </r>
  <r>
    <x v="159"/>
    <x v="0"/>
    <x v="24"/>
    <x v="1"/>
    <n v="2"/>
    <x v="1"/>
    <x v="1"/>
    <n v="15603695"/>
    <m/>
    <m/>
    <x v="0"/>
    <d v="2025-11-18T00:00:00"/>
    <m/>
    <d v="2025-11-18T00:00:00"/>
    <x v="0"/>
    <m/>
    <x v="0"/>
    <n v="7"/>
    <s v="Não"/>
    <n v="0"/>
    <n v="0"/>
    <n v="1"/>
    <s v="Não"/>
    <s v="Não"/>
    <s v="Sim"/>
    <s v=""/>
    <b v="0"/>
  </r>
  <r>
    <x v="160"/>
    <x v="0"/>
    <x v="24"/>
    <x v="2"/>
    <n v="3"/>
    <x v="2"/>
    <x v="2"/>
    <n v="15603695"/>
    <m/>
    <m/>
    <x v="0"/>
    <d v="2025-11-18T00:00:00"/>
    <m/>
    <d v="2025-11-18T00:00:00"/>
    <x v="0"/>
    <m/>
    <x v="0"/>
    <n v="7"/>
    <s v="Não"/>
    <n v="0"/>
    <n v="0"/>
    <n v="1"/>
    <s v="Não"/>
    <s v="Não"/>
    <s v="Sim"/>
    <s v=""/>
    <b v="0"/>
  </r>
  <r>
    <x v="161"/>
    <x v="0"/>
    <x v="24"/>
    <x v="3"/>
    <n v="4"/>
    <x v="3"/>
    <x v="3"/>
    <s v="DocNum - 46482479"/>
    <m/>
    <s v="OK"/>
    <x v="0"/>
    <d v="2025-11-18T00:00:00"/>
    <m/>
    <d v="2025-11-18T00:00:00"/>
    <x v="0"/>
    <m/>
    <x v="0"/>
    <n v="7"/>
    <s v="Não"/>
    <n v="0"/>
    <n v="0"/>
    <n v="1"/>
    <s v="Não"/>
    <s v="Não"/>
    <s v="Sim"/>
    <s v=""/>
    <b v="0"/>
  </r>
  <r>
    <x v="162"/>
    <x v="0"/>
    <x v="24"/>
    <x v="4"/>
    <n v="5"/>
    <x v="4"/>
    <x v="4"/>
    <s v="DocNum - 46482479"/>
    <m/>
    <m/>
    <x v="0"/>
    <d v="2025-11-19T00:00:00"/>
    <m/>
    <d v="2025-11-19T00:00:00"/>
    <x v="0"/>
    <m/>
    <x v="0"/>
    <n v="7"/>
    <s v="Não"/>
    <n v="0"/>
    <n v="0"/>
    <n v="1"/>
    <s v="Não"/>
    <s v="Não"/>
    <s v="Sim"/>
    <s v=""/>
    <b v="0"/>
  </r>
  <r>
    <x v="163"/>
    <x v="0"/>
    <x v="24"/>
    <x v="5"/>
    <n v="6"/>
    <x v="5"/>
    <x v="5"/>
    <s v="DocNum - 46482479"/>
    <m/>
    <m/>
    <x v="0"/>
    <d v="2025-11-25T00:00:00"/>
    <m/>
    <d v="2025-11-25T00:00:00"/>
    <x v="0"/>
    <m/>
    <x v="0"/>
    <n v="7"/>
    <s v="Não"/>
    <n v="0"/>
    <n v="0"/>
    <n v="1"/>
    <s v="Não"/>
    <s v="Não"/>
    <s v="Sim"/>
    <s v=""/>
    <b v="0"/>
  </r>
  <r>
    <x v="164"/>
    <x v="1"/>
    <x v="24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165"/>
    <x v="0"/>
    <x v="24"/>
    <x v="7"/>
    <n v="8"/>
    <x v="7"/>
    <x v="2"/>
    <s v="15603639 "/>
    <s v="BEP: 15591100"/>
    <m/>
    <x v="0"/>
    <d v="2025-10-23T00:00:00"/>
    <m/>
    <d v="2025-10-23T00:00:00"/>
    <x v="0"/>
    <m/>
    <x v="0"/>
    <n v="7"/>
    <s v="Não"/>
    <n v="0"/>
    <n v="0"/>
    <n v="1"/>
    <s v="Não"/>
    <s v="Não"/>
    <s v="Sim"/>
    <s v=""/>
    <b v="0"/>
  </r>
  <r>
    <x v="166"/>
    <x v="0"/>
    <x v="25"/>
    <x v="0"/>
    <n v="1"/>
    <x v="0"/>
    <x v="6"/>
    <n v="60668359"/>
    <m/>
    <m/>
    <x v="0"/>
    <d v="2025-11-28T00:00:00"/>
    <m/>
    <d v="2025-11-28T00:00:00"/>
    <x v="0"/>
    <m/>
    <x v="1"/>
    <n v="5"/>
    <s v="Não"/>
    <n v="0"/>
    <n v="0"/>
    <n v="1"/>
    <s v="Não"/>
    <s v="Não"/>
    <s v="Sim"/>
    <s v=""/>
    <b v="0"/>
  </r>
  <r>
    <x v="167"/>
    <x v="0"/>
    <x v="25"/>
    <x v="1"/>
    <n v="2"/>
    <x v="1"/>
    <x v="1"/>
    <n v="60668359"/>
    <m/>
    <m/>
    <x v="0"/>
    <d v="2025-11-28T00:00:00"/>
    <m/>
    <d v="2025-11-28T00:00:00"/>
    <x v="0"/>
    <m/>
    <x v="1"/>
    <n v="5"/>
    <s v="Não"/>
    <n v="0"/>
    <n v="0"/>
    <n v="1"/>
    <s v="Não"/>
    <s v="Não"/>
    <s v="Sim"/>
    <s v=""/>
    <b v="0"/>
  </r>
  <r>
    <x v="168"/>
    <x v="0"/>
    <x v="25"/>
    <x v="3"/>
    <n v="3"/>
    <x v="3"/>
    <x v="6"/>
    <s v="DocNum - 46482608"/>
    <m/>
    <m/>
    <x v="0"/>
    <d v="2025-11-28T00:00:00"/>
    <m/>
    <d v="2025-11-28T00:00:00"/>
    <x v="16"/>
    <m/>
    <x v="1"/>
    <n v="5"/>
    <s v="Não"/>
    <n v="0"/>
    <n v="0"/>
    <n v="1"/>
    <s v="Não"/>
    <s v="Não"/>
    <s v="Sim"/>
    <s v=""/>
    <b v="0"/>
  </r>
  <r>
    <x v="169"/>
    <x v="0"/>
    <x v="25"/>
    <x v="4"/>
    <n v="4"/>
    <x v="4"/>
    <x v="4"/>
    <s v="DocNum - 46482608"/>
    <m/>
    <m/>
    <x v="0"/>
    <d v="2025-12-03T00:00:00"/>
    <m/>
    <d v="2025-12-03T00:00:00"/>
    <x v="0"/>
    <m/>
    <x v="1"/>
    <n v="5"/>
    <s v="Não"/>
    <n v="0"/>
    <n v="0"/>
    <n v="1"/>
    <s v="Não"/>
    <s v="Não"/>
    <s v="Sim"/>
    <s v=""/>
    <b v="0"/>
  </r>
  <r>
    <x v="170"/>
    <x v="0"/>
    <x v="25"/>
    <x v="5"/>
    <n v="5"/>
    <x v="5"/>
    <x v="5"/>
    <s v="DocNum - 46482608"/>
    <m/>
    <m/>
    <x v="0"/>
    <d v="2025-12-04T00:00:00"/>
    <m/>
    <d v="2025-12-04T00:00:00"/>
    <x v="0"/>
    <m/>
    <x v="1"/>
    <n v="5"/>
    <s v="Não"/>
    <n v="0"/>
    <n v="0"/>
    <n v="1"/>
    <s v="Não"/>
    <s v="Não"/>
    <s v="Sim"/>
    <s v=""/>
    <b v="0"/>
  </r>
  <r>
    <x v="171"/>
    <x v="1"/>
    <x v="25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72"/>
    <x v="0"/>
    <x v="26"/>
    <x v="0"/>
    <n v="1"/>
    <x v="0"/>
    <x v="6"/>
    <n v="60668367"/>
    <m/>
    <m/>
    <x v="0"/>
    <d v="2025-12-05T00:00:00"/>
    <m/>
    <d v="2025-12-05T00:00:00"/>
    <x v="0"/>
    <m/>
    <x v="1"/>
    <n v="5"/>
    <s v="Não"/>
    <n v="0"/>
    <n v="0"/>
    <n v="1"/>
    <s v="Não"/>
    <s v="Não"/>
    <s v="Sim"/>
    <s v=""/>
    <b v="0"/>
  </r>
  <r>
    <x v="173"/>
    <x v="0"/>
    <x v="26"/>
    <x v="1"/>
    <n v="2"/>
    <x v="1"/>
    <x v="1"/>
    <n v="60668367"/>
    <m/>
    <m/>
    <x v="0"/>
    <d v="2025-12-05T00:00:00"/>
    <m/>
    <d v="2025-12-05T00:00:00"/>
    <x v="0"/>
    <m/>
    <x v="1"/>
    <n v="5"/>
    <s v="Não"/>
    <n v="0"/>
    <n v="0"/>
    <n v="1"/>
    <s v="Não"/>
    <s v="Não"/>
    <s v="Sim"/>
    <s v=""/>
    <b v="0"/>
  </r>
  <r>
    <x v="174"/>
    <x v="0"/>
    <x v="26"/>
    <x v="3"/>
    <n v="3"/>
    <x v="3"/>
    <x v="6"/>
    <s v="DocNum - 46482774"/>
    <m/>
    <m/>
    <x v="0"/>
    <d v="2025-12-05T00:00:00"/>
    <m/>
    <d v="2025-12-05T00:00:00"/>
    <x v="17"/>
    <m/>
    <x v="1"/>
    <n v="5"/>
    <s v="Não"/>
    <n v="0"/>
    <n v="0"/>
    <n v="1"/>
    <s v="Não"/>
    <s v="Não"/>
    <s v="Sim"/>
    <s v=""/>
    <b v="0"/>
  </r>
  <r>
    <x v="175"/>
    <x v="0"/>
    <x v="26"/>
    <x v="4"/>
    <n v="4"/>
    <x v="4"/>
    <x v="4"/>
    <s v="DocNum - 46482774"/>
    <m/>
    <m/>
    <x v="0"/>
    <d v="2025-09-12T00:00:00"/>
    <m/>
    <d v="2025-09-12T00:00:00"/>
    <x v="0"/>
    <m/>
    <x v="1"/>
    <n v="5"/>
    <s v="Não"/>
    <n v="0"/>
    <n v="0"/>
    <n v="1"/>
    <s v="Não"/>
    <s v="Não"/>
    <s v="Sim"/>
    <s v=""/>
    <b v="0"/>
  </r>
  <r>
    <x v="176"/>
    <x v="0"/>
    <x v="26"/>
    <x v="5"/>
    <n v="5"/>
    <x v="5"/>
    <x v="5"/>
    <s v="DocNum - 46482774"/>
    <m/>
    <m/>
    <x v="0"/>
    <d v="2025-09-12T00:00:00"/>
    <m/>
    <d v="2025-09-12T00:00:00"/>
    <x v="0"/>
    <m/>
    <x v="1"/>
    <n v="5"/>
    <s v="Não"/>
    <n v="0"/>
    <n v="0"/>
    <n v="1"/>
    <s v="Não"/>
    <s v="Não"/>
    <s v="Sim"/>
    <s v=""/>
    <b v="0"/>
  </r>
  <r>
    <x v="177"/>
    <x v="1"/>
    <x v="26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78"/>
    <x v="0"/>
    <x v="27"/>
    <x v="0"/>
    <n v="1"/>
    <x v="0"/>
    <x v="0"/>
    <n v="15603655"/>
    <s v="BEP: 15593813"/>
    <s v="OK"/>
    <x v="0"/>
    <d v="2025-10-27T00:00:00"/>
    <m/>
    <d v="2025-10-27T00:00:00"/>
    <x v="0"/>
    <m/>
    <x v="1"/>
    <n v="5"/>
    <s v="Não"/>
    <n v="0"/>
    <n v="0"/>
    <n v="1"/>
    <s v="Não"/>
    <s v="Não"/>
    <s v="Sim"/>
    <s v=""/>
    <b v="0"/>
  </r>
  <r>
    <x v="179"/>
    <x v="0"/>
    <x v="27"/>
    <x v="1"/>
    <n v="2"/>
    <x v="1"/>
    <x v="1"/>
    <n v="15603655"/>
    <s v="BEP: 15593813"/>
    <s v="OK"/>
    <x v="0"/>
    <d v="2025-10-27T00:00:00"/>
    <m/>
    <d v="2025-10-27T00:00:00"/>
    <x v="0"/>
    <m/>
    <x v="1"/>
    <n v="5"/>
    <s v="Não"/>
    <n v="0"/>
    <n v="0"/>
    <n v="1"/>
    <s v="Não"/>
    <s v="Não"/>
    <s v="Sim"/>
    <s v=""/>
    <b v="0"/>
  </r>
  <r>
    <x v="180"/>
    <x v="0"/>
    <x v="27"/>
    <x v="3"/>
    <n v="3"/>
    <x v="3"/>
    <x v="3"/>
    <s v="DocNum - 46482264"/>
    <m/>
    <s v="OK"/>
    <x v="0"/>
    <d v="2025-10-27T00:00:00"/>
    <m/>
    <d v="2025-10-27T00:00:00"/>
    <x v="0"/>
    <m/>
    <x v="1"/>
    <n v="5"/>
    <s v="Não"/>
    <n v="0"/>
    <n v="0"/>
    <n v="1"/>
    <s v="Não"/>
    <s v="Não"/>
    <s v="Sim"/>
    <s v=""/>
    <b v="0"/>
  </r>
  <r>
    <x v="181"/>
    <x v="0"/>
    <x v="27"/>
    <x v="4"/>
    <n v="4"/>
    <x v="4"/>
    <x v="4"/>
    <s v="DocNum - 46482264"/>
    <m/>
    <m/>
    <x v="0"/>
    <d v="2025-10-27T00:00:00"/>
    <m/>
    <d v="2025-10-28T00:00:00"/>
    <x v="0"/>
    <m/>
    <x v="1"/>
    <n v="5"/>
    <s v="Não"/>
    <n v="0"/>
    <n v="0"/>
    <n v="1"/>
    <s v="Não"/>
    <s v="Não"/>
    <s v="Sim"/>
    <s v=""/>
    <b v="0"/>
  </r>
  <r>
    <x v="182"/>
    <x v="0"/>
    <x v="27"/>
    <x v="5"/>
    <n v="5"/>
    <x v="5"/>
    <x v="5"/>
    <s v="DocNum - 46482264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183"/>
    <x v="1"/>
    <x v="27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84"/>
    <x v="0"/>
    <x v="28"/>
    <x v="0"/>
    <n v="1"/>
    <x v="0"/>
    <x v="6"/>
    <n v="60668343"/>
    <m/>
    <m/>
    <x v="0"/>
    <d v="2025-11-03T00:00:00"/>
    <m/>
    <d v="2025-11-03T00:00:00"/>
    <x v="0"/>
    <m/>
    <x v="1"/>
    <n v="5"/>
    <s v="Não"/>
    <n v="0"/>
    <n v="0"/>
    <n v="1"/>
    <s v="Não"/>
    <s v="Não"/>
    <s v="Sim"/>
    <s v=""/>
    <b v="0"/>
  </r>
  <r>
    <x v="185"/>
    <x v="0"/>
    <x v="28"/>
    <x v="1"/>
    <n v="2"/>
    <x v="1"/>
    <x v="1"/>
    <n v="60668343"/>
    <m/>
    <m/>
    <x v="0"/>
    <d v="2025-10-31T00:00:00"/>
    <m/>
    <d v="2025-10-31T00:00:00"/>
    <x v="0"/>
    <m/>
    <x v="1"/>
    <n v="5"/>
    <s v="Não"/>
    <n v="0"/>
    <n v="0"/>
    <n v="1"/>
    <s v="Não"/>
    <s v="Não"/>
    <s v="Sim"/>
    <s v=""/>
    <b v="0"/>
  </r>
  <r>
    <x v="186"/>
    <x v="0"/>
    <x v="28"/>
    <x v="3"/>
    <n v="3"/>
    <x v="3"/>
    <x v="6"/>
    <s v="DocNum - 46482343"/>
    <m/>
    <m/>
    <x v="0"/>
    <d v="2025-11-03T00:00:00"/>
    <m/>
    <d v="2025-11-03T00:00:00"/>
    <x v="0"/>
    <m/>
    <x v="1"/>
    <n v="5"/>
    <s v="Não"/>
    <n v="0"/>
    <n v="0"/>
    <n v="1"/>
    <s v="Não"/>
    <s v="Não"/>
    <s v="Sim"/>
    <s v=""/>
    <b v="0"/>
  </r>
  <r>
    <x v="187"/>
    <x v="0"/>
    <x v="28"/>
    <x v="4"/>
    <n v="4"/>
    <x v="4"/>
    <x v="4"/>
    <s v="DocNum - 46482343"/>
    <m/>
    <m/>
    <x v="0"/>
    <d v="2025-11-11T00:00:00"/>
    <m/>
    <d v="2025-11-11T00:00:00"/>
    <x v="0"/>
    <m/>
    <x v="1"/>
    <n v="5"/>
    <s v="Não"/>
    <n v="0"/>
    <n v="0"/>
    <n v="1"/>
    <s v="Não"/>
    <s v="Não"/>
    <s v="Sim"/>
    <s v=""/>
    <b v="0"/>
  </r>
  <r>
    <x v="188"/>
    <x v="0"/>
    <x v="28"/>
    <x v="5"/>
    <n v="5"/>
    <x v="5"/>
    <x v="5"/>
    <s v="DocNum - 46482343"/>
    <m/>
    <m/>
    <x v="0"/>
    <d v="2025-12-11T00:00:00"/>
    <m/>
    <d v="2025-12-11T00:00:00"/>
    <x v="0"/>
    <m/>
    <x v="1"/>
    <n v="5"/>
    <s v="Não"/>
    <n v="0"/>
    <n v="0"/>
    <n v="1"/>
    <s v="Não"/>
    <s v="Não"/>
    <s v="Sim"/>
    <s v=""/>
    <b v="0"/>
  </r>
  <r>
    <x v="189"/>
    <x v="1"/>
    <x v="28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90"/>
    <x v="0"/>
    <x v="29"/>
    <x v="0"/>
    <n v="1"/>
    <x v="0"/>
    <x v="6"/>
    <n v="60668344"/>
    <m/>
    <m/>
    <x v="0"/>
    <d v="2025-10-30T00:00:00"/>
    <m/>
    <d v="2025-10-30T00:00:00"/>
    <x v="0"/>
    <m/>
    <x v="1"/>
    <n v="5"/>
    <s v="Não"/>
    <n v="0"/>
    <n v="0"/>
    <n v="1"/>
    <s v="Não"/>
    <s v="Não"/>
    <s v="Sim"/>
    <s v=""/>
    <b v="0"/>
  </r>
  <r>
    <x v="191"/>
    <x v="0"/>
    <x v="29"/>
    <x v="1"/>
    <n v="2"/>
    <x v="1"/>
    <x v="1"/>
    <n v="60668344"/>
    <m/>
    <m/>
    <x v="0"/>
    <d v="2025-10-31T00:00:00"/>
    <m/>
    <d v="2025-10-31T00:00:00"/>
    <x v="0"/>
    <m/>
    <x v="1"/>
    <n v="5"/>
    <s v="Não"/>
    <n v="0"/>
    <n v="0"/>
    <n v="1"/>
    <s v="Não"/>
    <s v="Não"/>
    <s v="Sim"/>
    <s v=""/>
    <b v="0"/>
  </r>
  <r>
    <x v="192"/>
    <x v="0"/>
    <x v="29"/>
    <x v="3"/>
    <n v="3"/>
    <x v="3"/>
    <x v="6"/>
    <s v="DocNum - 46482344"/>
    <m/>
    <m/>
    <x v="0"/>
    <d v="2025-11-03T00:00:00"/>
    <m/>
    <d v="2025-11-03T00:00:00"/>
    <x v="18"/>
    <m/>
    <x v="1"/>
    <n v="5"/>
    <s v="Não"/>
    <n v="0"/>
    <n v="0"/>
    <n v="1"/>
    <s v="Não"/>
    <s v="Não"/>
    <s v="Sim"/>
    <s v=""/>
    <b v="0"/>
  </r>
  <r>
    <x v="193"/>
    <x v="0"/>
    <x v="29"/>
    <x v="4"/>
    <n v="4"/>
    <x v="4"/>
    <x v="4"/>
    <s v="DocNum - 46482344"/>
    <m/>
    <m/>
    <x v="0"/>
    <d v="2025-11-11T00:00:00"/>
    <m/>
    <d v="2025-11-11T00:00:00"/>
    <x v="0"/>
    <m/>
    <x v="1"/>
    <n v="5"/>
    <s v="Não"/>
    <n v="0"/>
    <n v="0"/>
    <n v="1"/>
    <s v="Não"/>
    <s v="Não"/>
    <s v="Sim"/>
    <s v=""/>
    <b v="0"/>
  </r>
  <r>
    <x v="194"/>
    <x v="0"/>
    <x v="29"/>
    <x v="5"/>
    <n v="5"/>
    <x v="5"/>
    <x v="5"/>
    <s v="DocNum - 46482344"/>
    <m/>
    <m/>
    <x v="0"/>
    <d v="2025-12-11T00:00:00"/>
    <m/>
    <d v="2025-12-11T00:00:00"/>
    <x v="0"/>
    <m/>
    <x v="1"/>
    <n v="5"/>
    <s v="Não"/>
    <n v="0"/>
    <n v="0"/>
    <n v="1"/>
    <s v="Não"/>
    <s v="Não"/>
    <s v="Sim"/>
    <s v=""/>
    <b v="0"/>
  </r>
  <r>
    <x v="195"/>
    <x v="1"/>
    <x v="29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196"/>
    <x v="0"/>
    <x v="30"/>
    <x v="9"/>
    <n v="1"/>
    <x v="9"/>
    <x v="0"/>
    <n v="4501888991"/>
    <m/>
    <s v="OK"/>
    <x v="0"/>
    <d v="2025-10-11T00:00:00"/>
    <m/>
    <d v="2025-10-11T00:00:00"/>
    <x v="0"/>
    <m/>
    <x v="2"/>
    <n v="31"/>
    <s v="Não"/>
    <n v="0"/>
    <n v="0"/>
    <n v="1"/>
    <s v="Não"/>
    <s v="Não"/>
    <s v="Sim"/>
    <s v=""/>
    <b v="0"/>
  </r>
  <r>
    <x v="197"/>
    <x v="0"/>
    <x v="30"/>
    <x v="10"/>
    <n v="2"/>
    <x v="10"/>
    <x v="0"/>
    <n v="15603682"/>
    <s v="BEP: 15577293"/>
    <s v="OK"/>
    <x v="0"/>
    <d v="2025-10-11T00:00:00"/>
    <m/>
    <d v="2025-10-11T00:00:00"/>
    <x v="0"/>
    <m/>
    <x v="2"/>
    <n v="31"/>
    <s v="Não"/>
    <n v="0"/>
    <n v="0"/>
    <n v="1"/>
    <s v="Não"/>
    <s v="Não"/>
    <s v="Sim"/>
    <s v=""/>
    <b v="0"/>
  </r>
  <r>
    <x v="198"/>
    <x v="0"/>
    <x v="30"/>
    <x v="11"/>
    <n v="3"/>
    <x v="11"/>
    <x v="1"/>
    <n v="15603682"/>
    <s v="BEP: 15577293"/>
    <s v="OK"/>
    <x v="0"/>
    <d v="2025-10-11T00:00:00"/>
    <m/>
    <d v="2025-10-11T00:00:00"/>
    <x v="0"/>
    <m/>
    <x v="2"/>
    <n v="31"/>
    <s v="Não"/>
    <n v="0"/>
    <n v="0"/>
    <n v="1"/>
    <s v="Não"/>
    <s v="Não"/>
    <s v="Sim"/>
    <s v=""/>
    <b v="0"/>
  </r>
  <r>
    <x v="199"/>
    <x v="0"/>
    <x v="30"/>
    <x v="12"/>
    <n v="4"/>
    <x v="12"/>
    <x v="3"/>
    <m/>
    <m/>
    <m/>
    <x v="0"/>
    <d v="2025-11-10T00:00:00"/>
    <m/>
    <d v="2025-11-10T00:00:00"/>
    <x v="0"/>
    <m/>
    <x v="2"/>
    <n v="31"/>
    <s v="Não"/>
    <n v="0"/>
    <n v="0"/>
    <n v="1"/>
    <s v="Não"/>
    <s v="Não"/>
    <s v="Sim"/>
    <s v=""/>
    <b v="0"/>
  </r>
  <r>
    <x v="200"/>
    <x v="0"/>
    <x v="30"/>
    <x v="13"/>
    <n v="5"/>
    <x v="13"/>
    <x v="3"/>
    <n v="575216"/>
    <m/>
    <m/>
    <x v="0"/>
    <d v="2025-11-10T00:00:00"/>
    <m/>
    <d v="2025-11-10T00:00:00"/>
    <x v="0"/>
    <m/>
    <x v="2"/>
    <n v="31"/>
    <s v="Não"/>
    <n v="0"/>
    <n v="0"/>
    <n v="1"/>
    <s v="Não"/>
    <s v="Não"/>
    <s v="Sim"/>
    <s v=""/>
    <b v="0"/>
  </r>
  <r>
    <x v="201"/>
    <x v="0"/>
    <x v="30"/>
    <x v="14"/>
    <n v="6"/>
    <x v="14"/>
    <x v="3"/>
    <n v="811951493"/>
    <m/>
    <m/>
    <x v="0"/>
    <d v="2025-11-10T00:00:00"/>
    <m/>
    <d v="2025-11-10T00:00:00"/>
    <x v="0"/>
    <m/>
    <x v="2"/>
    <n v="31"/>
    <s v="Não"/>
    <n v="0"/>
    <n v="0"/>
    <n v="1"/>
    <s v="Não"/>
    <s v="Não"/>
    <s v="Sim"/>
    <s v=""/>
    <b v="0"/>
  </r>
  <r>
    <x v="202"/>
    <x v="0"/>
    <x v="30"/>
    <x v="15"/>
    <n v="7"/>
    <x v="15"/>
    <x v="3"/>
    <n v="11476964"/>
    <m/>
    <m/>
    <x v="0"/>
    <d v="2025-11-10T00:00:00"/>
    <m/>
    <d v="2025-11-10T00:00:00"/>
    <x v="0"/>
    <m/>
    <x v="2"/>
    <n v="31"/>
    <s v="Não"/>
    <n v="0"/>
    <n v="0"/>
    <n v="1"/>
    <s v="Não"/>
    <s v="Não"/>
    <s v="Sim"/>
    <s v=""/>
    <b v="0"/>
  </r>
  <r>
    <x v="203"/>
    <x v="0"/>
    <x v="30"/>
    <x v="16"/>
    <n v="8"/>
    <x v="16"/>
    <x v="3"/>
    <n v="11476964"/>
    <m/>
    <m/>
    <x v="0"/>
    <d v="2025-11-10T00:00:00"/>
    <m/>
    <d v="2025-11-10T00:00:00"/>
    <x v="0"/>
    <m/>
    <x v="2"/>
    <n v="31"/>
    <s v="Não"/>
    <n v="0"/>
    <n v="0"/>
    <n v="1"/>
    <s v="Não"/>
    <s v="Não"/>
    <s v="Sim"/>
    <s v=""/>
    <b v="0"/>
  </r>
  <r>
    <x v="204"/>
    <x v="0"/>
    <x v="30"/>
    <x v="17"/>
    <n v="9"/>
    <x v="17"/>
    <x v="3"/>
    <n v="11476964"/>
    <m/>
    <m/>
    <x v="0"/>
    <d v="2025-11-10T00:00:00"/>
    <m/>
    <d v="2025-11-10T00:00:00"/>
    <x v="0"/>
    <m/>
    <x v="2"/>
    <n v="31"/>
    <s v="Não"/>
    <n v="0"/>
    <n v="0"/>
    <n v="1"/>
    <s v="Não"/>
    <s v="Não"/>
    <s v="Sim"/>
    <s v=""/>
    <b v="0"/>
  </r>
  <r>
    <x v="205"/>
    <x v="0"/>
    <x v="30"/>
    <x v="18"/>
    <n v="10"/>
    <x v="18"/>
    <x v="3"/>
    <n v="11476964"/>
    <m/>
    <m/>
    <x v="0"/>
    <d v="2025-11-10T00:00:00"/>
    <m/>
    <d v="2025-11-10T00:00:00"/>
    <x v="0"/>
    <m/>
    <x v="2"/>
    <n v="31"/>
    <s v="Não"/>
    <n v="0"/>
    <n v="0"/>
    <n v="1"/>
    <s v="Não"/>
    <s v="Não"/>
    <s v="Sim"/>
    <s v=""/>
    <b v="0"/>
  </r>
  <r>
    <x v="206"/>
    <x v="0"/>
    <x v="30"/>
    <x v="19"/>
    <n v="11"/>
    <x v="19"/>
    <x v="3"/>
    <n v="11476964"/>
    <m/>
    <m/>
    <x v="0"/>
    <d v="2025-11-10T00:00:00"/>
    <m/>
    <d v="2025-11-10T00:00:00"/>
    <x v="0"/>
    <m/>
    <x v="2"/>
    <n v="31"/>
    <s v="Não"/>
    <n v="0"/>
    <n v="0"/>
    <n v="1"/>
    <s v="Não"/>
    <s v="Não"/>
    <s v="Sim"/>
    <s v=""/>
    <b v="0"/>
  </r>
  <r>
    <x v="207"/>
    <x v="0"/>
    <x v="30"/>
    <x v="20"/>
    <n v="12"/>
    <x v="20"/>
    <x v="3"/>
    <n v="11476964"/>
    <m/>
    <m/>
    <x v="0"/>
    <d v="2025-11-10T00:00:00"/>
    <m/>
    <d v="2025-11-10T00:00:00"/>
    <x v="0"/>
    <m/>
    <x v="2"/>
    <n v="31"/>
    <s v="Não"/>
    <n v="0"/>
    <n v="0"/>
    <n v="1"/>
    <s v="Não"/>
    <s v="Não"/>
    <s v="Sim"/>
    <s v=""/>
    <b v="0"/>
  </r>
  <r>
    <x v="208"/>
    <x v="0"/>
    <x v="30"/>
    <x v="21"/>
    <n v="13"/>
    <x v="21"/>
    <x v="3"/>
    <s v="DocNum - 46482377"/>
    <m/>
    <m/>
    <x v="0"/>
    <d v="2025-11-10T00:00:00"/>
    <m/>
    <d v="2025-11-10T00:00:00"/>
    <x v="0"/>
    <m/>
    <x v="2"/>
    <n v="31"/>
    <s v="Não"/>
    <n v="0"/>
    <n v="0"/>
    <n v="1"/>
    <s v="Não"/>
    <s v="Não"/>
    <s v="Sim"/>
    <s v=""/>
    <b v="0"/>
  </r>
  <r>
    <x v="209"/>
    <x v="0"/>
    <x v="30"/>
    <x v="22"/>
    <n v="14"/>
    <x v="22"/>
    <x v="4"/>
    <s v="DocNum - 46482377"/>
    <m/>
    <m/>
    <x v="0"/>
    <d v="2025-11-11T00:00:00"/>
    <m/>
    <d v="2025-11-11T00:00:00"/>
    <x v="0"/>
    <m/>
    <x v="2"/>
    <n v="31"/>
    <s v="Não"/>
    <n v="0"/>
    <n v="0"/>
    <n v="1"/>
    <s v="Não"/>
    <s v="Não"/>
    <s v="Sim"/>
    <s v=""/>
    <b v="0"/>
  </r>
  <r>
    <x v="210"/>
    <x v="0"/>
    <x v="30"/>
    <x v="23"/>
    <n v="15"/>
    <x v="23"/>
    <x v="3"/>
    <n v="4705847548"/>
    <m/>
    <m/>
    <x v="0"/>
    <d v="2025-11-11T00:00:00"/>
    <m/>
    <d v="2025-11-11T00:00:00"/>
    <x v="0"/>
    <m/>
    <x v="2"/>
    <n v="31"/>
    <s v="Não"/>
    <n v="0"/>
    <n v="0"/>
    <n v="1"/>
    <s v="Não"/>
    <s v="Não"/>
    <s v="Sim"/>
    <s v=""/>
    <b v="0"/>
  </r>
  <r>
    <x v="211"/>
    <x v="0"/>
    <x v="30"/>
    <x v="24"/>
    <n v="16"/>
    <x v="24"/>
    <x v="3"/>
    <n v="11476964"/>
    <m/>
    <m/>
    <x v="0"/>
    <d v="2025-11-11T00:00:00"/>
    <m/>
    <d v="2025-11-11T00:00:00"/>
    <x v="0"/>
    <m/>
    <x v="2"/>
    <n v="31"/>
    <s v="Não"/>
    <n v="0"/>
    <n v="0"/>
    <n v="1"/>
    <s v="Não"/>
    <s v="Não"/>
    <s v="Sim"/>
    <s v=""/>
    <b v="0"/>
  </r>
  <r>
    <x v="212"/>
    <x v="0"/>
    <x v="30"/>
    <x v="25"/>
    <n v="17"/>
    <x v="25"/>
    <x v="7"/>
    <s v="MIGO - 5026020565"/>
    <m/>
    <m/>
    <x v="0"/>
    <d v="2025-11-13T00:00:00"/>
    <m/>
    <d v="2025-11-13T00:00:00"/>
    <x v="0"/>
    <m/>
    <x v="2"/>
    <n v="31"/>
    <s v="Não"/>
    <n v="0"/>
    <n v="0"/>
    <n v="1"/>
    <s v="Não"/>
    <s v="Não"/>
    <s v="Sim"/>
    <s v=""/>
    <b v="0"/>
  </r>
  <r>
    <x v="213"/>
    <x v="0"/>
    <x v="30"/>
    <x v="26"/>
    <n v="18"/>
    <x v="26"/>
    <x v="7"/>
    <s v="Doc Num - 46482415"/>
    <m/>
    <m/>
    <x v="0"/>
    <d v="2025-11-13T00:00:00"/>
    <m/>
    <d v="2025-11-13T00:00:00"/>
    <x v="0"/>
    <m/>
    <x v="2"/>
    <n v="31"/>
    <s v="Não"/>
    <n v="0"/>
    <n v="0"/>
    <n v="1"/>
    <s v="Não"/>
    <s v="Não"/>
    <s v="Sim"/>
    <s v=""/>
    <b v="0"/>
  </r>
  <r>
    <x v="214"/>
    <x v="0"/>
    <x v="30"/>
    <x v="27"/>
    <n v="19"/>
    <x v="27"/>
    <x v="3"/>
    <s v="Doc Entrada 5026020565"/>
    <m/>
    <m/>
    <x v="0"/>
    <d v="2025-11-13T00:00:00"/>
    <m/>
    <d v="2025-11-13T00:00:00"/>
    <x v="19"/>
    <m/>
    <x v="2"/>
    <n v="31"/>
    <s v="Não"/>
    <n v="0"/>
    <n v="0"/>
    <n v="1"/>
    <s v="Não"/>
    <s v="Não"/>
    <s v="Sim"/>
    <s v=""/>
    <b v="0"/>
  </r>
  <r>
    <x v="215"/>
    <x v="0"/>
    <x v="30"/>
    <x v="28"/>
    <n v="20"/>
    <x v="28"/>
    <x v="4"/>
    <s v="Doc Num - 46482415"/>
    <m/>
    <m/>
    <x v="0"/>
    <d v="2025-11-17T00:00:00"/>
    <m/>
    <d v="2025-11-17T00:00:00"/>
    <x v="0"/>
    <m/>
    <x v="2"/>
    <n v="31"/>
    <s v="Não"/>
    <n v="0"/>
    <n v="0"/>
    <n v="1"/>
    <s v="Não"/>
    <s v="Não"/>
    <s v="Sim"/>
    <s v=""/>
    <b v="0"/>
  </r>
  <r>
    <x v="216"/>
    <x v="0"/>
    <x v="30"/>
    <x v="29"/>
    <n v="21"/>
    <x v="29"/>
    <x v="0"/>
    <n v="15603700"/>
    <m/>
    <m/>
    <x v="0"/>
    <d v="2025-11-19T00:00:00"/>
    <m/>
    <d v="2025-11-19T00:00:00"/>
    <x v="0"/>
    <m/>
    <x v="2"/>
    <n v="31"/>
    <s v="Não"/>
    <n v="0"/>
    <n v="0"/>
    <n v="1"/>
    <s v="Não"/>
    <s v="Não"/>
    <s v="Sim"/>
    <s v=""/>
    <b v="0"/>
  </r>
  <r>
    <x v="217"/>
    <x v="0"/>
    <x v="30"/>
    <x v="30"/>
    <n v="22"/>
    <x v="30"/>
    <x v="1"/>
    <n v="15603700"/>
    <m/>
    <m/>
    <x v="0"/>
    <d v="2025-11-19T00:00:00"/>
    <m/>
    <d v="2025-11-19T00:00:00"/>
    <x v="0"/>
    <m/>
    <x v="2"/>
    <n v="31"/>
    <s v="Não"/>
    <n v="0"/>
    <n v="0"/>
    <n v="1"/>
    <s v="Não"/>
    <s v="Não"/>
    <s v="Sim"/>
    <s v=""/>
    <b v="0"/>
  </r>
  <r>
    <x v="218"/>
    <x v="0"/>
    <x v="30"/>
    <x v="31"/>
    <n v="23"/>
    <x v="31"/>
    <x v="3"/>
    <n v="811951536"/>
    <m/>
    <m/>
    <x v="0"/>
    <d v="2025-11-21T00:00:00"/>
    <m/>
    <d v="2025-11-21T00:00:00"/>
    <x v="0"/>
    <m/>
    <x v="2"/>
    <n v="31"/>
    <s v="Não"/>
    <n v="0"/>
    <n v="0"/>
    <n v="1"/>
    <s v="Não"/>
    <s v="Não"/>
    <s v="Sim"/>
    <s v=""/>
    <b v="0"/>
  </r>
  <r>
    <x v="219"/>
    <x v="0"/>
    <x v="30"/>
    <x v="32"/>
    <n v="24"/>
    <x v="32"/>
    <x v="3"/>
    <n v="811951536"/>
    <m/>
    <m/>
    <x v="0"/>
    <d v="2025-11-21T00:00:00"/>
    <m/>
    <d v="2025-11-21T00:00:00"/>
    <x v="0"/>
    <m/>
    <x v="2"/>
    <n v="31"/>
    <s v="Não"/>
    <n v="0"/>
    <n v="0"/>
    <n v="1"/>
    <s v="Não"/>
    <s v="Não"/>
    <s v="Sim"/>
    <s v=""/>
    <b v="0"/>
  </r>
  <r>
    <x v="220"/>
    <x v="0"/>
    <x v="30"/>
    <x v="33"/>
    <n v="25"/>
    <x v="33"/>
    <x v="3"/>
    <n v="4952459608"/>
    <m/>
    <m/>
    <x v="0"/>
    <d v="2025-11-21T00:00:00"/>
    <m/>
    <d v="2025-11-21T00:00:00"/>
    <x v="0"/>
    <m/>
    <x v="2"/>
    <n v="31"/>
    <s v="Não"/>
    <n v="0"/>
    <n v="0"/>
    <n v="1"/>
    <s v="Não"/>
    <s v="Não"/>
    <s v="Sim"/>
    <s v=""/>
    <b v="0"/>
  </r>
  <r>
    <x v="221"/>
    <x v="0"/>
    <x v="30"/>
    <x v="34"/>
    <n v="26"/>
    <x v="34"/>
    <x v="3"/>
    <s v="Doc Num - 46482513"/>
    <m/>
    <m/>
    <x v="0"/>
    <d v="2025-11-21T00:00:00"/>
    <m/>
    <d v="2025-11-21T00:00:00"/>
    <x v="0"/>
    <m/>
    <x v="2"/>
    <n v="31"/>
    <s v="Não"/>
    <n v="0"/>
    <n v="0"/>
    <n v="1"/>
    <s v="Não"/>
    <s v="Não"/>
    <s v="Sim"/>
    <s v=""/>
    <b v="0"/>
  </r>
  <r>
    <x v="222"/>
    <x v="0"/>
    <x v="30"/>
    <x v="35"/>
    <n v="27"/>
    <x v="35"/>
    <x v="3"/>
    <n v="811951536"/>
    <m/>
    <m/>
    <x v="0"/>
    <d v="2025-11-21T00:00:00"/>
    <m/>
    <d v="2025-11-21T00:00:00"/>
    <x v="0"/>
    <m/>
    <x v="2"/>
    <n v="31"/>
    <s v="Não"/>
    <n v="0"/>
    <n v="0"/>
    <n v="1"/>
    <s v="Não"/>
    <s v="Não"/>
    <s v="Sim"/>
    <s v=""/>
    <b v="0"/>
  </r>
  <r>
    <x v="223"/>
    <x v="0"/>
    <x v="30"/>
    <x v="36"/>
    <n v="28"/>
    <x v="36"/>
    <x v="3"/>
    <s v="Doc Num - 46482513"/>
    <m/>
    <m/>
    <x v="0"/>
    <d v="2025-11-21T00:00:00"/>
    <m/>
    <d v="2025-11-21T00:00:00"/>
    <x v="0"/>
    <m/>
    <x v="2"/>
    <n v="31"/>
    <s v="Não"/>
    <n v="0"/>
    <n v="0"/>
    <n v="1"/>
    <s v="Não"/>
    <s v="Não"/>
    <s v="Sim"/>
    <s v=""/>
    <b v="0"/>
  </r>
  <r>
    <x v="224"/>
    <x v="0"/>
    <x v="30"/>
    <x v="37"/>
    <n v="29"/>
    <x v="37"/>
    <x v="4"/>
    <s v="Doc Num - 46482513"/>
    <m/>
    <m/>
    <x v="0"/>
    <d v="2025-11-25T00:00:00"/>
    <m/>
    <d v="2025-11-25T00:00:00"/>
    <x v="0"/>
    <m/>
    <x v="2"/>
    <n v="31"/>
    <s v="Não"/>
    <n v="0"/>
    <n v="0"/>
    <n v="1"/>
    <s v="Não"/>
    <s v="Não"/>
    <s v="Sim"/>
    <s v=""/>
    <b v="0"/>
  </r>
  <r>
    <x v="225"/>
    <x v="0"/>
    <x v="30"/>
    <x v="38"/>
    <n v="30"/>
    <x v="38"/>
    <x v="5"/>
    <s v="Doc Num - 46482513"/>
    <m/>
    <m/>
    <x v="0"/>
    <d v="2025-11-25T00:00:00"/>
    <m/>
    <d v="2025-11-25T00:00:00"/>
    <x v="0"/>
    <m/>
    <x v="2"/>
    <n v="31"/>
    <s v="Não"/>
    <n v="0"/>
    <n v="0"/>
    <n v="1"/>
    <s v="Não"/>
    <s v="Não"/>
    <s v="Sim"/>
    <s v=""/>
    <b v="0"/>
  </r>
  <r>
    <x v="226"/>
    <x v="0"/>
    <x v="30"/>
    <x v="39"/>
    <n v="31"/>
    <x v="39"/>
    <x v="4"/>
    <m/>
    <m/>
    <m/>
    <x v="1"/>
    <m/>
    <m/>
    <m/>
    <x v="0"/>
    <m/>
    <x v="2"/>
    <n v="31"/>
    <s v="Não"/>
    <n v="0"/>
    <n v="0"/>
    <n v="1"/>
    <s v="Não"/>
    <s v="Não"/>
    <s v="Sim"/>
    <s v=""/>
    <b v="0"/>
  </r>
  <r>
    <x v="227"/>
    <x v="0"/>
    <x v="30"/>
    <x v="7"/>
    <n v="32"/>
    <x v="7"/>
    <x v="2"/>
    <n v="15603700"/>
    <m/>
    <m/>
    <x v="0"/>
    <d v="2025-11-25T00:00:00"/>
    <m/>
    <d v="2025-11-25T00:00:00"/>
    <x v="0"/>
    <m/>
    <x v="2"/>
    <n v="31"/>
    <s v="Não"/>
    <n v="0"/>
    <n v="0"/>
    <n v="1"/>
    <s v="Não"/>
    <s v="Não"/>
    <s v="Sim"/>
    <s v=""/>
    <b v="0"/>
  </r>
  <r>
    <x v="228"/>
    <x v="0"/>
    <x v="31"/>
    <x v="40"/>
    <n v="1"/>
    <x v="40"/>
    <x v="3"/>
    <s v="DocNum - 46482205"/>
    <s v="NT"/>
    <m/>
    <x v="0"/>
    <d v="2025-10-17T00:00:00"/>
    <m/>
    <d v="2025-10-17T00:00:00"/>
    <x v="0"/>
    <m/>
    <x v="3"/>
    <n v="3"/>
    <s v="Não"/>
    <n v="0"/>
    <n v="0"/>
    <n v="1"/>
    <s v="Não"/>
    <s v="Não"/>
    <s v="Sim"/>
    <s v=""/>
    <b v="0"/>
  </r>
  <r>
    <x v="229"/>
    <x v="0"/>
    <x v="31"/>
    <x v="4"/>
    <n v="2"/>
    <x v="8"/>
    <x v="4"/>
    <s v="DocNum - 46482205"/>
    <m/>
    <m/>
    <x v="0"/>
    <d v="2025-10-17T00:00:00"/>
    <m/>
    <d v="2025-10-17T00:00:00"/>
    <x v="0"/>
    <m/>
    <x v="3"/>
    <n v="3"/>
    <s v="Não"/>
    <n v="0"/>
    <n v="0"/>
    <n v="1"/>
    <s v="Não"/>
    <s v="Não"/>
    <s v="Sim"/>
    <s v=""/>
    <b v="0"/>
  </r>
  <r>
    <x v="230"/>
    <x v="0"/>
    <x v="31"/>
    <x v="5"/>
    <n v="3"/>
    <x v="5"/>
    <x v="5"/>
    <s v="DocNum - 46482205"/>
    <m/>
    <m/>
    <x v="0"/>
    <d v="2025-10-20T00:00:00"/>
    <m/>
    <d v="2025-10-20T00:00:00"/>
    <x v="0"/>
    <m/>
    <x v="3"/>
    <n v="3"/>
    <s v="Não"/>
    <n v="0"/>
    <n v="0"/>
    <n v="1"/>
    <s v="Não"/>
    <s v="Não"/>
    <s v="Sim"/>
    <s v=""/>
    <b v="0"/>
  </r>
  <r>
    <x v="231"/>
    <x v="1"/>
    <x v="31"/>
    <x v="6"/>
    <n v="4"/>
    <x v="6"/>
    <x v="4"/>
    <m/>
    <m/>
    <m/>
    <x v="1"/>
    <m/>
    <m/>
    <m/>
    <x v="0"/>
    <m/>
    <x v="3"/>
    <n v="3"/>
    <s v="Não"/>
    <n v="0"/>
    <n v="0"/>
    <n v="1"/>
    <s v="Não"/>
    <s v="Não"/>
    <s v="Sim"/>
    <s v=""/>
    <b v="0"/>
  </r>
  <r>
    <x v="232"/>
    <x v="0"/>
    <x v="32"/>
    <x v="40"/>
    <n v="5"/>
    <x v="40"/>
    <x v="3"/>
    <s v="DocNum - 46482498"/>
    <m/>
    <m/>
    <x v="0"/>
    <d v="2025-11-19T00:00:00"/>
    <m/>
    <d v="2025-11-19T00:00:00"/>
    <x v="0"/>
    <m/>
    <x v="3"/>
    <n v="3"/>
    <s v="Não"/>
    <n v="0"/>
    <n v="0"/>
    <n v="1"/>
    <s v="Não"/>
    <s v="Não"/>
    <s v="Sim"/>
    <s v=""/>
    <b v="0"/>
  </r>
  <r>
    <x v="233"/>
    <x v="0"/>
    <x v="32"/>
    <x v="4"/>
    <n v="6"/>
    <x v="8"/>
    <x v="4"/>
    <s v="DocNum - 46482498"/>
    <m/>
    <m/>
    <x v="0"/>
    <d v="2025-11-25T00:00:00"/>
    <m/>
    <d v="2025-11-25T00:00:00"/>
    <x v="0"/>
    <m/>
    <x v="3"/>
    <n v="3"/>
    <s v="Não"/>
    <n v="0"/>
    <n v="0"/>
    <n v="1"/>
    <s v="Não"/>
    <s v="Não"/>
    <s v="Sim"/>
    <s v=""/>
    <b v="0"/>
  </r>
  <r>
    <x v="234"/>
    <x v="0"/>
    <x v="32"/>
    <x v="5"/>
    <n v="7"/>
    <x v="5"/>
    <x v="5"/>
    <s v="DocNum - 46482498"/>
    <m/>
    <m/>
    <x v="0"/>
    <d v="2025-11-25T00:00:00"/>
    <m/>
    <d v="2025-11-25T00:00:00"/>
    <x v="0"/>
    <m/>
    <x v="3"/>
    <n v="3"/>
    <s v="Não"/>
    <n v="0"/>
    <n v="0"/>
    <n v="1"/>
    <s v="Não"/>
    <s v="Não"/>
    <s v="Sim"/>
    <s v=""/>
    <b v="0"/>
  </r>
  <r>
    <x v="235"/>
    <x v="1"/>
    <x v="32"/>
    <x v="6"/>
    <n v="8"/>
    <x v="6"/>
    <x v="4"/>
    <m/>
    <m/>
    <m/>
    <x v="1"/>
    <m/>
    <m/>
    <m/>
    <x v="0"/>
    <m/>
    <x v="3"/>
    <n v="3"/>
    <s v="Não"/>
    <n v="0"/>
    <n v="0"/>
    <n v="1"/>
    <s v="Não"/>
    <s v="Não"/>
    <s v="Sim"/>
    <s v=""/>
    <b v="0"/>
  </r>
  <r>
    <x v="236"/>
    <x v="0"/>
    <x v="33"/>
    <x v="0"/>
    <n v="1"/>
    <x v="0"/>
    <x v="0"/>
    <n v="15603693"/>
    <s v="BEP: 15613977"/>
    <m/>
    <x v="0"/>
    <d v="2025-11-17T00:00:00"/>
    <m/>
    <d v="2025-11-17T00:00:00"/>
    <x v="20"/>
    <m/>
    <x v="0"/>
    <n v="7"/>
    <s v="Não"/>
    <n v="0"/>
    <n v="0"/>
    <n v="1"/>
    <s v="Não"/>
    <s v="Não"/>
    <s v="Sim"/>
    <s v=""/>
    <b v="0"/>
  </r>
  <r>
    <x v="237"/>
    <x v="0"/>
    <x v="33"/>
    <x v="1"/>
    <n v="2"/>
    <x v="1"/>
    <x v="1"/>
    <n v="15603693"/>
    <s v="BEP: 15613977"/>
    <m/>
    <x v="0"/>
    <d v="2025-11-19T00:00:00"/>
    <m/>
    <d v="2025-11-19T00:00:00"/>
    <x v="0"/>
    <m/>
    <x v="0"/>
    <n v="7"/>
    <s v="Não"/>
    <n v="0"/>
    <n v="0"/>
    <n v="1"/>
    <s v="Não"/>
    <s v="Não"/>
    <s v="Sim"/>
    <s v=""/>
    <b v="0"/>
  </r>
  <r>
    <x v="238"/>
    <x v="0"/>
    <x v="33"/>
    <x v="2"/>
    <n v="3"/>
    <x v="2"/>
    <x v="2"/>
    <n v="15603693"/>
    <s v="BEP: 15613977"/>
    <m/>
    <x v="0"/>
    <d v="2025-11-19T00:00:00"/>
    <m/>
    <d v="2025-11-19T00:00:00"/>
    <x v="0"/>
    <m/>
    <x v="0"/>
    <n v="7"/>
    <s v="Não"/>
    <n v="0"/>
    <n v="0"/>
    <n v="1"/>
    <s v="Não"/>
    <s v="Não"/>
    <s v="Sim"/>
    <s v=""/>
    <b v="0"/>
  </r>
  <r>
    <x v="239"/>
    <x v="0"/>
    <x v="33"/>
    <x v="3"/>
    <n v="4"/>
    <x v="3"/>
    <x v="3"/>
    <s v="DocNum - 46482499"/>
    <m/>
    <m/>
    <x v="0"/>
    <d v="2025-11-19T00:00:00"/>
    <m/>
    <d v="2025-11-19T00:00:00"/>
    <x v="0"/>
    <m/>
    <x v="0"/>
    <n v="7"/>
    <s v="Não"/>
    <n v="0"/>
    <n v="0"/>
    <n v="1"/>
    <s v="Não"/>
    <s v="Não"/>
    <s v="Sim"/>
    <s v=""/>
    <b v="0"/>
  </r>
  <r>
    <x v="240"/>
    <x v="0"/>
    <x v="33"/>
    <x v="8"/>
    <n v="5"/>
    <x v="8"/>
    <x v="4"/>
    <s v="DocNum - 46482499"/>
    <m/>
    <m/>
    <x v="0"/>
    <d v="2025-11-25T00:00:00"/>
    <m/>
    <d v="2025-11-25T00:00:00"/>
    <x v="0"/>
    <m/>
    <x v="0"/>
    <n v="7"/>
    <s v="Não"/>
    <n v="0"/>
    <n v="0"/>
    <n v="1"/>
    <s v="Não"/>
    <s v="Não"/>
    <s v="Sim"/>
    <s v=""/>
    <b v="0"/>
  </r>
  <r>
    <x v="241"/>
    <x v="0"/>
    <x v="33"/>
    <x v="5"/>
    <n v="6"/>
    <x v="5"/>
    <x v="5"/>
    <s v="DocNum - 46482499"/>
    <m/>
    <m/>
    <x v="0"/>
    <d v="2025-11-25T00:00:00"/>
    <m/>
    <d v="2025-11-25T00:00:00"/>
    <x v="0"/>
    <m/>
    <x v="0"/>
    <n v="7"/>
    <s v="Não"/>
    <n v="0"/>
    <n v="0"/>
    <n v="1"/>
    <s v="Não"/>
    <s v="Não"/>
    <s v="Sim"/>
    <s v=""/>
    <b v="0"/>
  </r>
  <r>
    <x v="242"/>
    <x v="1"/>
    <x v="33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243"/>
    <x v="2"/>
    <x v="33"/>
    <x v="7"/>
    <n v="8"/>
    <x v="7"/>
    <x v="2"/>
    <n v="15603693"/>
    <s v="BEP: 15613977"/>
    <m/>
    <x v="0"/>
    <d v="2025-11-25T00:00:00"/>
    <m/>
    <d v="2025-11-25T00:00:00"/>
    <x v="0"/>
    <m/>
    <x v="0"/>
    <n v="7"/>
    <s v="Não"/>
    <n v="0"/>
    <n v="0"/>
    <n v="1"/>
    <s v="Não"/>
    <s v="Não"/>
    <s v="Sim"/>
    <s v=""/>
    <b v="0"/>
  </r>
  <r>
    <x v="244"/>
    <x v="0"/>
    <x v="34"/>
    <x v="0"/>
    <n v="1"/>
    <x v="0"/>
    <x v="0"/>
    <n v="15603604"/>
    <s v="BEP:15578219"/>
    <s v="OK"/>
    <x v="0"/>
    <d v="2025-10-15T00:00:00"/>
    <m/>
    <d v="2025-10-15T00:00:00"/>
    <x v="0"/>
    <m/>
    <x v="0"/>
    <n v="7"/>
    <s v="Não"/>
    <n v="0"/>
    <n v="0"/>
    <n v="1"/>
    <s v="Não"/>
    <s v="Não"/>
    <s v="Sim"/>
    <s v=""/>
    <b v="0"/>
  </r>
  <r>
    <x v="245"/>
    <x v="0"/>
    <x v="34"/>
    <x v="1"/>
    <n v="2"/>
    <x v="1"/>
    <x v="1"/>
    <n v="15603604"/>
    <s v="BEP:15578219"/>
    <s v="OK"/>
    <x v="0"/>
    <d v="2025-10-15T00:00:00"/>
    <m/>
    <d v="2025-10-15T00:00:00"/>
    <x v="0"/>
    <m/>
    <x v="0"/>
    <n v="7"/>
    <s v="Não"/>
    <n v="0"/>
    <n v="0"/>
    <n v="1"/>
    <s v="Não"/>
    <s v="Não"/>
    <s v="Sim"/>
    <s v=""/>
    <b v="0"/>
  </r>
  <r>
    <x v="246"/>
    <x v="0"/>
    <x v="34"/>
    <x v="2"/>
    <n v="3"/>
    <x v="2"/>
    <x v="2"/>
    <n v="15603604"/>
    <s v="BEP:15578219"/>
    <s v="OK"/>
    <x v="0"/>
    <d v="2025-10-15T00:00:00"/>
    <m/>
    <d v="2025-10-15T00:00:00"/>
    <x v="0"/>
    <m/>
    <x v="0"/>
    <n v="7"/>
    <s v="Não"/>
    <n v="0"/>
    <n v="0"/>
    <n v="1"/>
    <s v="Não"/>
    <s v="Não"/>
    <s v="Sim"/>
    <s v=""/>
    <b v="0"/>
  </r>
  <r>
    <x v="247"/>
    <x v="0"/>
    <x v="34"/>
    <x v="3"/>
    <n v="4"/>
    <x v="3"/>
    <x v="3"/>
    <s v="DocNum - 46482187"/>
    <m/>
    <m/>
    <x v="0"/>
    <d v="2025-10-16T00:00:00"/>
    <m/>
    <d v="2025-10-16T00:00:00"/>
    <x v="0"/>
    <m/>
    <x v="0"/>
    <n v="7"/>
    <s v="Não"/>
    <n v="0"/>
    <n v="0"/>
    <n v="1"/>
    <s v="Não"/>
    <s v="Não"/>
    <s v="Sim"/>
    <s v=""/>
    <b v="0"/>
  </r>
  <r>
    <x v="248"/>
    <x v="0"/>
    <x v="34"/>
    <x v="4"/>
    <n v="5"/>
    <x v="8"/>
    <x v="4"/>
    <s v="DocNum - 46482187"/>
    <m/>
    <m/>
    <x v="0"/>
    <d v="2025-10-17T00:00:00"/>
    <m/>
    <d v="2025-10-17T00:00:00"/>
    <x v="0"/>
    <m/>
    <x v="0"/>
    <n v="7"/>
    <s v="Não"/>
    <n v="0"/>
    <n v="0"/>
    <n v="1"/>
    <s v="Não"/>
    <s v="Não"/>
    <s v="Sim"/>
    <s v=""/>
    <b v="0"/>
  </r>
  <r>
    <x v="249"/>
    <x v="0"/>
    <x v="34"/>
    <x v="5"/>
    <n v="6"/>
    <x v="5"/>
    <x v="5"/>
    <s v="DocNum - 46482187"/>
    <m/>
    <m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250"/>
    <x v="1"/>
    <x v="34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251"/>
    <x v="0"/>
    <x v="34"/>
    <x v="7"/>
    <n v="8"/>
    <x v="7"/>
    <x v="2"/>
    <n v="15603604"/>
    <s v="BEP:15578219"/>
    <s v="OK"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252"/>
    <x v="0"/>
    <x v="35"/>
    <x v="0"/>
    <n v="1"/>
    <x v="0"/>
    <x v="6"/>
    <n v="60668328"/>
    <m/>
    <m/>
    <x v="0"/>
    <d v="2025-10-28T00:00:00"/>
    <m/>
    <d v="2025-10-28T00:00:00"/>
    <x v="0"/>
    <m/>
    <x v="4"/>
    <n v="10"/>
    <s v="Não"/>
    <n v="0"/>
    <n v="0"/>
    <n v="2"/>
    <s v="Não"/>
    <s v="Não"/>
    <s v="Sim"/>
    <s v=""/>
    <b v="0"/>
  </r>
  <r>
    <x v="253"/>
    <x v="0"/>
    <x v="35"/>
    <x v="1"/>
    <n v="2"/>
    <x v="1"/>
    <x v="1"/>
    <n v="60668328"/>
    <m/>
    <m/>
    <x v="0"/>
    <d v="2025-10-28T00:00:00"/>
    <m/>
    <d v="2025-10-28T00:00:00"/>
    <x v="0"/>
    <m/>
    <x v="4"/>
    <n v="10"/>
    <s v="Não"/>
    <n v="0"/>
    <n v="0"/>
    <n v="2"/>
    <s v="Não"/>
    <s v="Não"/>
    <s v="Sim"/>
    <s v=""/>
    <b v="0"/>
  </r>
  <r>
    <x v="254"/>
    <x v="0"/>
    <x v="35"/>
    <x v="3"/>
    <n v="3"/>
    <x v="3"/>
    <x v="6"/>
    <s v="DocNum - 46482275"/>
    <m/>
    <m/>
    <x v="0"/>
    <d v="2025-10-28T00:00:00"/>
    <m/>
    <d v="2025-10-28T00:00:00"/>
    <x v="21"/>
    <m/>
    <x v="4"/>
    <n v="10"/>
    <s v="Não"/>
    <n v="0"/>
    <n v="0"/>
    <n v="2"/>
    <s v="Não"/>
    <s v="Não"/>
    <s v="Sim"/>
    <s v=""/>
    <b v="0"/>
  </r>
  <r>
    <x v="255"/>
    <x v="0"/>
    <x v="35"/>
    <x v="4"/>
    <n v="4"/>
    <x v="4"/>
    <x v="4"/>
    <s v="DocNum - 46482275"/>
    <m/>
    <m/>
    <x v="0"/>
    <d v="2025-10-30T00:00:00"/>
    <m/>
    <d v="2025-10-30T00:00:00"/>
    <x v="0"/>
    <m/>
    <x v="4"/>
    <n v="10"/>
    <s v="Não"/>
    <n v="0"/>
    <n v="0"/>
    <n v="2"/>
    <s v="Não"/>
    <s v="Não"/>
    <s v="Sim"/>
    <s v=""/>
    <b v="0"/>
  </r>
  <r>
    <x v="256"/>
    <x v="0"/>
    <x v="35"/>
    <x v="5"/>
    <n v="5"/>
    <x v="5"/>
    <x v="5"/>
    <s v="DocNum - 46482275"/>
    <m/>
    <m/>
    <x v="0"/>
    <d v="2025-10-30T00:00:00"/>
    <m/>
    <d v="2025-10-30T00:00:00"/>
    <x v="0"/>
    <m/>
    <x v="4"/>
    <n v="10"/>
    <s v="Não"/>
    <n v="0"/>
    <n v="0"/>
    <n v="2"/>
    <s v="Não"/>
    <s v="Não"/>
    <s v="Sim"/>
    <s v=""/>
    <b v="0"/>
  </r>
  <r>
    <x v="257"/>
    <x v="1"/>
    <x v="35"/>
    <x v="6"/>
    <n v="6"/>
    <x v="6"/>
    <x v="4"/>
    <m/>
    <m/>
    <m/>
    <x v="1"/>
    <m/>
    <m/>
    <m/>
    <x v="0"/>
    <m/>
    <x v="4"/>
    <n v="10"/>
    <s v="Não"/>
    <n v="0"/>
    <n v="0"/>
    <n v="2"/>
    <s v="Não"/>
    <s v="Não"/>
    <s v="Sim"/>
    <s v=""/>
    <b v="0"/>
  </r>
  <r>
    <x v="258"/>
    <x v="0"/>
    <x v="36"/>
    <x v="0"/>
    <n v="1"/>
    <x v="0"/>
    <x v="6"/>
    <n v="60668335"/>
    <m/>
    <m/>
    <x v="0"/>
    <d v="2025-10-28T00:00:00"/>
    <m/>
    <d v="2025-10-28T00:00:00"/>
    <x v="0"/>
    <m/>
    <x v="4"/>
    <n v="10"/>
    <s v="Não"/>
    <n v="0"/>
    <n v="0"/>
    <n v="2"/>
    <s v="Não"/>
    <s v="Não"/>
    <s v="Sim"/>
    <s v=""/>
    <b v="0"/>
  </r>
  <r>
    <x v="259"/>
    <x v="0"/>
    <x v="36"/>
    <x v="1"/>
    <n v="2"/>
    <x v="1"/>
    <x v="1"/>
    <n v="60668335"/>
    <m/>
    <m/>
    <x v="0"/>
    <d v="2025-10-28T00:00:00"/>
    <m/>
    <d v="2025-10-28T00:00:00"/>
    <x v="0"/>
    <m/>
    <x v="4"/>
    <n v="10"/>
    <s v="Não"/>
    <n v="0"/>
    <n v="0"/>
    <n v="2"/>
    <s v="Não"/>
    <s v="Não"/>
    <s v="Sim"/>
    <s v=""/>
    <b v="0"/>
  </r>
  <r>
    <x v="260"/>
    <x v="0"/>
    <x v="36"/>
    <x v="3"/>
    <n v="3"/>
    <x v="3"/>
    <x v="6"/>
    <s v="DocNum - 46482306"/>
    <m/>
    <m/>
    <x v="0"/>
    <d v="2025-10-29T00:00:00"/>
    <m/>
    <d v="2025-10-29T00:00:00"/>
    <x v="22"/>
    <m/>
    <x v="4"/>
    <n v="10"/>
    <s v="Não"/>
    <n v="0"/>
    <n v="0"/>
    <n v="2"/>
    <s v="Não"/>
    <s v="Não"/>
    <s v="Sim"/>
    <s v=""/>
    <b v="0"/>
  </r>
  <r>
    <x v="261"/>
    <x v="0"/>
    <x v="36"/>
    <x v="4"/>
    <n v="4"/>
    <x v="4"/>
    <x v="4"/>
    <s v="DocNum - 46482306"/>
    <m/>
    <m/>
    <x v="0"/>
    <d v="2025-10-30T00:00:00"/>
    <m/>
    <d v="2025-10-30T00:00:00"/>
    <x v="0"/>
    <m/>
    <x v="4"/>
    <n v="10"/>
    <s v="Não"/>
    <n v="0"/>
    <n v="0"/>
    <n v="2"/>
    <s v="Não"/>
    <s v="Não"/>
    <s v="Sim"/>
    <s v=""/>
    <b v="0"/>
  </r>
  <r>
    <x v="262"/>
    <x v="0"/>
    <x v="36"/>
    <x v="5"/>
    <n v="5"/>
    <x v="5"/>
    <x v="5"/>
    <s v="DocNum - 46482306"/>
    <m/>
    <m/>
    <x v="0"/>
    <d v="2025-10-30T00:00:00"/>
    <m/>
    <d v="2025-10-30T00:00:00"/>
    <x v="0"/>
    <m/>
    <x v="4"/>
    <n v="10"/>
    <s v="Não"/>
    <n v="0"/>
    <n v="0"/>
    <n v="2"/>
    <s v="Não"/>
    <s v="Não"/>
    <s v="Sim"/>
    <s v=""/>
    <b v="0"/>
  </r>
  <r>
    <x v="263"/>
    <x v="1"/>
    <x v="36"/>
    <x v="6"/>
    <n v="6"/>
    <x v="6"/>
    <x v="4"/>
    <m/>
    <m/>
    <m/>
    <x v="1"/>
    <m/>
    <m/>
    <m/>
    <x v="0"/>
    <m/>
    <x v="4"/>
    <n v="10"/>
    <s v="Não"/>
    <n v="0"/>
    <n v="0"/>
    <n v="2"/>
    <s v="Não"/>
    <s v="Não"/>
    <s v="Sim"/>
    <s v=""/>
    <b v="0"/>
  </r>
  <r>
    <x v="264"/>
    <x v="0"/>
    <x v="37"/>
    <x v="0"/>
    <n v="1"/>
    <x v="0"/>
    <x v="0"/>
    <s v=" 15603627 "/>
    <s v="BEP:15597893"/>
    <s v="OK"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265"/>
    <x v="0"/>
    <x v="37"/>
    <x v="1"/>
    <n v="2"/>
    <x v="1"/>
    <x v="1"/>
    <s v=" 15603627 "/>
    <s v="BEP:15597893"/>
    <s v="OK"/>
    <x v="0"/>
    <d v="2025-10-21T00:00:00"/>
    <m/>
    <d v="2025-10-21T00:00:00"/>
    <x v="0"/>
    <m/>
    <x v="0"/>
    <n v="7"/>
    <s v="Não"/>
    <n v="0"/>
    <n v="0"/>
    <n v="1"/>
    <s v="Não"/>
    <s v="Não"/>
    <s v="Sim"/>
    <s v=""/>
    <b v="0"/>
  </r>
  <r>
    <x v="266"/>
    <x v="0"/>
    <x v="37"/>
    <x v="2"/>
    <n v="3"/>
    <x v="2"/>
    <x v="2"/>
    <s v=" 15603627 "/>
    <s v="BEP:15597893"/>
    <s v="OK"/>
    <x v="0"/>
    <d v="2025-10-21T00:00:00"/>
    <m/>
    <d v="2025-10-21T00:00:00"/>
    <x v="0"/>
    <m/>
    <x v="0"/>
    <n v="7"/>
    <s v="Não"/>
    <n v="0"/>
    <n v="0"/>
    <n v="1"/>
    <s v="Não"/>
    <s v="Não"/>
    <s v="Sim"/>
    <s v=""/>
    <b v="0"/>
  </r>
  <r>
    <x v="267"/>
    <x v="0"/>
    <x v="37"/>
    <x v="3"/>
    <n v="4"/>
    <x v="3"/>
    <x v="3"/>
    <s v="DocNum - 46482221"/>
    <m/>
    <m/>
    <x v="0"/>
    <d v="2025-10-21T00:00:00"/>
    <m/>
    <d v="2025-10-21T00:00:00"/>
    <x v="0"/>
    <m/>
    <x v="0"/>
    <n v="7"/>
    <s v="Não"/>
    <n v="0"/>
    <n v="0"/>
    <n v="1"/>
    <s v="Não"/>
    <s v="Não"/>
    <s v="Sim"/>
    <s v=""/>
    <b v="0"/>
  </r>
  <r>
    <x v="268"/>
    <x v="0"/>
    <x v="37"/>
    <x v="4"/>
    <n v="5"/>
    <x v="8"/>
    <x v="4"/>
    <s v="DocNum - 46482221"/>
    <m/>
    <m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269"/>
    <x v="0"/>
    <x v="37"/>
    <x v="5"/>
    <n v="6"/>
    <x v="5"/>
    <x v="5"/>
    <s v="Doc Num - 46482221"/>
    <m/>
    <m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270"/>
    <x v="1"/>
    <x v="37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271"/>
    <x v="0"/>
    <x v="37"/>
    <x v="7"/>
    <n v="8"/>
    <x v="7"/>
    <x v="2"/>
    <s v=" 15603627 "/>
    <s v="BEP:15597893"/>
    <s v="OK"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272"/>
    <x v="0"/>
    <x v="35"/>
    <x v="0"/>
    <n v="1"/>
    <x v="0"/>
    <x v="6"/>
    <n v="60668329"/>
    <m/>
    <m/>
    <x v="0"/>
    <d v="2025-10-28T00:00:00"/>
    <m/>
    <d v="2025-10-28T00:00:00"/>
    <x v="0"/>
    <m/>
    <x v="4"/>
    <n v="10"/>
    <s v="Não"/>
    <n v="0"/>
    <n v="0"/>
    <n v="2"/>
    <s v="Não"/>
    <s v="Não"/>
    <s v="Sim"/>
    <s v=""/>
    <b v="0"/>
  </r>
  <r>
    <x v="273"/>
    <x v="0"/>
    <x v="35"/>
    <x v="1"/>
    <n v="2"/>
    <x v="1"/>
    <x v="1"/>
    <n v="60668329"/>
    <m/>
    <m/>
    <x v="0"/>
    <d v="2025-10-28T00:00:00"/>
    <m/>
    <d v="2025-10-28T00:00:00"/>
    <x v="0"/>
    <m/>
    <x v="4"/>
    <n v="10"/>
    <s v="Não"/>
    <n v="0"/>
    <n v="0"/>
    <n v="2"/>
    <s v="Não"/>
    <s v="Não"/>
    <s v="Sim"/>
    <s v=""/>
    <b v="0"/>
  </r>
  <r>
    <x v="274"/>
    <x v="0"/>
    <x v="35"/>
    <x v="3"/>
    <n v="3"/>
    <x v="3"/>
    <x v="6"/>
    <s v="DocNum - 46482276"/>
    <m/>
    <m/>
    <x v="0"/>
    <d v="2025-10-28T00:00:00"/>
    <m/>
    <d v="2025-10-28T00:00:00"/>
    <x v="23"/>
    <m/>
    <x v="4"/>
    <n v="10"/>
    <s v="Não"/>
    <n v="0"/>
    <n v="0"/>
    <n v="2"/>
    <s v="Não"/>
    <s v="Não"/>
    <s v="Sim"/>
    <s v=""/>
    <b v="0"/>
  </r>
  <r>
    <x v="275"/>
    <x v="0"/>
    <x v="35"/>
    <x v="4"/>
    <n v="4"/>
    <x v="4"/>
    <x v="4"/>
    <s v="DocNum - 46482276"/>
    <m/>
    <m/>
    <x v="0"/>
    <s v="29/10/2025"/>
    <m/>
    <d v="2025-10-29T00:00:00"/>
    <x v="0"/>
    <m/>
    <x v="4"/>
    <n v="10"/>
    <s v="Não"/>
    <n v="0"/>
    <n v="0"/>
    <n v="2"/>
    <s v="Não"/>
    <s v="Não"/>
    <s v="Sim"/>
    <s v=""/>
    <b v="0"/>
  </r>
  <r>
    <x v="276"/>
    <x v="0"/>
    <x v="35"/>
    <x v="5"/>
    <n v="5"/>
    <x v="5"/>
    <x v="5"/>
    <s v="DocNum - 46482276"/>
    <m/>
    <m/>
    <x v="0"/>
    <s v="30/10/2025"/>
    <m/>
    <d v="2025-10-30T00:00:00"/>
    <x v="0"/>
    <m/>
    <x v="4"/>
    <n v="10"/>
    <s v="Não"/>
    <n v="0"/>
    <n v="0"/>
    <n v="2"/>
    <s v="Não"/>
    <s v="Não"/>
    <s v="Sim"/>
    <s v=""/>
    <b v="0"/>
  </r>
  <r>
    <x v="277"/>
    <x v="1"/>
    <x v="35"/>
    <x v="6"/>
    <n v="6"/>
    <x v="6"/>
    <x v="4"/>
    <m/>
    <m/>
    <m/>
    <x v="1"/>
    <m/>
    <m/>
    <m/>
    <x v="0"/>
    <m/>
    <x v="4"/>
    <n v="10"/>
    <s v="Não"/>
    <n v="0"/>
    <n v="0"/>
    <n v="2"/>
    <s v="Não"/>
    <s v="Não"/>
    <s v="Sim"/>
    <s v=""/>
    <b v="0"/>
  </r>
  <r>
    <x v="278"/>
    <x v="0"/>
    <x v="36"/>
    <x v="0"/>
    <n v="1"/>
    <x v="0"/>
    <x v="6"/>
    <n v="60668336"/>
    <m/>
    <m/>
    <x v="0"/>
    <d v="2025-10-28T00:00:00"/>
    <m/>
    <d v="2025-10-28T00:00:00"/>
    <x v="0"/>
    <m/>
    <x v="4"/>
    <n v="10"/>
    <s v="Não"/>
    <n v="0"/>
    <n v="0"/>
    <n v="2"/>
    <s v="Não"/>
    <s v="Não"/>
    <s v="Sim"/>
    <s v=""/>
    <b v="0"/>
  </r>
  <r>
    <x v="279"/>
    <x v="0"/>
    <x v="36"/>
    <x v="1"/>
    <n v="2"/>
    <x v="1"/>
    <x v="1"/>
    <n v="60668336"/>
    <m/>
    <m/>
    <x v="0"/>
    <d v="2025-10-28T00:00:00"/>
    <m/>
    <d v="2025-10-28T00:00:00"/>
    <x v="0"/>
    <m/>
    <x v="4"/>
    <n v="10"/>
    <s v="Não"/>
    <n v="0"/>
    <n v="0"/>
    <n v="2"/>
    <s v="Não"/>
    <s v="Não"/>
    <s v="Sim"/>
    <s v=""/>
    <b v="0"/>
  </r>
  <r>
    <x v="280"/>
    <x v="0"/>
    <x v="36"/>
    <x v="3"/>
    <n v="3"/>
    <x v="3"/>
    <x v="6"/>
    <s v="DocNum - 46482307"/>
    <m/>
    <m/>
    <x v="0"/>
    <d v="2025-10-29T00:00:00"/>
    <m/>
    <d v="2025-10-29T00:00:00"/>
    <x v="24"/>
    <m/>
    <x v="4"/>
    <n v="10"/>
    <s v="Não"/>
    <n v="0"/>
    <n v="0"/>
    <n v="2"/>
    <s v="Não"/>
    <s v="Não"/>
    <s v="Sim"/>
    <s v=""/>
    <b v="0"/>
  </r>
  <r>
    <x v="281"/>
    <x v="0"/>
    <x v="36"/>
    <x v="4"/>
    <n v="4"/>
    <x v="4"/>
    <x v="4"/>
    <s v="DocNum - 46482307"/>
    <m/>
    <m/>
    <x v="0"/>
    <s v="30/10/2025"/>
    <m/>
    <d v="2025-10-30T00:00:00"/>
    <x v="0"/>
    <m/>
    <x v="4"/>
    <n v="10"/>
    <s v="Não"/>
    <n v="0"/>
    <n v="0"/>
    <n v="2"/>
    <s v="Não"/>
    <s v="Não"/>
    <s v="Sim"/>
    <s v=""/>
    <b v="0"/>
  </r>
  <r>
    <x v="282"/>
    <x v="0"/>
    <x v="36"/>
    <x v="5"/>
    <n v="5"/>
    <x v="5"/>
    <x v="5"/>
    <s v="DocNum - 46482307"/>
    <m/>
    <m/>
    <x v="0"/>
    <s v="30/10/2025"/>
    <m/>
    <d v="2025-10-30T00:00:00"/>
    <x v="0"/>
    <m/>
    <x v="4"/>
    <n v="10"/>
    <s v="Não"/>
    <n v="0"/>
    <n v="0"/>
    <n v="2"/>
    <s v="Não"/>
    <s v="Não"/>
    <s v="Sim"/>
    <s v=""/>
    <b v="0"/>
  </r>
  <r>
    <x v="283"/>
    <x v="1"/>
    <x v="36"/>
    <x v="6"/>
    <n v="6"/>
    <x v="6"/>
    <x v="4"/>
    <m/>
    <m/>
    <m/>
    <x v="1"/>
    <m/>
    <m/>
    <m/>
    <x v="0"/>
    <m/>
    <x v="4"/>
    <n v="10"/>
    <s v="Não"/>
    <n v="0"/>
    <n v="0"/>
    <n v="2"/>
    <s v="Não"/>
    <s v="Não"/>
    <s v="Sim"/>
    <s v=""/>
    <b v="0"/>
  </r>
  <r>
    <x v="284"/>
    <x v="0"/>
    <x v="38"/>
    <x v="0"/>
    <n v="1"/>
    <x v="0"/>
    <x v="0"/>
    <n v="70583978"/>
    <s v="BEP:70578960"/>
    <m/>
    <x v="0"/>
    <d v="2025-11-18T00:00:00"/>
    <m/>
    <d v="2025-11-18T00:00:00"/>
    <x v="0"/>
    <m/>
    <x v="0"/>
    <n v="7"/>
    <s v="Não"/>
    <n v="0"/>
    <n v="0"/>
    <n v="1"/>
    <s v="Não"/>
    <s v="Não"/>
    <s v="Sim"/>
    <s v=""/>
    <b v="0"/>
  </r>
  <r>
    <x v="285"/>
    <x v="0"/>
    <x v="38"/>
    <x v="1"/>
    <n v="2"/>
    <x v="1"/>
    <x v="1"/>
    <n v="70583978"/>
    <s v="BEP:70578960"/>
    <m/>
    <x v="0"/>
    <d v="2025-11-18T00:00:00"/>
    <m/>
    <d v="2025-11-18T00:00:00"/>
    <x v="0"/>
    <m/>
    <x v="0"/>
    <n v="7"/>
    <s v="Não"/>
    <n v="0"/>
    <n v="0"/>
    <n v="1"/>
    <s v="Não"/>
    <s v="Não"/>
    <s v="Sim"/>
    <s v=""/>
    <b v="0"/>
  </r>
  <r>
    <x v="286"/>
    <x v="0"/>
    <x v="38"/>
    <x v="2"/>
    <n v="3"/>
    <x v="2"/>
    <x v="2"/>
    <n v="70583978"/>
    <s v="BEP:70578960"/>
    <m/>
    <x v="0"/>
    <d v="2025-11-18T00:00:00"/>
    <m/>
    <d v="2025-11-18T00:00:00"/>
    <x v="0"/>
    <m/>
    <x v="0"/>
    <n v="7"/>
    <s v="Não"/>
    <n v="0"/>
    <n v="0"/>
    <n v="1"/>
    <s v="Não"/>
    <s v="Não"/>
    <s v="Sim"/>
    <s v=""/>
    <b v="0"/>
  </r>
  <r>
    <x v="287"/>
    <x v="0"/>
    <x v="38"/>
    <x v="3"/>
    <n v="4"/>
    <x v="3"/>
    <x v="3"/>
    <s v="DocNum - 46482486"/>
    <m/>
    <m/>
    <x v="0"/>
    <d v="2025-11-18T00:00:00"/>
    <m/>
    <d v="2025-11-18T00:00:00"/>
    <x v="0"/>
    <m/>
    <x v="0"/>
    <n v="7"/>
    <s v="Não"/>
    <n v="0"/>
    <n v="0"/>
    <n v="1"/>
    <s v="Não"/>
    <s v="Não"/>
    <s v="Sim"/>
    <s v=""/>
    <b v="0"/>
  </r>
  <r>
    <x v="288"/>
    <x v="0"/>
    <x v="38"/>
    <x v="4"/>
    <n v="5"/>
    <x v="8"/>
    <x v="4"/>
    <s v="DocNum - 46482486"/>
    <m/>
    <m/>
    <x v="0"/>
    <s v="25/11/2025"/>
    <m/>
    <d v="2025-11-25T00:00:00"/>
    <x v="0"/>
    <m/>
    <x v="0"/>
    <n v="7"/>
    <s v="Não"/>
    <n v="0"/>
    <n v="0"/>
    <n v="1"/>
    <s v="Não"/>
    <s v="Não"/>
    <s v="Sim"/>
    <s v=""/>
    <b v="0"/>
  </r>
  <r>
    <x v="289"/>
    <x v="0"/>
    <x v="38"/>
    <x v="5"/>
    <n v="6"/>
    <x v="5"/>
    <x v="5"/>
    <s v="DocNum - 46482486"/>
    <m/>
    <m/>
    <x v="0"/>
    <s v="25/11/2025"/>
    <m/>
    <d v="2025-11-25T00:00:00"/>
    <x v="0"/>
    <m/>
    <x v="0"/>
    <n v="7"/>
    <s v="Não"/>
    <n v="0"/>
    <n v="0"/>
    <n v="1"/>
    <s v="Não"/>
    <s v="Não"/>
    <s v="Sim"/>
    <s v=""/>
    <b v="0"/>
  </r>
  <r>
    <x v="290"/>
    <x v="1"/>
    <x v="38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291"/>
    <x v="0"/>
    <x v="38"/>
    <x v="7"/>
    <n v="8"/>
    <x v="7"/>
    <x v="2"/>
    <n v="70583978"/>
    <s v="BEP:70578960"/>
    <m/>
    <x v="0"/>
    <d v="2025-11-25T00:00:00"/>
    <m/>
    <d v="2025-11-25T00:00:00"/>
    <x v="0"/>
    <m/>
    <x v="0"/>
    <n v="7"/>
    <s v="Não"/>
    <n v="0"/>
    <n v="0"/>
    <n v="1"/>
    <s v="Não"/>
    <s v="Não"/>
    <s v="Sim"/>
    <s v=""/>
    <b v="0"/>
  </r>
  <r>
    <x v="292"/>
    <x v="0"/>
    <x v="39"/>
    <x v="0"/>
    <n v="1"/>
    <x v="0"/>
    <x v="0"/>
    <n v="70583979"/>
    <s v="BEP: 70579207"/>
    <s v="OK"/>
    <x v="0"/>
    <d v="2025-11-18T00:00:00"/>
    <m/>
    <d v="2025-11-18T00:00:00"/>
    <x v="0"/>
    <m/>
    <x v="0"/>
    <n v="6"/>
    <s v="Não"/>
    <n v="0"/>
    <n v="0"/>
    <n v="1"/>
    <s v="Não"/>
    <s v="Não"/>
    <s v="Sim"/>
    <s v=""/>
    <b v="0"/>
  </r>
  <r>
    <x v="293"/>
    <x v="0"/>
    <x v="39"/>
    <x v="1"/>
    <n v="2"/>
    <x v="1"/>
    <x v="1"/>
    <n v="70583979"/>
    <m/>
    <s v="OK"/>
    <x v="0"/>
    <d v="2025-11-18T00:00:00"/>
    <m/>
    <d v="2025-11-18T00:00:00"/>
    <x v="0"/>
    <m/>
    <x v="0"/>
    <n v="6"/>
    <s v="Não"/>
    <n v="0"/>
    <n v="0"/>
    <n v="1"/>
    <s v="Não"/>
    <s v="Não"/>
    <s v="Sim"/>
    <s v=""/>
    <b v="0"/>
  </r>
  <r>
    <x v="294"/>
    <x v="0"/>
    <x v="39"/>
    <x v="2"/>
    <n v="3"/>
    <x v="2"/>
    <x v="2"/>
    <n v="70583979"/>
    <m/>
    <s v="OK"/>
    <x v="0"/>
    <d v="2025-11-18T00:00:00"/>
    <m/>
    <d v="2025-11-18T00:00:00"/>
    <x v="0"/>
    <m/>
    <x v="0"/>
    <n v="6"/>
    <s v="Não"/>
    <n v="0"/>
    <n v="0"/>
    <n v="1"/>
    <s v="Não"/>
    <s v="Não"/>
    <s v="Sim"/>
    <s v=""/>
    <b v="0"/>
  </r>
  <r>
    <x v="295"/>
    <x v="0"/>
    <x v="39"/>
    <x v="3"/>
    <n v="4"/>
    <x v="3"/>
    <x v="3"/>
    <s v="DocNum 46482647"/>
    <m/>
    <s v="OK"/>
    <x v="0"/>
    <d v="2025-12-02T00:00:00"/>
    <m/>
    <d v="2025-12-02T00:00:00"/>
    <x v="0"/>
    <m/>
    <x v="0"/>
    <n v="6"/>
    <s v="Não"/>
    <n v="0"/>
    <n v="0"/>
    <n v="1"/>
    <s v="Não"/>
    <s v="Não"/>
    <s v="Sim"/>
    <s v=""/>
    <b v="0"/>
  </r>
  <r>
    <x v="296"/>
    <x v="0"/>
    <x v="39"/>
    <x v="4"/>
    <n v="5"/>
    <x v="8"/>
    <x v="4"/>
    <s v="DocNum 46482647"/>
    <m/>
    <m/>
    <x v="0"/>
    <d v="2025-12-03T00:00:00"/>
    <m/>
    <d v="2025-12-03T00:00:00"/>
    <x v="0"/>
    <m/>
    <x v="0"/>
    <n v="6"/>
    <s v="Não"/>
    <n v="0"/>
    <n v="0"/>
    <n v="1"/>
    <s v="Não"/>
    <s v="Não"/>
    <s v="Sim"/>
    <s v=""/>
    <b v="0"/>
  </r>
  <r>
    <x v="297"/>
    <x v="0"/>
    <x v="39"/>
    <x v="5"/>
    <n v="6"/>
    <x v="5"/>
    <x v="5"/>
    <s v="DocNum 46482647"/>
    <m/>
    <m/>
    <x v="0"/>
    <d v="2025-12-04T00:00:00"/>
    <m/>
    <d v="2025-12-04T00:00:00"/>
    <x v="25"/>
    <m/>
    <x v="0"/>
    <n v="6"/>
    <s v="Não"/>
    <n v="0"/>
    <n v="0"/>
    <n v="1"/>
    <s v="Não"/>
    <s v="Não"/>
    <s v="Sim"/>
    <s v=""/>
    <b v="0"/>
  </r>
  <r>
    <x v="298"/>
    <x v="1"/>
    <x v="39"/>
    <x v="6"/>
    <n v="7"/>
    <x v="6"/>
    <x v="4"/>
    <m/>
    <m/>
    <m/>
    <x v="1"/>
    <m/>
    <m/>
    <m/>
    <x v="0"/>
    <m/>
    <x v="0"/>
    <n v="6"/>
    <s v="Não"/>
    <n v="0"/>
    <n v="0"/>
    <n v="1"/>
    <s v="Não"/>
    <s v="Não"/>
    <s v="Sim"/>
    <s v=""/>
    <b v="0"/>
  </r>
  <r>
    <x v="299"/>
    <x v="0"/>
    <x v="39"/>
    <x v="7"/>
    <n v="8"/>
    <x v="7"/>
    <x v="2"/>
    <m/>
    <m/>
    <m/>
    <x v="2"/>
    <d v="2025-12-09T00:00:00"/>
    <m/>
    <d v="2025-12-09T00:00:00"/>
    <x v="0"/>
    <m/>
    <x v="0"/>
    <n v="6"/>
    <s v="Não"/>
    <n v="0"/>
    <n v="0"/>
    <n v="1"/>
    <s v="Não"/>
    <s v="Não"/>
    <s v="Sim"/>
    <s v=""/>
    <b v="0"/>
  </r>
  <r>
    <x v="300"/>
    <x v="0"/>
    <x v="40"/>
    <x v="0"/>
    <n v="1"/>
    <x v="0"/>
    <x v="6"/>
    <n v="60668368"/>
    <m/>
    <m/>
    <x v="0"/>
    <d v="2025-12-05T00:00:00"/>
    <m/>
    <d v="2025-12-05T00:00:00"/>
    <x v="0"/>
    <m/>
    <x v="1"/>
    <n v="5"/>
    <s v="Não"/>
    <n v="0"/>
    <n v="0"/>
    <n v="1"/>
    <s v="Não"/>
    <s v="Não"/>
    <s v="Sim"/>
    <s v=""/>
    <b v="0"/>
  </r>
  <r>
    <x v="301"/>
    <x v="0"/>
    <x v="40"/>
    <x v="1"/>
    <n v="2"/>
    <x v="1"/>
    <x v="1"/>
    <n v="60668368"/>
    <m/>
    <m/>
    <x v="0"/>
    <d v="2025-12-05T00:00:00"/>
    <m/>
    <d v="2025-12-05T00:00:00"/>
    <x v="0"/>
    <m/>
    <x v="1"/>
    <n v="5"/>
    <s v="Não"/>
    <n v="0"/>
    <n v="0"/>
    <n v="1"/>
    <s v="Não"/>
    <s v="Não"/>
    <s v="Sim"/>
    <s v=""/>
    <b v="0"/>
  </r>
  <r>
    <x v="302"/>
    <x v="0"/>
    <x v="40"/>
    <x v="3"/>
    <n v="3"/>
    <x v="3"/>
    <x v="6"/>
    <s v="DocNum - 46482775"/>
    <m/>
    <m/>
    <x v="0"/>
    <d v="2025-12-05T00:00:00"/>
    <m/>
    <d v="2025-12-05T00:00:00"/>
    <x v="26"/>
    <m/>
    <x v="1"/>
    <n v="5"/>
    <s v="Não"/>
    <n v="0"/>
    <n v="0"/>
    <n v="1"/>
    <s v="Não"/>
    <s v="Não"/>
    <s v="Sim"/>
    <s v=""/>
    <b v="0"/>
  </r>
  <r>
    <x v="303"/>
    <x v="0"/>
    <x v="40"/>
    <x v="4"/>
    <n v="4"/>
    <x v="4"/>
    <x v="4"/>
    <s v="DocNum - 46482775"/>
    <m/>
    <m/>
    <x v="0"/>
    <d v="2025-05-12T00:00:00"/>
    <m/>
    <d v="2025-05-12T00:00:00"/>
    <x v="0"/>
    <m/>
    <x v="1"/>
    <n v="5"/>
    <s v="Não"/>
    <n v="0"/>
    <n v="0"/>
    <n v="1"/>
    <s v="Não"/>
    <s v="Não"/>
    <s v="Sim"/>
    <s v=""/>
    <b v="0"/>
  </r>
  <r>
    <x v="304"/>
    <x v="0"/>
    <x v="40"/>
    <x v="5"/>
    <n v="5"/>
    <x v="5"/>
    <x v="5"/>
    <s v="DocNum - 46482775"/>
    <m/>
    <m/>
    <x v="0"/>
    <d v="2025-09-12T00:00:00"/>
    <m/>
    <d v="2025-09-12T00:00:00"/>
    <x v="0"/>
    <m/>
    <x v="1"/>
    <n v="5"/>
    <s v="Não"/>
    <n v="0"/>
    <n v="0"/>
    <n v="1"/>
    <s v="Não"/>
    <s v="Não"/>
    <s v="Sim"/>
    <s v=""/>
    <b v="0"/>
  </r>
  <r>
    <x v="305"/>
    <x v="1"/>
    <x v="40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306"/>
    <x v="0"/>
    <x v="41"/>
    <x v="0"/>
    <n v="1"/>
    <x v="0"/>
    <x v="6"/>
    <n v="60668369"/>
    <m/>
    <m/>
    <x v="0"/>
    <d v="2025-12-05T00:00:00"/>
    <m/>
    <d v="2025-12-05T00:00:00"/>
    <x v="0"/>
    <m/>
    <x v="1"/>
    <n v="5"/>
    <s v="Não"/>
    <n v="0"/>
    <n v="0"/>
    <n v="1"/>
    <s v="Não"/>
    <s v="Não"/>
    <s v="Sim"/>
    <s v=""/>
    <b v="0"/>
  </r>
  <r>
    <x v="307"/>
    <x v="0"/>
    <x v="41"/>
    <x v="1"/>
    <n v="2"/>
    <x v="1"/>
    <x v="1"/>
    <n v="60668369"/>
    <m/>
    <m/>
    <x v="0"/>
    <d v="2025-12-05T00:00:00"/>
    <m/>
    <d v="2025-12-05T00:00:00"/>
    <x v="0"/>
    <m/>
    <x v="1"/>
    <n v="5"/>
    <s v="Não"/>
    <n v="0"/>
    <n v="0"/>
    <n v="1"/>
    <s v="Não"/>
    <s v="Não"/>
    <s v="Sim"/>
    <s v=""/>
    <b v="0"/>
  </r>
  <r>
    <x v="308"/>
    <x v="0"/>
    <x v="41"/>
    <x v="3"/>
    <n v="3"/>
    <x v="3"/>
    <x v="6"/>
    <s v="DocNum - 46482776"/>
    <m/>
    <m/>
    <x v="0"/>
    <d v="2025-12-05T00:00:00"/>
    <m/>
    <d v="2025-12-05T00:00:00"/>
    <x v="27"/>
    <m/>
    <x v="1"/>
    <n v="5"/>
    <s v="Não"/>
    <n v="0"/>
    <n v="0"/>
    <n v="1"/>
    <s v="Não"/>
    <s v="Não"/>
    <s v="Sim"/>
    <s v=""/>
    <b v="0"/>
  </r>
  <r>
    <x v="309"/>
    <x v="0"/>
    <x v="41"/>
    <x v="4"/>
    <n v="4"/>
    <x v="4"/>
    <x v="4"/>
    <s v="DocNum - 46482776"/>
    <m/>
    <m/>
    <x v="0"/>
    <d v="2025-05-12T00:00:00"/>
    <m/>
    <d v="2025-05-12T00:00:00"/>
    <x v="0"/>
    <m/>
    <x v="1"/>
    <n v="5"/>
    <s v="Não"/>
    <n v="0"/>
    <n v="0"/>
    <n v="1"/>
    <s v="Não"/>
    <s v="Não"/>
    <s v="Sim"/>
    <s v=""/>
    <b v="0"/>
  </r>
  <r>
    <x v="310"/>
    <x v="0"/>
    <x v="41"/>
    <x v="5"/>
    <n v="5"/>
    <x v="5"/>
    <x v="5"/>
    <m/>
    <m/>
    <m/>
    <x v="0"/>
    <d v="2025-09-12T00:00:00"/>
    <m/>
    <d v="2025-09-12T00:00:00"/>
    <x v="0"/>
    <m/>
    <x v="1"/>
    <n v="5"/>
    <s v="Não"/>
    <n v="0"/>
    <n v="0"/>
    <n v="1"/>
    <s v="Não"/>
    <s v="Não"/>
    <s v="Sim"/>
    <s v=""/>
    <b v="0"/>
  </r>
  <r>
    <x v="311"/>
    <x v="1"/>
    <x v="41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312"/>
    <x v="0"/>
    <x v="42"/>
    <x v="0"/>
    <n v="1"/>
    <x v="0"/>
    <x v="0"/>
    <n v="70583987"/>
    <s v="BEP:70583255"/>
    <s v="OK"/>
    <x v="0"/>
    <d v="2025-12-01T00:00:00"/>
    <m/>
    <d v="2025-12-01T00:00:00"/>
    <x v="0"/>
    <m/>
    <x v="0"/>
    <n v="7"/>
    <s v="Não"/>
    <n v="0"/>
    <n v="0"/>
    <n v="1"/>
    <s v="Não"/>
    <s v="Não"/>
    <s v="Sim"/>
    <s v=""/>
    <b v="0"/>
  </r>
  <r>
    <x v="313"/>
    <x v="0"/>
    <x v="42"/>
    <x v="1"/>
    <n v="2"/>
    <x v="1"/>
    <x v="1"/>
    <n v="70583987"/>
    <m/>
    <s v="OK"/>
    <x v="0"/>
    <d v="2025-12-01T00:00:00"/>
    <m/>
    <d v="2025-12-01T00:00:00"/>
    <x v="0"/>
    <m/>
    <x v="0"/>
    <n v="7"/>
    <s v="Não"/>
    <n v="0"/>
    <n v="0"/>
    <n v="1"/>
    <s v="Não"/>
    <s v="Não"/>
    <s v="Sim"/>
    <s v=""/>
    <b v="0"/>
  </r>
  <r>
    <x v="314"/>
    <x v="0"/>
    <x v="42"/>
    <x v="2"/>
    <n v="3"/>
    <x v="2"/>
    <x v="2"/>
    <n v="70583987"/>
    <m/>
    <s v="OK"/>
    <x v="0"/>
    <d v="2025-12-01T00:00:00"/>
    <m/>
    <d v="2025-12-01T00:00:00"/>
    <x v="0"/>
    <m/>
    <x v="0"/>
    <n v="7"/>
    <s v="Não"/>
    <n v="0"/>
    <n v="0"/>
    <n v="1"/>
    <s v="Não"/>
    <s v="Não"/>
    <s v="Sim"/>
    <s v=""/>
    <b v="0"/>
  </r>
  <r>
    <x v="315"/>
    <x v="0"/>
    <x v="42"/>
    <x v="3"/>
    <n v="4"/>
    <x v="3"/>
    <x v="3"/>
    <s v="DocNum - 46482648"/>
    <m/>
    <s v="OK"/>
    <x v="0"/>
    <d v="2025-12-02T00:00:00"/>
    <m/>
    <d v="2025-12-02T00:00:00"/>
    <x v="0"/>
    <m/>
    <x v="0"/>
    <n v="7"/>
    <s v="Não"/>
    <n v="0"/>
    <n v="0"/>
    <n v="1"/>
    <s v="Não"/>
    <s v="Não"/>
    <s v="Sim"/>
    <s v=""/>
    <b v="0"/>
  </r>
  <r>
    <x v="316"/>
    <x v="0"/>
    <x v="42"/>
    <x v="4"/>
    <n v="5"/>
    <x v="8"/>
    <x v="4"/>
    <s v="DocNum - 46482648"/>
    <m/>
    <m/>
    <x v="0"/>
    <d v="2025-12-03T00:00:00"/>
    <m/>
    <d v="2025-12-03T00:00:00"/>
    <x v="0"/>
    <m/>
    <x v="0"/>
    <n v="7"/>
    <s v="Não"/>
    <n v="0"/>
    <n v="0"/>
    <n v="1"/>
    <s v="Não"/>
    <s v="Não"/>
    <s v="Sim"/>
    <s v=""/>
    <b v="0"/>
  </r>
  <r>
    <x v="317"/>
    <x v="0"/>
    <x v="42"/>
    <x v="5"/>
    <n v="6"/>
    <x v="5"/>
    <x v="5"/>
    <s v="DocNum - 46482648"/>
    <m/>
    <m/>
    <x v="0"/>
    <d v="2025-12-04T00:00:00"/>
    <m/>
    <d v="2025-12-04T00:00:00"/>
    <x v="0"/>
    <m/>
    <x v="0"/>
    <n v="7"/>
    <s v="Não"/>
    <n v="0"/>
    <n v="0"/>
    <n v="1"/>
    <s v="Não"/>
    <s v="Não"/>
    <s v="Sim"/>
    <s v=""/>
    <b v="0"/>
  </r>
  <r>
    <x v="318"/>
    <x v="1"/>
    <x v="42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319"/>
    <x v="0"/>
    <x v="42"/>
    <x v="7"/>
    <n v="8"/>
    <x v="7"/>
    <x v="2"/>
    <m/>
    <m/>
    <m/>
    <x v="0"/>
    <d v="2025-12-04T00:00:00"/>
    <m/>
    <d v="2025-12-04T00:00:00"/>
    <x v="0"/>
    <m/>
    <x v="0"/>
    <n v="7"/>
    <s v="Não"/>
    <n v="0"/>
    <n v="0"/>
    <n v="1"/>
    <s v="Não"/>
    <s v="Não"/>
    <s v="Sim"/>
    <s v=""/>
    <b v="0"/>
  </r>
  <r>
    <x v="320"/>
    <x v="0"/>
    <x v="43"/>
    <x v="0"/>
    <n v="1"/>
    <x v="0"/>
    <x v="0"/>
    <n v="15603733"/>
    <s v="BEP: 15601113"/>
    <s v="OK"/>
    <x v="0"/>
    <d v="2025-12-02T00:00:00"/>
    <m/>
    <d v="2025-12-02T00:00:00"/>
    <x v="0"/>
    <m/>
    <x v="0"/>
    <n v="8"/>
    <s v="Sim"/>
    <n v="0"/>
    <n v="0"/>
    <n v="0"/>
    <s v="Não"/>
    <s v="Não"/>
    <s v="Não"/>
    <s v=""/>
    <b v="0"/>
  </r>
  <r>
    <x v="321"/>
    <x v="0"/>
    <x v="43"/>
    <x v="1"/>
    <n v="2"/>
    <x v="1"/>
    <x v="1"/>
    <n v="15603733"/>
    <s v="BEP: 15601113"/>
    <s v="OK"/>
    <x v="0"/>
    <d v="2025-12-02T00:00:00"/>
    <m/>
    <d v="2025-12-02T00:00:00"/>
    <x v="0"/>
    <m/>
    <x v="0"/>
    <n v="8"/>
    <s v="Sim"/>
    <n v="0"/>
    <n v="0"/>
    <n v="0"/>
    <s v="Não"/>
    <s v="Não"/>
    <s v="Não"/>
    <s v=""/>
    <b v="0"/>
  </r>
  <r>
    <x v="322"/>
    <x v="0"/>
    <x v="43"/>
    <x v="2"/>
    <n v="3"/>
    <x v="2"/>
    <x v="2"/>
    <n v="15603733"/>
    <m/>
    <s v="OK"/>
    <x v="0"/>
    <d v="2025-12-02T00:00:00"/>
    <m/>
    <d v="2025-12-02T00:00:00"/>
    <x v="0"/>
    <m/>
    <x v="0"/>
    <n v="8"/>
    <s v="Sim"/>
    <n v="0"/>
    <n v="0"/>
    <n v="0"/>
    <s v="Não"/>
    <s v="Não"/>
    <s v="Não"/>
    <s v=""/>
    <b v="0"/>
  </r>
  <r>
    <x v="323"/>
    <x v="0"/>
    <x v="43"/>
    <x v="3"/>
    <n v="4"/>
    <x v="3"/>
    <x v="3"/>
    <s v="DocNum 46482652"/>
    <m/>
    <s v="OK"/>
    <x v="0"/>
    <d v="2025-12-02T00:00:00"/>
    <m/>
    <d v="2025-12-02T00:00:00"/>
    <x v="0"/>
    <m/>
    <x v="0"/>
    <n v="8"/>
    <s v="Sim"/>
    <n v="0"/>
    <n v="0"/>
    <n v="0"/>
    <s v="Não"/>
    <s v="Não"/>
    <s v="Não"/>
    <s v=""/>
    <b v="0"/>
  </r>
  <r>
    <x v="324"/>
    <x v="0"/>
    <x v="43"/>
    <x v="4"/>
    <n v="5"/>
    <x v="8"/>
    <x v="4"/>
    <s v="DocNum 46482652"/>
    <m/>
    <m/>
    <x v="0"/>
    <d v="2025-12-03T00:00:00"/>
    <m/>
    <d v="2025-12-03T00:00:00"/>
    <x v="0"/>
    <m/>
    <x v="0"/>
    <n v="8"/>
    <s v="Sim"/>
    <n v="0"/>
    <n v="0"/>
    <n v="0"/>
    <s v="Não"/>
    <s v="Não"/>
    <s v="Não"/>
    <s v=""/>
    <b v="0"/>
  </r>
  <r>
    <x v="325"/>
    <x v="0"/>
    <x v="43"/>
    <x v="5"/>
    <n v="6"/>
    <x v="5"/>
    <x v="5"/>
    <s v="DocNum 46482652"/>
    <m/>
    <m/>
    <x v="0"/>
    <d v="2025-12-04T00:00:00"/>
    <m/>
    <d v="2025-12-04T00:00:00"/>
    <x v="0"/>
    <m/>
    <x v="0"/>
    <n v="8"/>
    <s v="Sim"/>
    <n v="0"/>
    <n v="0"/>
    <n v="0"/>
    <s v="Não"/>
    <s v="Não"/>
    <s v="Não"/>
    <s v=""/>
    <b v="0"/>
  </r>
  <r>
    <x v="326"/>
    <x v="1"/>
    <x v="43"/>
    <x v="6"/>
    <n v="7"/>
    <x v="6"/>
    <x v="4"/>
    <s v="DocNum 46482652"/>
    <m/>
    <m/>
    <x v="0"/>
    <m/>
    <m/>
    <m/>
    <x v="0"/>
    <m/>
    <x v="0"/>
    <n v="8"/>
    <s v="Sim"/>
    <n v="0"/>
    <n v="0"/>
    <n v="0"/>
    <s v="Não"/>
    <s v="Não"/>
    <s v="Não"/>
    <s v=""/>
    <b v="0"/>
  </r>
  <r>
    <x v="327"/>
    <x v="0"/>
    <x v="43"/>
    <x v="7"/>
    <n v="8"/>
    <x v="7"/>
    <x v="2"/>
    <n v="15603733"/>
    <m/>
    <m/>
    <x v="0"/>
    <d v="2025-12-04T00:00:00"/>
    <m/>
    <d v="2025-12-04T00:00:00"/>
    <x v="0"/>
    <m/>
    <x v="0"/>
    <n v="8"/>
    <s v="Sim"/>
    <n v="0"/>
    <n v="0"/>
    <n v="0"/>
    <s v="Não"/>
    <s v="Não"/>
    <s v="Não"/>
    <s v=""/>
    <b v="0"/>
  </r>
  <r>
    <x v="328"/>
    <x v="0"/>
    <x v="44"/>
    <x v="0"/>
    <n v="1"/>
    <x v="0"/>
    <x v="6"/>
    <n v="60668364"/>
    <m/>
    <m/>
    <x v="0"/>
    <d v="2025-12-04T00:00:00"/>
    <m/>
    <d v="2025-12-04T00:00:00"/>
    <x v="0"/>
    <m/>
    <x v="1"/>
    <n v="5"/>
    <s v="Não"/>
    <n v="0"/>
    <n v="0"/>
    <n v="1"/>
    <s v="Não"/>
    <s v="Não"/>
    <s v="Sim"/>
    <s v=""/>
    <b v="0"/>
  </r>
  <r>
    <x v="329"/>
    <x v="0"/>
    <x v="44"/>
    <x v="1"/>
    <n v="2"/>
    <x v="1"/>
    <x v="1"/>
    <n v="60668364"/>
    <m/>
    <m/>
    <x v="0"/>
    <d v="2025-12-05T00:00:00"/>
    <m/>
    <d v="2025-12-05T00:00:00"/>
    <x v="0"/>
    <m/>
    <x v="1"/>
    <n v="5"/>
    <s v="Não"/>
    <n v="0"/>
    <n v="0"/>
    <n v="1"/>
    <s v="Não"/>
    <s v="Não"/>
    <s v="Sim"/>
    <s v=""/>
    <b v="0"/>
  </r>
  <r>
    <x v="330"/>
    <x v="0"/>
    <x v="44"/>
    <x v="3"/>
    <n v="3"/>
    <x v="3"/>
    <x v="6"/>
    <s v="DocNum - 46482760"/>
    <m/>
    <m/>
    <x v="0"/>
    <d v="2025-12-05T00:00:00"/>
    <m/>
    <d v="2025-12-05T00:00:00"/>
    <x v="28"/>
    <m/>
    <x v="1"/>
    <n v="5"/>
    <s v="Não"/>
    <n v="0"/>
    <n v="0"/>
    <n v="1"/>
    <s v="Não"/>
    <s v="Não"/>
    <s v="Sim"/>
    <s v=""/>
    <b v="0"/>
  </r>
  <r>
    <x v="331"/>
    <x v="0"/>
    <x v="44"/>
    <x v="4"/>
    <n v="4"/>
    <x v="4"/>
    <x v="4"/>
    <s v="DocNum - 46482760"/>
    <m/>
    <m/>
    <x v="0"/>
    <m/>
    <m/>
    <m/>
    <x v="0"/>
    <m/>
    <x v="1"/>
    <n v="5"/>
    <s v="Não"/>
    <n v="0"/>
    <n v="0"/>
    <n v="1"/>
    <s v="Não"/>
    <s v="Não"/>
    <s v="Sim"/>
    <s v=""/>
    <b v="0"/>
  </r>
  <r>
    <x v="332"/>
    <x v="0"/>
    <x v="44"/>
    <x v="5"/>
    <n v="5"/>
    <x v="5"/>
    <x v="5"/>
    <s v="DocNum - 46482760"/>
    <m/>
    <m/>
    <x v="0"/>
    <d v="2025-09-12T00:00:00"/>
    <m/>
    <d v="2025-12-09T00:00:00"/>
    <x v="0"/>
    <m/>
    <x v="1"/>
    <n v="5"/>
    <s v="Não"/>
    <n v="0"/>
    <n v="0"/>
    <n v="1"/>
    <s v="Não"/>
    <s v="Não"/>
    <s v="Sim"/>
    <s v=""/>
    <b v="0"/>
  </r>
  <r>
    <x v="333"/>
    <x v="1"/>
    <x v="44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334"/>
    <x v="0"/>
    <x v="45"/>
    <x v="0"/>
    <n v="1"/>
    <x v="0"/>
    <x v="6"/>
    <n v="60668365"/>
    <m/>
    <m/>
    <x v="0"/>
    <d v="2025-12-04T00:00:00"/>
    <m/>
    <d v="2025-12-04T00:00:00"/>
    <x v="0"/>
    <m/>
    <x v="1"/>
    <n v="5"/>
    <s v="Não"/>
    <n v="0"/>
    <n v="0"/>
    <n v="1"/>
    <s v="Não"/>
    <s v="Não"/>
    <s v="Sim"/>
    <s v=""/>
    <b v="0"/>
  </r>
  <r>
    <x v="335"/>
    <x v="0"/>
    <x v="45"/>
    <x v="1"/>
    <n v="2"/>
    <x v="1"/>
    <x v="1"/>
    <n v="60668365"/>
    <m/>
    <m/>
    <x v="0"/>
    <d v="2025-12-05T00:00:00"/>
    <m/>
    <d v="2025-12-05T00:00:00"/>
    <x v="0"/>
    <m/>
    <x v="1"/>
    <n v="5"/>
    <s v="Não"/>
    <n v="0"/>
    <n v="0"/>
    <n v="1"/>
    <s v="Não"/>
    <s v="Não"/>
    <s v="Sim"/>
    <s v=""/>
    <b v="0"/>
  </r>
  <r>
    <x v="336"/>
    <x v="0"/>
    <x v="45"/>
    <x v="3"/>
    <n v="3"/>
    <x v="3"/>
    <x v="6"/>
    <s v="DocNum - 46482761"/>
    <m/>
    <m/>
    <x v="0"/>
    <d v="2025-12-05T00:00:00"/>
    <m/>
    <d v="2025-12-05T00:00:00"/>
    <x v="29"/>
    <m/>
    <x v="1"/>
    <n v="5"/>
    <s v="Não"/>
    <n v="0"/>
    <n v="0"/>
    <n v="1"/>
    <s v="Não"/>
    <s v="Não"/>
    <s v="Sim"/>
    <s v=""/>
    <b v="0"/>
  </r>
  <r>
    <x v="337"/>
    <x v="0"/>
    <x v="45"/>
    <x v="4"/>
    <n v="4"/>
    <x v="4"/>
    <x v="4"/>
    <s v="DocNum - 46482761"/>
    <m/>
    <m/>
    <x v="0"/>
    <d v="2025-09-12T00:00:00"/>
    <m/>
    <d v="2025-09-12T00:00:00"/>
    <x v="0"/>
    <m/>
    <x v="1"/>
    <n v="5"/>
    <s v="Não"/>
    <n v="0"/>
    <n v="0"/>
    <n v="1"/>
    <s v="Não"/>
    <s v="Não"/>
    <s v="Sim"/>
    <s v=""/>
    <b v="0"/>
  </r>
  <r>
    <x v="338"/>
    <x v="0"/>
    <x v="45"/>
    <x v="5"/>
    <n v="5"/>
    <x v="5"/>
    <x v="5"/>
    <s v="DocNum - 46482761"/>
    <m/>
    <m/>
    <x v="0"/>
    <d v="2025-12-09T00:00:00"/>
    <m/>
    <d v="2025-09-12T00:00:00"/>
    <x v="0"/>
    <m/>
    <x v="1"/>
    <n v="5"/>
    <s v="Não"/>
    <n v="0"/>
    <n v="0"/>
    <n v="1"/>
    <s v="Não"/>
    <s v="Não"/>
    <s v="Sim"/>
    <s v=""/>
    <b v="0"/>
  </r>
  <r>
    <x v="339"/>
    <x v="1"/>
    <x v="45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340"/>
    <x v="0"/>
    <x v="46"/>
    <x v="0"/>
    <n v="1"/>
    <x v="0"/>
    <x v="0"/>
    <n v="70583981"/>
    <s v="BEP: 70578789"/>
    <s v="OK"/>
    <x v="0"/>
    <d v="2025-11-10T00:00:00"/>
    <m/>
    <d v="2025-11-24T00:00:00"/>
    <x v="0"/>
    <m/>
    <x v="0"/>
    <n v="7"/>
    <s v="Não"/>
    <n v="0"/>
    <n v="0"/>
    <n v="1"/>
    <s v="Não"/>
    <s v="Não"/>
    <s v="Sim"/>
    <s v=""/>
    <b v="0"/>
  </r>
  <r>
    <x v="341"/>
    <x v="0"/>
    <x v="46"/>
    <x v="1"/>
    <n v="2"/>
    <x v="1"/>
    <x v="1"/>
    <n v="70583981"/>
    <s v="BEP: 70578789"/>
    <s v="OK"/>
    <x v="0"/>
    <s v="24/11/2025"/>
    <m/>
    <d v="2025-11-24T00:00:00"/>
    <x v="0"/>
    <m/>
    <x v="0"/>
    <n v="7"/>
    <s v="Não"/>
    <n v="0"/>
    <n v="0"/>
    <n v="1"/>
    <s v="Não"/>
    <s v="Não"/>
    <s v="Sim"/>
    <s v=""/>
    <b v="0"/>
  </r>
  <r>
    <x v="342"/>
    <x v="0"/>
    <x v="46"/>
    <x v="2"/>
    <n v="3"/>
    <x v="2"/>
    <x v="2"/>
    <n v="70583981"/>
    <s v="BEP: 70578789"/>
    <s v="OK"/>
    <x v="0"/>
    <s v="24/11/2025"/>
    <m/>
    <d v="2025-11-24T00:00:00"/>
    <x v="0"/>
    <m/>
    <x v="0"/>
    <n v="7"/>
    <s v="Não"/>
    <n v="0"/>
    <n v="0"/>
    <n v="1"/>
    <s v="Não"/>
    <s v="Não"/>
    <s v="Sim"/>
    <s v=""/>
    <b v="0"/>
  </r>
  <r>
    <x v="343"/>
    <x v="0"/>
    <x v="46"/>
    <x v="3"/>
    <n v="4"/>
    <x v="3"/>
    <x v="3"/>
    <s v="DocNum 46482575"/>
    <m/>
    <s v="OK"/>
    <x v="0"/>
    <d v="2025-11-26T00:00:00"/>
    <m/>
    <d v="2025-11-26T00:00:00"/>
    <x v="0"/>
    <m/>
    <x v="0"/>
    <n v="7"/>
    <s v="Não"/>
    <n v="0"/>
    <n v="0"/>
    <n v="1"/>
    <s v="Não"/>
    <s v="Não"/>
    <s v="Sim"/>
    <s v=""/>
    <b v="0"/>
  </r>
  <r>
    <x v="344"/>
    <x v="0"/>
    <x v="46"/>
    <x v="8"/>
    <n v="5"/>
    <x v="8"/>
    <x v="4"/>
    <s v="DocNum 46482575"/>
    <m/>
    <m/>
    <x v="0"/>
    <s v="27/11/2025"/>
    <m/>
    <d v="2025-11-27T00:00:00"/>
    <x v="0"/>
    <m/>
    <x v="0"/>
    <n v="7"/>
    <s v="Não"/>
    <n v="0"/>
    <n v="0"/>
    <n v="1"/>
    <s v="Não"/>
    <s v="Não"/>
    <s v="Sim"/>
    <s v=""/>
    <b v="0"/>
  </r>
  <r>
    <x v="345"/>
    <x v="0"/>
    <x v="46"/>
    <x v="5"/>
    <n v="6"/>
    <x v="5"/>
    <x v="5"/>
    <s v="DocNum 46482575"/>
    <m/>
    <m/>
    <x v="0"/>
    <s v="27/11/2025"/>
    <m/>
    <d v="2025-11-27T00:00:00"/>
    <x v="0"/>
    <m/>
    <x v="0"/>
    <n v="7"/>
    <s v="Não"/>
    <n v="0"/>
    <n v="0"/>
    <n v="1"/>
    <s v="Não"/>
    <s v="Não"/>
    <s v="Sim"/>
    <s v=""/>
    <b v="0"/>
  </r>
  <r>
    <x v="346"/>
    <x v="1"/>
    <x v="46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347"/>
    <x v="0"/>
    <x v="46"/>
    <x v="7"/>
    <n v="8"/>
    <x v="7"/>
    <x v="2"/>
    <n v="70583981"/>
    <s v="BEP: 70578789"/>
    <m/>
    <x v="0"/>
    <d v="2025-11-28T00:00:00"/>
    <m/>
    <d v="2025-11-28T00:00:00"/>
    <x v="0"/>
    <m/>
    <x v="0"/>
    <n v="7"/>
    <s v="Não"/>
    <n v="0"/>
    <n v="0"/>
    <n v="1"/>
    <s v="Não"/>
    <s v="Não"/>
    <s v="Sim"/>
    <s v=""/>
    <b v="0"/>
  </r>
  <r>
    <x v="348"/>
    <x v="0"/>
    <x v="47"/>
    <x v="0"/>
    <n v="1"/>
    <x v="0"/>
    <x v="0"/>
    <n v="15603710"/>
    <s v="BEP: 15589197"/>
    <s v="OK"/>
    <x v="0"/>
    <d v="2025-11-10T00:00:00"/>
    <m/>
    <d v="2025-11-24T00:00:00"/>
    <x v="0"/>
    <m/>
    <x v="0"/>
    <n v="7"/>
    <s v="Não"/>
    <n v="0"/>
    <n v="0"/>
    <n v="1"/>
    <s v="Não"/>
    <s v="Não"/>
    <s v="Sim"/>
    <s v=""/>
    <b v="0"/>
  </r>
  <r>
    <x v="349"/>
    <x v="0"/>
    <x v="47"/>
    <x v="1"/>
    <n v="2"/>
    <x v="1"/>
    <x v="1"/>
    <n v="15603710"/>
    <s v="BEP: 15589197"/>
    <s v="OK"/>
    <x v="0"/>
    <d v="2025-11-25T00:00:00"/>
    <m/>
    <d v="2025-11-25T00:00:00"/>
    <x v="0"/>
    <m/>
    <x v="0"/>
    <n v="7"/>
    <s v="Não"/>
    <n v="0"/>
    <n v="0"/>
    <n v="1"/>
    <s v="Não"/>
    <s v="Não"/>
    <s v="Sim"/>
    <s v=""/>
    <b v="0"/>
  </r>
  <r>
    <x v="350"/>
    <x v="0"/>
    <x v="47"/>
    <x v="2"/>
    <n v="3"/>
    <x v="2"/>
    <x v="2"/>
    <n v="15603710"/>
    <s v="BEP: 15589197"/>
    <s v="OK"/>
    <x v="0"/>
    <d v="2025-11-25T00:00:00"/>
    <m/>
    <d v="2025-11-25T00:00:00"/>
    <x v="0"/>
    <m/>
    <x v="0"/>
    <n v="7"/>
    <s v="Não"/>
    <n v="0"/>
    <n v="0"/>
    <n v="1"/>
    <s v="Não"/>
    <s v="Não"/>
    <s v="Sim"/>
    <s v=""/>
    <b v="0"/>
  </r>
  <r>
    <x v="351"/>
    <x v="0"/>
    <x v="47"/>
    <x v="3"/>
    <n v="4"/>
    <x v="3"/>
    <x v="3"/>
    <s v="DocNum 46482576"/>
    <m/>
    <s v="OK"/>
    <x v="0"/>
    <d v="2025-11-26T00:00:00"/>
    <m/>
    <d v="2025-11-26T00:00:00"/>
    <x v="0"/>
    <m/>
    <x v="0"/>
    <n v="7"/>
    <s v="Não"/>
    <n v="0"/>
    <n v="0"/>
    <n v="1"/>
    <s v="Não"/>
    <s v="Não"/>
    <s v="Sim"/>
    <s v=""/>
    <b v="0"/>
  </r>
  <r>
    <x v="352"/>
    <x v="0"/>
    <x v="47"/>
    <x v="8"/>
    <n v="5"/>
    <x v="8"/>
    <x v="4"/>
    <s v="DocNum 46482576"/>
    <m/>
    <m/>
    <x v="0"/>
    <s v="27/11/2025"/>
    <m/>
    <d v="2025-11-27T00:00:00"/>
    <x v="0"/>
    <m/>
    <x v="0"/>
    <n v="7"/>
    <s v="Não"/>
    <n v="0"/>
    <n v="0"/>
    <n v="1"/>
    <s v="Não"/>
    <s v="Não"/>
    <s v="Sim"/>
    <s v=""/>
    <b v="0"/>
  </r>
  <r>
    <x v="353"/>
    <x v="0"/>
    <x v="47"/>
    <x v="5"/>
    <n v="6"/>
    <x v="5"/>
    <x v="5"/>
    <s v="DocNum 46482576"/>
    <m/>
    <m/>
    <x v="0"/>
    <s v="27/11/2025"/>
    <m/>
    <d v="2025-11-27T00:00:00"/>
    <x v="0"/>
    <m/>
    <x v="0"/>
    <n v="7"/>
    <s v="Não"/>
    <n v="0"/>
    <n v="0"/>
    <n v="1"/>
    <s v="Não"/>
    <s v="Não"/>
    <s v="Sim"/>
    <s v=""/>
    <b v="0"/>
  </r>
  <r>
    <x v="354"/>
    <x v="1"/>
    <x v="47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355"/>
    <x v="0"/>
    <x v="47"/>
    <x v="7"/>
    <n v="8"/>
    <x v="7"/>
    <x v="2"/>
    <s v="DocNum 46482576"/>
    <m/>
    <m/>
    <x v="0"/>
    <d v="2025-11-28T00:00:00"/>
    <m/>
    <d v="2025-11-28T00:00:00"/>
    <x v="0"/>
    <m/>
    <x v="0"/>
    <n v="7"/>
    <s v="Não"/>
    <n v="0"/>
    <n v="0"/>
    <n v="1"/>
    <s v="Não"/>
    <s v="Não"/>
    <s v="Sim"/>
    <s v=""/>
    <b v="0"/>
  </r>
  <r>
    <x v="356"/>
    <x v="0"/>
    <x v="48"/>
    <x v="0"/>
    <n v="1"/>
    <x v="0"/>
    <x v="6"/>
    <m/>
    <m/>
    <m/>
    <x v="2"/>
    <m/>
    <m/>
    <m/>
    <x v="30"/>
    <m/>
    <x v="1"/>
    <n v="0"/>
    <s v="Não"/>
    <n v="0"/>
    <n v="0"/>
    <n v="0"/>
    <s v="Não"/>
    <s v="Não"/>
    <s v="Não"/>
    <s v=""/>
    <b v="0"/>
  </r>
  <r>
    <x v="357"/>
    <x v="0"/>
    <x v="48"/>
    <x v="1"/>
    <n v="2"/>
    <x v="1"/>
    <x v="1"/>
    <m/>
    <m/>
    <m/>
    <x v="2"/>
    <m/>
    <m/>
    <m/>
    <x v="30"/>
    <m/>
    <x v="1"/>
    <n v="0"/>
    <s v="Não"/>
    <n v="0"/>
    <n v="0"/>
    <n v="0"/>
    <s v="Não"/>
    <s v="Não"/>
    <s v="Não"/>
    <s v=""/>
    <b v="0"/>
  </r>
  <r>
    <x v="358"/>
    <x v="0"/>
    <x v="48"/>
    <x v="3"/>
    <n v="3"/>
    <x v="3"/>
    <x v="6"/>
    <m/>
    <m/>
    <m/>
    <x v="2"/>
    <m/>
    <m/>
    <m/>
    <x v="30"/>
    <m/>
    <x v="1"/>
    <n v="0"/>
    <s v="Não"/>
    <n v="0"/>
    <n v="0"/>
    <n v="0"/>
    <s v="Não"/>
    <s v="Não"/>
    <s v="Não"/>
    <s v=""/>
    <b v="0"/>
  </r>
  <r>
    <x v="359"/>
    <x v="0"/>
    <x v="48"/>
    <x v="4"/>
    <n v="4"/>
    <x v="4"/>
    <x v="4"/>
    <m/>
    <m/>
    <m/>
    <x v="2"/>
    <m/>
    <m/>
    <m/>
    <x v="30"/>
    <m/>
    <x v="1"/>
    <n v="0"/>
    <s v="Não"/>
    <n v="0"/>
    <n v="0"/>
    <n v="0"/>
    <s v="Não"/>
    <s v="Não"/>
    <s v="Não"/>
    <s v=""/>
    <b v="0"/>
  </r>
  <r>
    <x v="360"/>
    <x v="0"/>
    <x v="48"/>
    <x v="5"/>
    <n v="5"/>
    <x v="5"/>
    <x v="5"/>
    <m/>
    <m/>
    <m/>
    <x v="2"/>
    <m/>
    <m/>
    <m/>
    <x v="30"/>
    <m/>
    <x v="1"/>
    <n v="0"/>
    <s v="Não"/>
    <n v="0"/>
    <n v="0"/>
    <n v="0"/>
    <s v="Não"/>
    <s v="Não"/>
    <s v="Não"/>
    <s v=""/>
    <b v="0"/>
  </r>
  <r>
    <x v="361"/>
    <x v="1"/>
    <x v="48"/>
    <x v="6"/>
    <n v="6"/>
    <x v="6"/>
    <x v="4"/>
    <m/>
    <m/>
    <m/>
    <x v="2"/>
    <m/>
    <m/>
    <m/>
    <x v="30"/>
    <m/>
    <x v="1"/>
    <n v="0"/>
    <s v="Não"/>
    <n v="0"/>
    <n v="0"/>
    <n v="0"/>
    <s v="Não"/>
    <s v="Não"/>
    <s v="Não"/>
    <s v=""/>
    <b v="0"/>
  </r>
  <r>
    <x v="362"/>
    <x v="0"/>
    <x v="49"/>
    <x v="0"/>
    <n v="1"/>
    <x v="0"/>
    <x v="6"/>
    <n v="60668363"/>
    <m/>
    <m/>
    <x v="0"/>
    <d v="2025-11-28T00:00:00"/>
    <m/>
    <d v="2025-11-28T00:00:00"/>
    <x v="0"/>
    <m/>
    <x v="1"/>
    <n v="5"/>
    <s v="Não"/>
    <n v="0"/>
    <n v="0"/>
    <n v="1"/>
    <s v="Não"/>
    <s v="Não"/>
    <s v="Sim"/>
    <s v=""/>
    <b v="0"/>
  </r>
  <r>
    <x v="363"/>
    <x v="0"/>
    <x v="49"/>
    <x v="1"/>
    <n v="2"/>
    <x v="1"/>
    <x v="1"/>
    <n v="60668363"/>
    <m/>
    <m/>
    <x v="0"/>
    <d v="2025-11-28T00:00:00"/>
    <m/>
    <d v="2025-11-28T00:00:00"/>
    <x v="0"/>
    <m/>
    <x v="1"/>
    <n v="5"/>
    <s v="Não"/>
    <n v="0"/>
    <n v="0"/>
    <n v="1"/>
    <s v="Não"/>
    <s v="Não"/>
    <s v="Sim"/>
    <s v=""/>
    <b v="0"/>
  </r>
  <r>
    <x v="364"/>
    <x v="0"/>
    <x v="49"/>
    <x v="3"/>
    <n v="3"/>
    <x v="3"/>
    <x v="6"/>
    <s v="DocNum - 46482625"/>
    <m/>
    <m/>
    <x v="0"/>
    <d v="2025-11-28T00:00:00"/>
    <m/>
    <d v="2025-11-28T00:00:00"/>
    <x v="31"/>
    <m/>
    <x v="1"/>
    <n v="5"/>
    <s v="Não"/>
    <n v="0"/>
    <n v="0"/>
    <n v="1"/>
    <s v="Não"/>
    <s v="Não"/>
    <s v="Sim"/>
    <s v=""/>
    <b v="0"/>
  </r>
  <r>
    <x v="365"/>
    <x v="0"/>
    <x v="49"/>
    <x v="4"/>
    <n v="4"/>
    <x v="4"/>
    <x v="4"/>
    <s v="DocNum - 46482625"/>
    <m/>
    <m/>
    <x v="0"/>
    <d v="2025-12-03T00:00:00"/>
    <m/>
    <d v="2025-12-03T00:00:00"/>
    <x v="0"/>
    <m/>
    <x v="1"/>
    <n v="5"/>
    <s v="Não"/>
    <n v="0"/>
    <n v="0"/>
    <n v="1"/>
    <s v="Não"/>
    <s v="Não"/>
    <s v="Sim"/>
    <s v=""/>
    <b v="0"/>
  </r>
  <r>
    <x v="366"/>
    <x v="0"/>
    <x v="49"/>
    <x v="5"/>
    <n v="5"/>
    <x v="5"/>
    <x v="5"/>
    <s v="DocNum - 46482625"/>
    <m/>
    <m/>
    <x v="0"/>
    <d v="2025-12-04T00:00:00"/>
    <m/>
    <d v="2025-12-04T00:00:00"/>
    <x v="32"/>
    <m/>
    <x v="1"/>
    <n v="5"/>
    <s v="Não"/>
    <n v="0"/>
    <n v="0"/>
    <n v="1"/>
    <s v="Não"/>
    <s v="Não"/>
    <s v="Sim"/>
    <s v=""/>
    <b v="0"/>
  </r>
  <r>
    <x v="367"/>
    <x v="1"/>
    <x v="49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368"/>
    <x v="0"/>
    <x v="50"/>
    <x v="0"/>
    <n v="1"/>
    <x v="0"/>
    <x v="0"/>
    <n v="70583983"/>
    <s v="BEP: 70588444"/>
    <s v="OK"/>
    <x v="0"/>
    <s v="25/11/2025"/>
    <m/>
    <d v="2025-11-25T00:00:00"/>
    <x v="0"/>
    <m/>
    <x v="0"/>
    <n v="7"/>
    <s v="Não"/>
    <n v="0"/>
    <n v="0"/>
    <n v="1"/>
    <s v="Não"/>
    <s v="Não"/>
    <s v="Sim"/>
    <s v=""/>
    <b v="0"/>
  </r>
  <r>
    <x v="369"/>
    <x v="0"/>
    <x v="50"/>
    <x v="1"/>
    <n v="2"/>
    <x v="1"/>
    <x v="1"/>
    <n v="70583983"/>
    <s v="BEP: 70588444"/>
    <s v="OK"/>
    <x v="0"/>
    <s v="25/11/2025"/>
    <m/>
    <d v="2025-11-25T00:00:00"/>
    <x v="0"/>
    <m/>
    <x v="0"/>
    <n v="7"/>
    <s v="Não"/>
    <n v="0"/>
    <n v="0"/>
    <n v="1"/>
    <s v="Não"/>
    <s v="Não"/>
    <s v="Sim"/>
    <s v=""/>
    <b v="0"/>
  </r>
  <r>
    <x v="370"/>
    <x v="0"/>
    <x v="50"/>
    <x v="2"/>
    <n v="3"/>
    <x v="2"/>
    <x v="2"/>
    <n v="70583983"/>
    <s v="BEP: 70588444"/>
    <s v="OK"/>
    <x v="0"/>
    <s v="25/11/2025"/>
    <m/>
    <d v="2025-11-25T00:00:00"/>
    <x v="0"/>
    <m/>
    <x v="0"/>
    <n v="7"/>
    <s v="Não"/>
    <n v="0"/>
    <n v="0"/>
    <n v="1"/>
    <s v="Não"/>
    <s v="Não"/>
    <s v="Sim"/>
    <s v=""/>
    <b v="0"/>
  </r>
  <r>
    <x v="371"/>
    <x v="0"/>
    <x v="50"/>
    <x v="3"/>
    <n v="4"/>
    <x v="3"/>
    <x v="3"/>
    <s v="DocNum - 46482562"/>
    <m/>
    <s v="OK"/>
    <x v="0"/>
    <s v="25/11/2025"/>
    <m/>
    <d v="2025-11-25T00:00:00"/>
    <x v="0"/>
    <m/>
    <x v="0"/>
    <n v="7"/>
    <s v="Não"/>
    <n v="0"/>
    <n v="0"/>
    <n v="1"/>
    <s v="Não"/>
    <s v="Não"/>
    <s v="Sim"/>
    <s v=""/>
    <b v="0"/>
  </r>
  <r>
    <x v="372"/>
    <x v="0"/>
    <x v="50"/>
    <x v="8"/>
    <n v="5"/>
    <x v="8"/>
    <x v="4"/>
    <s v="DocNum - 46482562"/>
    <m/>
    <m/>
    <x v="0"/>
    <s v="27/11/2025"/>
    <m/>
    <d v="2025-11-27T00:00:00"/>
    <x v="0"/>
    <m/>
    <x v="0"/>
    <n v="7"/>
    <s v="Não"/>
    <n v="0"/>
    <n v="0"/>
    <n v="1"/>
    <s v="Não"/>
    <s v="Não"/>
    <s v="Sim"/>
    <s v=""/>
    <b v="0"/>
  </r>
  <r>
    <x v="373"/>
    <x v="0"/>
    <x v="50"/>
    <x v="5"/>
    <n v="6"/>
    <x v="5"/>
    <x v="5"/>
    <s v="DocNum - 46482562"/>
    <m/>
    <m/>
    <x v="0"/>
    <s v="27/11/2025"/>
    <m/>
    <d v="2025-11-27T00:00:00"/>
    <x v="0"/>
    <m/>
    <x v="0"/>
    <n v="7"/>
    <s v="Não"/>
    <n v="0"/>
    <n v="0"/>
    <n v="1"/>
    <s v="Não"/>
    <s v="Não"/>
    <s v="Sim"/>
    <s v=""/>
    <b v="0"/>
  </r>
  <r>
    <x v="374"/>
    <x v="1"/>
    <x v="50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375"/>
    <x v="0"/>
    <x v="50"/>
    <x v="7"/>
    <n v="8"/>
    <x v="7"/>
    <x v="2"/>
    <n v="70583983"/>
    <s v="BEP: 70588444"/>
    <m/>
    <x v="0"/>
    <d v="2025-12-03T00:00:00"/>
    <m/>
    <d v="2025-12-03T00:00:00"/>
    <x v="0"/>
    <m/>
    <x v="0"/>
    <n v="7"/>
    <s v="Não"/>
    <n v="0"/>
    <n v="0"/>
    <n v="1"/>
    <s v="Não"/>
    <s v="Não"/>
    <s v="Sim"/>
    <s v=""/>
    <b v="0"/>
  </r>
  <r>
    <x v="376"/>
    <x v="0"/>
    <x v="51"/>
    <x v="0"/>
    <n v="1"/>
    <x v="0"/>
    <x v="6"/>
    <n v="60668361"/>
    <m/>
    <m/>
    <x v="0"/>
    <d v="2025-11-28T00:00:00"/>
    <m/>
    <d v="2025-11-28T00:00:00"/>
    <x v="0"/>
    <m/>
    <x v="1"/>
    <n v="5"/>
    <s v="Não"/>
    <n v="0"/>
    <n v="0"/>
    <n v="1"/>
    <s v="Não"/>
    <s v="Não"/>
    <s v="Sim"/>
    <s v=""/>
    <b v="0"/>
  </r>
  <r>
    <x v="377"/>
    <x v="0"/>
    <x v="51"/>
    <x v="1"/>
    <n v="2"/>
    <x v="1"/>
    <x v="1"/>
    <n v="60668361"/>
    <m/>
    <m/>
    <x v="0"/>
    <d v="2025-11-28T00:00:00"/>
    <m/>
    <d v="2025-11-28T00:00:00"/>
    <x v="0"/>
    <m/>
    <x v="1"/>
    <n v="5"/>
    <s v="Não"/>
    <n v="0"/>
    <n v="0"/>
    <n v="1"/>
    <s v="Não"/>
    <s v="Não"/>
    <s v="Sim"/>
    <s v=""/>
    <b v="0"/>
  </r>
  <r>
    <x v="378"/>
    <x v="0"/>
    <x v="51"/>
    <x v="3"/>
    <n v="3"/>
    <x v="3"/>
    <x v="6"/>
    <s v="DocNum - 46482619"/>
    <m/>
    <m/>
    <x v="0"/>
    <d v="2025-11-28T00:00:00"/>
    <m/>
    <d v="2025-11-28T00:00:00"/>
    <x v="33"/>
    <m/>
    <x v="1"/>
    <n v="5"/>
    <s v="Não"/>
    <n v="0"/>
    <n v="0"/>
    <n v="1"/>
    <s v="Não"/>
    <s v="Não"/>
    <s v="Sim"/>
    <s v=""/>
    <b v="0"/>
  </r>
  <r>
    <x v="379"/>
    <x v="0"/>
    <x v="51"/>
    <x v="4"/>
    <n v="4"/>
    <x v="4"/>
    <x v="4"/>
    <s v="DocNum - 46482619"/>
    <m/>
    <m/>
    <x v="0"/>
    <m/>
    <m/>
    <m/>
    <x v="34"/>
    <m/>
    <x v="1"/>
    <n v="5"/>
    <s v="Não"/>
    <n v="0"/>
    <n v="0"/>
    <n v="1"/>
    <s v="Não"/>
    <s v="Não"/>
    <s v="Sim"/>
    <s v=""/>
    <b v="0"/>
  </r>
  <r>
    <x v="380"/>
    <x v="0"/>
    <x v="51"/>
    <x v="5"/>
    <n v="5"/>
    <x v="5"/>
    <x v="5"/>
    <s v="DocNum - 46482619"/>
    <m/>
    <m/>
    <x v="0"/>
    <d v="2025-05-12T00:00:00"/>
    <m/>
    <d v="2025-05-12T00:00:00"/>
    <x v="35"/>
    <m/>
    <x v="1"/>
    <n v="5"/>
    <s v="Não"/>
    <n v="0"/>
    <n v="0"/>
    <n v="1"/>
    <s v="Não"/>
    <s v="Não"/>
    <s v="Sim"/>
    <s v=""/>
    <b v="0"/>
  </r>
  <r>
    <x v="381"/>
    <x v="1"/>
    <x v="51"/>
    <x v="6"/>
    <n v="6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382"/>
    <x v="0"/>
    <x v="52"/>
    <x v="0"/>
    <n v="1"/>
    <x v="0"/>
    <x v="0"/>
    <n v="70583984"/>
    <s v="BEP: 70588445"/>
    <s v="OK"/>
    <x v="0"/>
    <s v="25/11/2025"/>
    <m/>
    <d v="2025-11-25T00:00:00"/>
    <x v="0"/>
    <m/>
    <x v="5"/>
    <n v="6"/>
    <s v="Não"/>
    <n v="0"/>
    <n v="0"/>
    <n v="1"/>
    <s v="Não"/>
    <s v="Não"/>
    <s v="Sim"/>
    <s v=""/>
    <b v="0"/>
  </r>
  <r>
    <x v="383"/>
    <x v="0"/>
    <x v="52"/>
    <x v="1"/>
    <n v="2"/>
    <x v="1"/>
    <x v="1"/>
    <n v="70583984"/>
    <s v="BEP: 70588445"/>
    <s v="OK"/>
    <x v="0"/>
    <s v="25/11/2025"/>
    <m/>
    <d v="2025-11-25T00:00:00"/>
    <x v="0"/>
    <m/>
    <x v="5"/>
    <n v="6"/>
    <s v="Não"/>
    <n v="0"/>
    <n v="0"/>
    <n v="1"/>
    <s v="Não"/>
    <s v="Não"/>
    <s v="Sim"/>
    <s v=""/>
    <b v="0"/>
  </r>
  <r>
    <x v="384"/>
    <x v="0"/>
    <x v="52"/>
    <x v="2"/>
    <n v="3"/>
    <x v="2"/>
    <x v="2"/>
    <n v="70583984"/>
    <s v="BEP: 70588445"/>
    <s v="OK"/>
    <x v="0"/>
    <s v="25/11/2025"/>
    <m/>
    <d v="2025-11-25T00:00:00"/>
    <x v="0"/>
    <m/>
    <x v="5"/>
    <n v="6"/>
    <s v="Não"/>
    <n v="0"/>
    <n v="0"/>
    <n v="1"/>
    <s v="Não"/>
    <s v="Não"/>
    <s v="Sim"/>
    <s v=""/>
    <b v="0"/>
  </r>
  <r>
    <x v="385"/>
    <x v="0"/>
    <x v="52"/>
    <x v="3"/>
    <n v="4"/>
    <x v="3"/>
    <x v="3"/>
    <s v="Docnum - 46482561"/>
    <m/>
    <s v="OK"/>
    <x v="0"/>
    <d v="2025-11-25T00:00:00"/>
    <m/>
    <d v="2025-11-25T00:00:00"/>
    <x v="0"/>
    <m/>
    <x v="5"/>
    <n v="6"/>
    <s v="Não"/>
    <n v="0"/>
    <n v="0"/>
    <n v="1"/>
    <s v="Não"/>
    <s v="Não"/>
    <s v="Sim"/>
    <s v=""/>
    <b v="0"/>
  </r>
  <r>
    <x v="386"/>
    <x v="0"/>
    <x v="52"/>
    <x v="8"/>
    <n v="5"/>
    <x v="8"/>
    <x v="4"/>
    <s v="Docnum - 46482561"/>
    <m/>
    <m/>
    <x v="0"/>
    <s v="27/11/2025"/>
    <m/>
    <d v="2025-11-27T00:00:00"/>
    <x v="0"/>
    <m/>
    <x v="5"/>
    <n v="6"/>
    <s v="Não"/>
    <n v="0"/>
    <n v="0"/>
    <n v="1"/>
    <s v="Não"/>
    <s v="Não"/>
    <s v="Sim"/>
    <s v=""/>
    <b v="0"/>
  </r>
  <r>
    <x v="387"/>
    <x v="0"/>
    <x v="52"/>
    <x v="5"/>
    <n v="6"/>
    <x v="5"/>
    <x v="5"/>
    <s v="Docnum - 46482561"/>
    <m/>
    <m/>
    <x v="0"/>
    <s v="27/11/2025"/>
    <m/>
    <d v="2025-11-27T00:00:00"/>
    <x v="0"/>
    <m/>
    <x v="5"/>
    <n v="6"/>
    <s v="Não"/>
    <n v="0"/>
    <n v="0"/>
    <n v="1"/>
    <s v="Não"/>
    <s v="Não"/>
    <s v="Sim"/>
    <s v=""/>
    <b v="0"/>
  </r>
  <r>
    <x v="388"/>
    <x v="1"/>
    <x v="52"/>
    <x v="6"/>
    <n v="7"/>
    <x v="6"/>
    <x v="4"/>
    <m/>
    <m/>
    <m/>
    <x v="1"/>
    <m/>
    <m/>
    <m/>
    <x v="0"/>
    <m/>
    <x v="5"/>
    <n v="6"/>
    <s v="Não"/>
    <n v="0"/>
    <n v="0"/>
    <n v="1"/>
    <s v="Não"/>
    <s v="Não"/>
    <s v="Sim"/>
    <s v=""/>
    <b v="0"/>
  </r>
  <r>
    <x v="389"/>
    <x v="0"/>
    <x v="53"/>
    <x v="0"/>
    <n v="1"/>
    <x v="0"/>
    <x v="6"/>
    <n v="60668362"/>
    <m/>
    <m/>
    <x v="0"/>
    <d v="2025-11-28T00:00:00"/>
    <m/>
    <d v="2025-11-28T00:00:00"/>
    <x v="0"/>
    <m/>
    <x v="6"/>
    <n v="5"/>
    <s v="Sim"/>
    <n v="0"/>
    <n v="0"/>
    <n v="0"/>
    <s v="Não"/>
    <s v="Não"/>
    <s v="Não"/>
    <s v=""/>
    <b v="0"/>
  </r>
  <r>
    <x v="390"/>
    <x v="0"/>
    <x v="53"/>
    <x v="1"/>
    <n v="2"/>
    <x v="1"/>
    <x v="1"/>
    <n v="60668362"/>
    <m/>
    <m/>
    <x v="0"/>
    <d v="2025-11-28T00:00:00"/>
    <m/>
    <d v="2025-11-28T00:00:00"/>
    <x v="0"/>
    <m/>
    <x v="6"/>
    <n v="5"/>
    <s v="Sim"/>
    <n v="0"/>
    <n v="0"/>
    <n v="0"/>
    <s v="Não"/>
    <s v="Não"/>
    <s v="Não"/>
    <s v=""/>
    <b v="0"/>
  </r>
  <r>
    <x v="391"/>
    <x v="0"/>
    <x v="53"/>
    <x v="3"/>
    <n v="3"/>
    <x v="3"/>
    <x v="6"/>
    <s v="DocNum - 46482620"/>
    <m/>
    <m/>
    <x v="0"/>
    <d v="2025-11-28T00:00:00"/>
    <m/>
    <d v="2025-11-28T00:00:00"/>
    <x v="36"/>
    <m/>
    <x v="6"/>
    <n v="5"/>
    <s v="Sim"/>
    <n v="0"/>
    <n v="0"/>
    <n v="0"/>
    <s v="Não"/>
    <s v="Não"/>
    <s v="Não"/>
    <s v=""/>
    <b v="0"/>
  </r>
  <r>
    <x v="392"/>
    <x v="0"/>
    <x v="53"/>
    <x v="4"/>
    <n v="4"/>
    <x v="4"/>
    <x v="4"/>
    <s v="DocNum - 46482620"/>
    <m/>
    <m/>
    <x v="0"/>
    <d v="2025-12-03T00:00:00"/>
    <m/>
    <d v="2025-12-03T00:00:00"/>
    <x v="0"/>
    <m/>
    <x v="6"/>
    <n v="5"/>
    <s v="Sim"/>
    <n v="0"/>
    <n v="0"/>
    <n v="0"/>
    <s v="Não"/>
    <s v="Não"/>
    <s v="Não"/>
    <s v=""/>
    <b v="0"/>
  </r>
  <r>
    <x v="393"/>
    <x v="0"/>
    <x v="53"/>
    <x v="5"/>
    <n v="5"/>
    <x v="5"/>
    <x v="5"/>
    <s v="DocNum - 46482620"/>
    <m/>
    <m/>
    <x v="0"/>
    <d v="2025-12-04T00:00:00"/>
    <m/>
    <d v="2025-12-04T00:00:00"/>
    <x v="32"/>
    <m/>
    <x v="6"/>
    <n v="5"/>
    <s v="Sim"/>
    <n v="0"/>
    <n v="0"/>
    <n v="0"/>
    <s v="Não"/>
    <s v="Não"/>
    <s v="Não"/>
    <s v=""/>
    <b v="0"/>
  </r>
  <r>
    <x v="394"/>
    <x v="1"/>
    <x v="54"/>
    <x v="6"/>
    <n v="6"/>
    <x v="6"/>
    <x v="4"/>
    <m/>
    <m/>
    <m/>
    <x v="1"/>
    <m/>
    <m/>
    <m/>
    <x v="0"/>
    <m/>
    <x v="5"/>
    <n v="5"/>
    <s v="Não"/>
    <n v="0"/>
    <n v="0"/>
    <n v="2"/>
    <s v="Não"/>
    <s v="Não"/>
    <s v="Sim"/>
    <s v=""/>
    <b v="0"/>
  </r>
  <r>
    <x v="395"/>
    <x v="0"/>
    <x v="54"/>
    <x v="0"/>
    <n v="1"/>
    <x v="0"/>
    <x v="6"/>
    <n v="60668366"/>
    <m/>
    <m/>
    <x v="0"/>
    <d v="2025-12-04T00:00:00"/>
    <m/>
    <d v="2025-12-04T00:00:00"/>
    <x v="0"/>
    <m/>
    <x v="5"/>
    <n v="5"/>
    <s v="Não"/>
    <n v="0"/>
    <n v="0"/>
    <n v="2"/>
    <s v="Não"/>
    <s v="Não"/>
    <s v="Sim"/>
    <s v=""/>
    <b v="0"/>
  </r>
  <r>
    <x v="396"/>
    <x v="0"/>
    <x v="54"/>
    <x v="1"/>
    <n v="2"/>
    <x v="1"/>
    <x v="1"/>
    <n v="60668366"/>
    <m/>
    <m/>
    <x v="0"/>
    <d v="2025-12-05T00:00:00"/>
    <m/>
    <d v="2025-12-05T00:00:00"/>
    <x v="0"/>
    <m/>
    <x v="5"/>
    <n v="5"/>
    <s v="Não"/>
    <n v="0"/>
    <n v="0"/>
    <n v="2"/>
    <s v="Não"/>
    <s v="Não"/>
    <s v="Sim"/>
    <s v=""/>
    <b v="0"/>
  </r>
  <r>
    <x v="397"/>
    <x v="0"/>
    <x v="54"/>
    <x v="3"/>
    <n v="3"/>
    <x v="3"/>
    <x v="6"/>
    <s v="DocNum - 46482762"/>
    <m/>
    <m/>
    <x v="0"/>
    <d v="2025-12-05T00:00:00"/>
    <m/>
    <d v="2025-12-05T00:00:00"/>
    <x v="37"/>
    <m/>
    <x v="5"/>
    <n v="5"/>
    <s v="Não"/>
    <n v="0"/>
    <n v="0"/>
    <n v="2"/>
    <s v="Não"/>
    <s v="Não"/>
    <s v="Sim"/>
    <s v=""/>
    <b v="0"/>
  </r>
  <r>
    <x v="398"/>
    <x v="0"/>
    <x v="54"/>
    <x v="4"/>
    <n v="4"/>
    <x v="4"/>
    <x v="4"/>
    <s v="DocNum - 46482762"/>
    <m/>
    <m/>
    <x v="0"/>
    <d v="2025-09-12T00:00:00"/>
    <m/>
    <d v="2025-09-12T00:00:00"/>
    <x v="0"/>
    <m/>
    <x v="5"/>
    <n v="5"/>
    <s v="Não"/>
    <n v="0"/>
    <n v="0"/>
    <n v="2"/>
    <s v="Não"/>
    <s v="Não"/>
    <s v="Sim"/>
    <s v=""/>
    <b v="0"/>
  </r>
  <r>
    <x v="399"/>
    <x v="0"/>
    <x v="54"/>
    <x v="5"/>
    <n v="5"/>
    <x v="5"/>
    <x v="5"/>
    <m/>
    <m/>
    <m/>
    <x v="0"/>
    <d v="2025-12-09T00:00:00"/>
    <m/>
    <d v="2025-12-09T00:00:00"/>
    <x v="38"/>
    <m/>
    <x v="5"/>
    <n v="5"/>
    <s v="Não"/>
    <n v="0"/>
    <n v="0"/>
    <n v="2"/>
    <s v="Não"/>
    <s v="Não"/>
    <s v="Sim"/>
    <s v=""/>
    <b v="0"/>
  </r>
  <r>
    <x v="400"/>
    <x v="1"/>
    <x v="54"/>
    <x v="6"/>
    <n v="6"/>
    <x v="6"/>
    <x v="4"/>
    <m/>
    <m/>
    <m/>
    <x v="1"/>
    <m/>
    <m/>
    <m/>
    <x v="0"/>
    <m/>
    <x v="5"/>
    <n v="5"/>
    <s v="Não"/>
    <n v="0"/>
    <n v="0"/>
    <n v="2"/>
    <s v="Não"/>
    <s v="Não"/>
    <s v="Sim"/>
    <s v=""/>
    <b v="0"/>
  </r>
  <r>
    <x v="401"/>
    <x v="0"/>
    <x v="55"/>
    <x v="0"/>
    <n v="1"/>
    <x v="0"/>
    <x v="0"/>
    <n v="15603620"/>
    <s v="BEP:15548099"/>
    <s v="OK"/>
    <x v="0"/>
    <d v="2025-10-17T00:00:00"/>
    <m/>
    <d v="2025-10-17T00:00:00"/>
    <x v="0"/>
    <m/>
    <x v="0"/>
    <n v="7"/>
    <s v="Não"/>
    <n v="0"/>
    <n v="0"/>
    <n v="1"/>
    <s v="Não"/>
    <s v="Não"/>
    <s v="Sim"/>
    <s v=""/>
    <b v="0"/>
  </r>
  <r>
    <x v="402"/>
    <x v="0"/>
    <x v="55"/>
    <x v="1"/>
    <n v="2"/>
    <x v="1"/>
    <x v="1"/>
    <n v="15603620"/>
    <s v="BEP:15548099"/>
    <s v="OK"/>
    <x v="0"/>
    <d v="2025-10-17T00:00:00"/>
    <m/>
    <d v="2025-10-17T00:00:00"/>
    <x v="0"/>
    <m/>
    <x v="0"/>
    <n v="7"/>
    <s v="Não"/>
    <n v="0"/>
    <n v="0"/>
    <n v="1"/>
    <s v="Não"/>
    <s v="Não"/>
    <s v="Sim"/>
    <s v=""/>
    <b v="0"/>
  </r>
  <r>
    <x v="403"/>
    <x v="0"/>
    <x v="55"/>
    <x v="2"/>
    <n v="3"/>
    <x v="2"/>
    <x v="2"/>
    <n v="15603620"/>
    <s v="BEP:15548099"/>
    <s v="OK"/>
    <x v="0"/>
    <d v="2025-10-17T00:00:00"/>
    <m/>
    <d v="2025-10-17T00:00:00"/>
    <x v="0"/>
    <m/>
    <x v="0"/>
    <n v="7"/>
    <s v="Não"/>
    <n v="0"/>
    <n v="0"/>
    <n v="1"/>
    <s v="Não"/>
    <s v="Não"/>
    <s v="Sim"/>
    <s v=""/>
    <b v="0"/>
  </r>
  <r>
    <x v="404"/>
    <x v="0"/>
    <x v="55"/>
    <x v="3"/>
    <n v="4"/>
    <x v="3"/>
    <x v="3"/>
    <s v="DocNum - 46482210"/>
    <m/>
    <m/>
    <x v="0"/>
    <d v="2025-10-17T00:00:00"/>
    <m/>
    <d v="2025-10-17T00:00:00"/>
    <x v="0"/>
    <m/>
    <x v="0"/>
    <n v="7"/>
    <s v="Não"/>
    <n v="0"/>
    <n v="0"/>
    <n v="1"/>
    <s v="Não"/>
    <s v="Não"/>
    <s v="Sim"/>
    <s v=""/>
    <b v="0"/>
  </r>
  <r>
    <x v="405"/>
    <x v="0"/>
    <x v="55"/>
    <x v="8"/>
    <n v="5"/>
    <x v="8"/>
    <x v="4"/>
    <s v="DocNum - 46482210"/>
    <m/>
    <m/>
    <x v="0"/>
    <d v="2025-10-17T00:00:00"/>
    <m/>
    <d v="2025-10-17T00:00:00"/>
    <x v="0"/>
    <m/>
    <x v="0"/>
    <n v="7"/>
    <s v="Não"/>
    <n v="0"/>
    <n v="0"/>
    <n v="1"/>
    <s v="Não"/>
    <s v="Não"/>
    <s v="Sim"/>
    <s v=""/>
    <b v="0"/>
  </r>
  <r>
    <x v="406"/>
    <x v="0"/>
    <x v="55"/>
    <x v="5"/>
    <n v="6"/>
    <x v="5"/>
    <x v="5"/>
    <s v="DocNum - 46482210"/>
    <m/>
    <m/>
    <x v="0"/>
    <s v="20/10/2025"/>
    <m/>
    <d v="2025-10-20T00:00:00"/>
    <x v="0"/>
    <m/>
    <x v="0"/>
    <n v="7"/>
    <s v="Não"/>
    <n v="0"/>
    <n v="0"/>
    <n v="1"/>
    <s v="Não"/>
    <s v="Não"/>
    <s v="Sim"/>
    <s v=""/>
    <b v="0"/>
  </r>
  <r>
    <x v="407"/>
    <x v="1"/>
    <x v="55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408"/>
    <x v="0"/>
    <x v="55"/>
    <x v="7"/>
    <n v="8"/>
    <x v="7"/>
    <x v="2"/>
    <n v="15603620"/>
    <s v="BEP:15548099"/>
    <s v="OK"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409"/>
    <x v="0"/>
    <x v="56"/>
    <x v="0"/>
    <n v="1"/>
    <x v="0"/>
    <x v="0"/>
    <n v="15603621"/>
    <s v="BEP: 15593169"/>
    <s v="OK"/>
    <x v="0"/>
    <s v="20/10/2025"/>
    <m/>
    <d v="2025-10-20T00:00:00"/>
    <x v="0"/>
    <m/>
    <x v="0"/>
    <n v="7"/>
    <s v="Não"/>
    <n v="0"/>
    <n v="0"/>
    <n v="1"/>
    <s v="Não"/>
    <s v="Não"/>
    <s v="Sim"/>
    <s v=""/>
    <b v="0"/>
  </r>
  <r>
    <x v="410"/>
    <x v="0"/>
    <x v="56"/>
    <x v="1"/>
    <n v="2"/>
    <x v="1"/>
    <x v="1"/>
    <n v="15603621"/>
    <s v="BEP: 15593169"/>
    <s v="OK"/>
    <x v="0"/>
    <s v="20/10/2025"/>
    <m/>
    <d v="2025-10-20T00:00:00"/>
    <x v="0"/>
    <m/>
    <x v="0"/>
    <n v="7"/>
    <s v="Não"/>
    <n v="0"/>
    <n v="0"/>
    <n v="1"/>
    <s v="Não"/>
    <s v="Não"/>
    <s v="Sim"/>
    <s v=""/>
    <b v="0"/>
  </r>
  <r>
    <x v="411"/>
    <x v="0"/>
    <x v="56"/>
    <x v="2"/>
    <n v="3"/>
    <x v="2"/>
    <x v="2"/>
    <n v="15603621"/>
    <s v="BEP: 15593169"/>
    <s v="OK"/>
    <x v="0"/>
    <s v="20/10/2025"/>
    <m/>
    <d v="2025-10-20T00:00:00"/>
    <x v="0"/>
    <m/>
    <x v="0"/>
    <n v="7"/>
    <s v="Não"/>
    <n v="0"/>
    <n v="0"/>
    <n v="1"/>
    <s v="Não"/>
    <s v="Não"/>
    <s v="Sim"/>
    <s v=""/>
    <b v="0"/>
  </r>
  <r>
    <x v="412"/>
    <x v="0"/>
    <x v="56"/>
    <x v="3"/>
    <n v="4"/>
    <x v="3"/>
    <x v="3"/>
    <s v="DocNum - 46482213"/>
    <m/>
    <m/>
    <x v="0"/>
    <d v="2025-10-21T00:00:00"/>
    <m/>
    <d v="2025-10-21T00:00:00"/>
    <x v="0"/>
    <m/>
    <x v="0"/>
    <n v="7"/>
    <s v="Não"/>
    <n v="0"/>
    <n v="0"/>
    <n v="1"/>
    <s v="Não"/>
    <s v="Não"/>
    <s v="Sim"/>
    <s v=""/>
    <b v="0"/>
  </r>
  <r>
    <x v="413"/>
    <x v="0"/>
    <x v="56"/>
    <x v="8"/>
    <n v="5"/>
    <x v="8"/>
    <x v="4"/>
    <s v="DocNum - 46482213"/>
    <m/>
    <m/>
    <x v="0"/>
    <s v="22/10/2025"/>
    <m/>
    <d v="2025-10-22T00:00:00"/>
    <x v="0"/>
    <m/>
    <x v="0"/>
    <n v="7"/>
    <s v="Não"/>
    <n v="0"/>
    <n v="0"/>
    <n v="1"/>
    <s v="Não"/>
    <s v="Não"/>
    <s v="Sim"/>
    <s v=""/>
    <b v="0"/>
  </r>
  <r>
    <x v="414"/>
    <x v="0"/>
    <x v="56"/>
    <x v="5"/>
    <n v="6"/>
    <x v="5"/>
    <x v="5"/>
    <s v="DocNum - 46482213"/>
    <m/>
    <m/>
    <x v="0"/>
    <s v="22/10/2025"/>
    <m/>
    <d v="2025-10-22T00:00:00"/>
    <x v="0"/>
    <m/>
    <x v="0"/>
    <n v="7"/>
    <s v="Não"/>
    <n v="0"/>
    <n v="0"/>
    <n v="1"/>
    <s v="Não"/>
    <s v="Não"/>
    <s v="Sim"/>
    <s v=""/>
    <b v="0"/>
  </r>
  <r>
    <x v="415"/>
    <x v="1"/>
    <x v="56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416"/>
    <x v="0"/>
    <x v="56"/>
    <x v="7"/>
    <n v="8"/>
    <x v="7"/>
    <x v="2"/>
    <n v="15603621"/>
    <s v="BEP: 15593169"/>
    <s v="OK"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417"/>
    <x v="1"/>
    <x v="57"/>
    <x v="0"/>
    <n v="1"/>
    <x v="0"/>
    <x v="6"/>
    <m/>
    <m/>
    <m/>
    <x v="2"/>
    <m/>
    <m/>
    <m/>
    <x v="39"/>
    <m/>
    <x v="1"/>
    <n v="0"/>
    <s v="Não"/>
    <n v="0"/>
    <n v="0"/>
    <n v="0"/>
    <s v="Não"/>
    <s v="Não"/>
    <s v="Não"/>
    <s v=""/>
    <b v="0"/>
  </r>
  <r>
    <x v="418"/>
    <x v="1"/>
    <x v="57"/>
    <x v="1"/>
    <n v="2"/>
    <x v="1"/>
    <x v="1"/>
    <m/>
    <m/>
    <m/>
    <x v="2"/>
    <m/>
    <m/>
    <m/>
    <x v="39"/>
    <m/>
    <x v="1"/>
    <n v="0"/>
    <s v="Não"/>
    <n v="0"/>
    <n v="0"/>
    <n v="0"/>
    <s v="Não"/>
    <s v="Não"/>
    <s v="Não"/>
    <s v=""/>
    <b v="0"/>
  </r>
  <r>
    <x v="419"/>
    <x v="1"/>
    <x v="57"/>
    <x v="3"/>
    <n v="3"/>
    <x v="3"/>
    <x v="6"/>
    <m/>
    <m/>
    <m/>
    <x v="2"/>
    <m/>
    <m/>
    <m/>
    <x v="39"/>
    <m/>
    <x v="1"/>
    <n v="0"/>
    <s v="Não"/>
    <n v="0"/>
    <n v="0"/>
    <n v="0"/>
    <s v="Não"/>
    <s v="Não"/>
    <s v="Não"/>
    <s v=""/>
    <b v="0"/>
  </r>
  <r>
    <x v="420"/>
    <x v="0"/>
    <x v="57"/>
    <x v="4"/>
    <n v="4"/>
    <x v="4"/>
    <x v="4"/>
    <m/>
    <m/>
    <m/>
    <x v="2"/>
    <m/>
    <m/>
    <m/>
    <x v="39"/>
    <m/>
    <x v="1"/>
    <n v="0"/>
    <s v="Não"/>
    <n v="0"/>
    <n v="0"/>
    <n v="0"/>
    <s v="Não"/>
    <s v="Não"/>
    <s v="Não"/>
    <s v=""/>
    <b v="0"/>
  </r>
  <r>
    <x v="421"/>
    <x v="1"/>
    <x v="57"/>
    <x v="5"/>
    <n v="5"/>
    <x v="5"/>
    <x v="5"/>
    <m/>
    <m/>
    <m/>
    <x v="2"/>
    <m/>
    <m/>
    <m/>
    <x v="39"/>
    <m/>
    <x v="1"/>
    <n v="0"/>
    <s v="Não"/>
    <n v="0"/>
    <n v="0"/>
    <n v="0"/>
    <s v="Não"/>
    <s v="Não"/>
    <s v="Não"/>
    <s v=""/>
    <b v="0"/>
  </r>
  <r>
    <x v="422"/>
    <x v="1"/>
    <x v="57"/>
    <x v="6"/>
    <n v="6"/>
    <x v="6"/>
    <x v="4"/>
    <m/>
    <m/>
    <m/>
    <x v="2"/>
    <m/>
    <m/>
    <m/>
    <x v="39"/>
    <m/>
    <x v="1"/>
    <n v="0"/>
    <s v="Não"/>
    <n v="0"/>
    <n v="0"/>
    <n v="0"/>
    <s v="Não"/>
    <s v="Não"/>
    <s v="Não"/>
    <s v=""/>
    <b v="0"/>
  </r>
  <r>
    <x v="423"/>
    <x v="0"/>
    <x v="58"/>
    <x v="0"/>
    <n v="1"/>
    <x v="0"/>
    <x v="6"/>
    <n v="60668345"/>
    <m/>
    <m/>
    <x v="0"/>
    <d v="2025-10-30T00:00:00"/>
    <m/>
    <d v="2025-10-30T00:00:00"/>
    <x v="0"/>
    <m/>
    <x v="6"/>
    <n v="5"/>
    <s v="Sim"/>
    <n v="0"/>
    <n v="0"/>
    <n v="0"/>
    <s v="Não"/>
    <s v="Não"/>
    <s v="Não"/>
    <s v=""/>
    <b v="0"/>
  </r>
  <r>
    <x v="424"/>
    <x v="0"/>
    <x v="58"/>
    <x v="1"/>
    <n v="2"/>
    <x v="1"/>
    <x v="1"/>
    <n v="60668345"/>
    <m/>
    <m/>
    <x v="0"/>
    <d v="2025-10-31T00:00:00"/>
    <m/>
    <d v="2025-10-31T00:00:00"/>
    <x v="0"/>
    <m/>
    <x v="6"/>
    <n v="5"/>
    <s v="Sim"/>
    <n v="0"/>
    <n v="0"/>
    <n v="0"/>
    <s v="Não"/>
    <s v="Não"/>
    <s v="Não"/>
    <s v=""/>
    <b v="0"/>
  </r>
  <r>
    <x v="425"/>
    <x v="0"/>
    <x v="58"/>
    <x v="3"/>
    <n v="4"/>
    <x v="3"/>
    <x v="6"/>
    <s v="DocNum - 46482346"/>
    <m/>
    <m/>
    <x v="0"/>
    <d v="2025-11-03T00:00:00"/>
    <m/>
    <d v="2025-11-03T00:00:00"/>
    <x v="40"/>
    <m/>
    <x v="6"/>
    <n v="5"/>
    <s v="Sim"/>
    <n v="0"/>
    <n v="0"/>
    <n v="0"/>
    <s v="Não"/>
    <s v="Não"/>
    <s v="Não"/>
    <s v=""/>
    <b v="0"/>
  </r>
  <r>
    <x v="426"/>
    <x v="0"/>
    <x v="58"/>
    <x v="8"/>
    <n v="5"/>
    <x v="8"/>
    <x v="4"/>
    <s v="DocNum - 46482346"/>
    <m/>
    <m/>
    <x v="0"/>
    <d v="2025-11-11T00:00:00"/>
    <m/>
    <d v="2025-11-11T00:00:00"/>
    <x v="0"/>
    <m/>
    <x v="6"/>
    <n v="5"/>
    <s v="Sim"/>
    <n v="0"/>
    <n v="0"/>
    <n v="0"/>
    <s v="Não"/>
    <s v="Não"/>
    <s v="Não"/>
    <s v=""/>
    <b v="0"/>
  </r>
  <r>
    <x v="427"/>
    <x v="0"/>
    <x v="58"/>
    <x v="5"/>
    <n v="6"/>
    <x v="5"/>
    <x v="5"/>
    <s v="DocNum - 46482346"/>
    <m/>
    <m/>
    <x v="0"/>
    <d v="2025-11-10T00:00:00"/>
    <m/>
    <d v="2025-12-11T00:00:00"/>
    <x v="0"/>
    <m/>
    <x v="6"/>
    <n v="5"/>
    <s v="Sim"/>
    <n v="0"/>
    <n v="0"/>
    <n v="0"/>
    <s v="Não"/>
    <s v="Não"/>
    <s v="Não"/>
    <s v=""/>
    <b v="0"/>
  </r>
  <r>
    <x v="428"/>
    <x v="0"/>
    <x v="59"/>
    <x v="0"/>
    <n v="1"/>
    <x v="0"/>
    <x v="0"/>
    <n v="15603646"/>
    <s v="BEP: 15573627"/>
    <s v="OK"/>
    <x v="0"/>
    <d v="2025-10-23T00:00:00"/>
    <m/>
    <d v="2025-10-23T00:00:00"/>
    <x v="0"/>
    <m/>
    <x v="0"/>
    <n v="7"/>
    <s v="Não"/>
    <n v="0"/>
    <n v="0"/>
    <n v="1"/>
    <s v="Não"/>
    <s v="Não"/>
    <s v="Sim"/>
    <s v=""/>
    <b v="0"/>
  </r>
  <r>
    <x v="429"/>
    <x v="0"/>
    <x v="59"/>
    <x v="1"/>
    <n v="2"/>
    <x v="1"/>
    <x v="1"/>
    <n v="15603646"/>
    <s v="BEP: 15573627"/>
    <s v="OK"/>
    <x v="0"/>
    <d v="2025-10-27T00:00:00"/>
    <m/>
    <d v="2025-10-27T00:00:00"/>
    <x v="0"/>
    <m/>
    <x v="0"/>
    <n v="7"/>
    <s v="Não"/>
    <n v="0"/>
    <n v="0"/>
    <n v="1"/>
    <s v="Não"/>
    <s v="Não"/>
    <s v="Sim"/>
    <s v=""/>
    <b v="0"/>
  </r>
  <r>
    <x v="430"/>
    <x v="0"/>
    <x v="59"/>
    <x v="2"/>
    <n v="3"/>
    <x v="2"/>
    <x v="2"/>
    <n v="15603646"/>
    <s v="BEP: 15573627"/>
    <s v="OK"/>
    <x v="0"/>
    <d v="2025-10-27T00:00:00"/>
    <m/>
    <d v="2025-10-27T00:00:00"/>
    <x v="0"/>
    <m/>
    <x v="0"/>
    <n v="7"/>
    <s v="Não"/>
    <n v="0"/>
    <n v="0"/>
    <n v="1"/>
    <s v="Não"/>
    <s v="Não"/>
    <s v="Sim"/>
    <s v=""/>
    <b v="0"/>
  </r>
  <r>
    <x v="431"/>
    <x v="0"/>
    <x v="59"/>
    <x v="3"/>
    <n v="4"/>
    <x v="3"/>
    <x v="3"/>
    <s v="DocNum - 46482259"/>
    <m/>
    <s v="OK"/>
    <x v="0"/>
    <d v="2025-10-27T00:00:00"/>
    <m/>
    <d v="2025-10-27T00:00:00"/>
    <x v="0"/>
    <m/>
    <x v="0"/>
    <n v="7"/>
    <s v="Não"/>
    <n v="0"/>
    <n v="0"/>
    <n v="1"/>
    <s v="Não"/>
    <s v="Não"/>
    <s v="Sim"/>
    <s v=""/>
    <b v="0"/>
  </r>
  <r>
    <x v="432"/>
    <x v="0"/>
    <x v="59"/>
    <x v="8"/>
    <n v="5"/>
    <x v="8"/>
    <x v="4"/>
    <s v="DocNum - 46482259"/>
    <m/>
    <s v="OK"/>
    <x v="0"/>
    <s v="28/10/2025"/>
    <m/>
    <d v="2025-10-28T00:00:00"/>
    <x v="0"/>
    <m/>
    <x v="0"/>
    <n v="7"/>
    <s v="Não"/>
    <n v="0"/>
    <n v="0"/>
    <n v="1"/>
    <s v="Não"/>
    <s v="Não"/>
    <s v="Sim"/>
    <s v=""/>
    <b v="0"/>
  </r>
  <r>
    <x v="433"/>
    <x v="0"/>
    <x v="59"/>
    <x v="5"/>
    <n v="6"/>
    <x v="5"/>
    <x v="5"/>
    <s v="DocNum - 46482259"/>
    <m/>
    <s v="OK"/>
    <x v="0"/>
    <s v="28/10/2025"/>
    <m/>
    <d v="2025-10-28T00:00:00"/>
    <x v="0"/>
    <m/>
    <x v="0"/>
    <n v="7"/>
    <s v="Não"/>
    <n v="0"/>
    <n v="0"/>
    <n v="1"/>
    <s v="Não"/>
    <s v="Não"/>
    <s v="Sim"/>
    <s v=""/>
    <b v="0"/>
  </r>
  <r>
    <x v="434"/>
    <x v="1"/>
    <x v="59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435"/>
    <x v="0"/>
    <x v="59"/>
    <x v="7"/>
    <n v="8"/>
    <x v="7"/>
    <x v="2"/>
    <n v="15603646"/>
    <s v="BEP: 15573627"/>
    <m/>
    <x v="0"/>
    <d v="2025-10-29T00:00:00"/>
    <m/>
    <d v="2025-10-29T00:00:00"/>
    <x v="0"/>
    <m/>
    <x v="0"/>
    <n v="7"/>
    <s v="Não"/>
    <n v="0"/>
    <n v="0"/>
    <n v="1"/>
    <s v="Não"/>
    <s v="Não"/>
    <s v="Sim"/>
    <s v=""/>
    <b v="0"/>
  </r>
  <r>
    <x v="436"/>
    <x v="0"/>
    <x v="60"/>
    <x v="0"/>
    <n v="1"/>
    <x v="0"/>
    <x v="6"/>
    <n v="60668346"/>
    <m/>
    <m/>
    <x v="0"/>
    <d v="2025-10-30T00:00:00"/>
    <m/>
    <d v="2025-10-30T00:00:00"/>
    <x v="0"/>
    <m/>
    <x v="6"/>
    <n v="5"/>
    <s v="Sim"/>
    <n v="0"/>
    <n v="0"/>
    <n v="0"/>
    <s v="Não"/>
    <s v="Não"/>
    <s v="Não"/>
    <s v=""/>
    <b v="0"/>
  </r>
  <r>
    <x v="437"/>
    <x v="0"/>
    <x v="60"/>
    <x v="1"/>
    <n v="2"/>
    <x v="1"/>
    <x v="1"/>
    <n v="60668346"/>
    <m/>
    <m/>
    <x v="0"/>
    <d v="2025-10-31T00:00:00"/>
    <m/>
    <d v="2025-10-31T00:00:00"/>
    <x v="0"/>
    <m/>
    <x v="6"/>
    <n v="5"/>
    <s v="Sim"/>
    <n v="0"/>
    <n v="0"/>
    <n v="0"/>
    <s v="Não"/>
    <s v="Não"/>
    <s v="Não"/>
    <s v=""/>
    <b v="0"/>
  </r>
  <r>
    <x v="438"/>
    <x v="0"/>
    <x v="60"/>
    <x v="3"/>
    <n v="4"/>
    <x v="3"/>
    <x v="6"/>
    <s v="DocNum - 46482363"/>
    <m/>
    <m/>
    <x v="0"/>
    <d v="2025-11-04T00:00:00"/>
    <m/>
    <d v="2025-11-04T00:00:00"/>
    <x v="41"/>
    <m/>
    <x v="6"/>
    <n v="5"/>
    <s v="Sim"/>
    <n v="0"/>
    <n v="0"/>
    <n v="0"/>
    <s v="Não"/>
    <s v="Não"/>
    <s v="Não"/>
    <s v=""/>
    <b v="0"/>
  </r>
  <r>
    <x v="439"/>
    <x v="0"/>
    <x v="60"/>
    <x v="8"/>
    <n v="5"/>
    <x v="8"/>
    <x v="4"/>
    <s v="DocNum - 46482363"/>
    <m/>
    <m/>
    <x v="0"/>
    <d v="2025-11-11T00:00:00"/>
    <m/>
    <d v="2025-11-11T00:00:00"/>
    <x v="0"/>
    <m/>
    <x v="6"/>
    <n v="5"/>
    <s v="Sim"/>
    <n v="0"/>
    <n v="0"/>
    <n v="0"/>
    <s v="Não"/>
    <s v="Não"/>
    <s v="Não"/>
    <s v=""/>
    <b v="0"/>
  </r>
  <r>
    <x v="440"/>
    <x v="0"/>
    <x v="60"/>
    <x v="5"/>
    <n v="6"/>
    <x v="5"/>
    <x v="5"/>
    <s v="DocNum - 46482363"/>
    <m/>
    <m/>
    <x v="0"/>
    <d v="2025-11-10T00:00:00"/>
    <m/>
    <d v="2025-12-11T00:00:00"/>
    <x v="0"/>
    <m/>
    <x v="6"/>
    <n v="5"/>
    <s v="Sim"/>
    <n v="0"/>
    <n v="0"/>
    <n v="0"/>
    <s v="Não"/>
    <s v="Não"/>
    <s v="Não"/>
    <s v=""/>
    <b v="0"/>
  </r>
  <r>
    <x v="441"/>
    <x v="0"/>
    <x v="61"/>
    <x v="0"/>
    <n v="1"/>
    <x v="0"/>
    <x v="0"/>
    <n v="15603658"/>
    <s v="BEP: 15578780"/>
    <s v="OK"/>
    <x v="0"/>
    <s v="27/10/2025"/>
    <m/>
    <d v="2025-10-27T00:00:00"/>
    <x v="0"/>
    <m/>
    <x v="0"/>
    <n v="7"/>
    <s v="Não"/>
    <n v="0"/>
    <n v="0"/>
    <n v="1"/>
    <s v="Não"/>
    <s v="Não"/>
    <s v="Sim"/>
    <s v=""/>
    <b v="0"/>
  </r>
  <r>
    <x v="442"/>
    <x v="0"/>
    <x v="61"/>
    <x v="1"/>
    <n v="2"/>
    <x v="1"/>
    <x v="1"/>
    <n v="15603658"/>
    <s v="BEP: 15578780"/>
    <s v="OK"/>
    <x v="0"/>
    <d v="2025-10-28T00:00:00"/>
    <m/>
    <d v="2025-10-28T00:00:00"/>
    <x v="0"/>
    <m/>
    <x v="0"/>
    <n v="7"/>
    <s v="Não"/>
    <n v="0"/>
    <n v="0"/>
    <n v="1"/>
    <s v="Não"/>
    <s v="Não"/>
    <s v="Sim"/>
    <s v=""/>
    <b v="0"/>
  </r>
  <r>
    <x v="443"/>
    <x v="0"/>
    <x v="61"/>
    <x v="2"/>
    <n v="3"/>
    <x v="2"/>
    <x v="2"/>
    <n v="15603658"/>
    <s v="BEP: 15578780"/>
    <m/>
    <x v="0"/>
    <d v="2025-10-28T00:00:00"/>
    <m/>
    <d v="2025-10-28T00:00:00"/>
    <x v="0"/>
    <m/>
    <x v="0"/>
    <n v="7"/>
    <s v="Não"/>
    <n v="0"/>
    <n v="0"/>
    <n v="1"/>
    <s v="Não"/>
    <s v="Não"/>
    <s v="Sim"/>
    <s v=""/>
    <b v="0"/>
  </r>
  <r>
    <x v="444"/>
    <x v="0"/>
    <x v="61"/>
    <x v="3"/>
    <n v="4"/>
    <x v="3"/>
    <x v="3"/>
    <s v="DocNum - 46482267"/>
    <m/>
    <m/>
    <x v="0"/>
    <d v="2025-10-28T00:00:00"/>
    <m/>
    <d v="2025-10-28T00:00:00"/>
    <x v="0"/>
    <m/>
    <x v="0"/>
    <n v="7"/>
    <s v="Não"/>
    <n v="0"/>
    <n v="0"/>
    <n v="1"/>
    <s v="Não"/>
    <s v="Não"/>
    <s v="Sim"/>
    <s v=""/>
    <b v="0"/>
  </r>
  <r>
    <x v="445"/>
    <x v="0"/>
    <x v="61"/>
    <x v="8"/>
    <n v="5"/>
    <x v="8"/>
    <x v="4"/>
    <s v="DocNum - 46482267"/>
    <m/>
    <m/>
    <x v="0"/>
    <s v="29/10/2025"/>
    <m/>
    <d v="2025-10-29T00:00:00"/>
    <x v="0"/>
    <m/>
    <x v="0"/>
    <n v="7"/>
    <s v="Não"/>
    <n v="0"/>
    <n v="0"/>
    <n v="1"/>
    <s v="Não"/>
    <s v="Não"/>
    <s v="Sim"/>
    <s v=""/>
    <b v="0"/>
  </r>
  <r>
    <x v="446"/>
    <x v="0"/>
    <x v="61"/>
    <x v="5"/>
    <n v="6"/>
    <x v="5"/>
    <x v="5"/>
    <s v="DocNum - 46482267"/>
    <m/>
    <m/>
    <x v="0"/>
    <s v="30/10/2025"/>
    <m/>
    <d v="2025-10-30T00:00:00"/>
    <x v="0"/>
    <m/>
    <x v="0"/>
    <n v="7"/>
    <s v="Não"/>
    <n v="0"/>
    <n v="0"/>
    <n v="1"/>
    <s v="Não"/>
    <s v="Não"/>
    <s v="Sim"/>
    <s v=""/>
    <b v="0"/>
  </r>
  <r>
    <x v="447"/>
    <x v="1"/>
    <x v="61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448"/>
    <x v="0"/>
    <x v="61"/>
    <x v="7"/>
    <n v="8"/>
    <x v="7"/>
    <x v="2"/>
    <n v="15603658"/>
    <s v="BEP: 15578780"/>
    <s v="OK"/>
    <x v="0"/>
    <d v="2025-10-28T00:00:00"/>
    <m/>
    <d v="2025-10-28T00:00:00"/>
    <x v="0"/>
    <m/>
    <x v="0"/>
    <n v="7"/>
    <s v="Não"/>
    <n v="0"/>
    <n v="0"/>
    <n v="1"/>
    <s v="Não"/>
    <s v="Não"/>
    <s v="Sim"/>
    <s v=""/>
    <b v="0"/>
  </r>
  <r>
    <x v="449"/>
    <x v="0"/>
    <x v="62"/>
    <x v="0"/>
    <n v="1"/>
    <x v="0"/>
    <x v="0"/>
    <n v="15603656"/>
    <s v="BEP: 15611065"/>
    <s v="OK"/>
    <x v="0"/>
    <s v="27/10/2025"/>
    <m/>
    <d v="2025-10-27T00:00:00"/>
    <x v="0"/>
    <m/>
    <x v="0"/>
    <n v="7"/>
    <s v="Não"/>
    <n v="0"/>
    <n v="0"/>
    <n v="1"/>
    <s v="Não"/>
    <s v="Não"/>
    <s v="Sim"/>
    <s v=""/>
    <b v="0"/>
  </r>
  <r>
    <x v="450"/>
    <x v="0"/>
    <x v="62"/>
    <x v="1"/>
    <n v="2"/>
    <x v="1"/>
    <x v="1"/>
    <n v="15603656"/>
    <s v="BEP: 15611065"/>
    <s v="OK"/>
    <x v="0"/>
    <s v="27/10/2025"/>
    <m/>
    <d v="2025-10-27T00:00:00"/>
    <x v="0"/>
    <m/>
    <x v="0"/>
    <n v="7"/>
    <s v="Não"/>
    <n v="0"/>
    <n v="0"/>
    <n v="1"/>
    <s v="Não"/>
    <s v="Não"/>
    <s v="Sim"/>
    <s v=""/>
    <b v="0"/>
  </r>
  <r>
    <x v="451"/>
    <x v="0"/>
    <x v="62"/>
    <x v="2"/>
    <n v="3"/>
    <x v="2"/>
    <x v="2"/>
    <n v="15603656"/>
    <s v="BEP: 15611065"/>
    <s v="OK"/>
    <x v="0"/>
    <d v="2025-10-28T00:00:00"/>
    <m/>
    <d v="2025-10-28T00:00:00"/>
    <x v="0"/>
    <m/>
    <x v="0"/>
    <n v="7"/>
    <s v="Não"/>
    <n v="0"/>
    <n v="0"/>
    <n v="1"/>
    <s v="Não"/>
    <s v="Não"/>
    <s v="Sim"/>
    <s v=""/>
    <b v="0"/>
  </r>
  <r>
    <x v="452"/>
    <x v="0"/>
    <x v="62"/>
    <x v="3"/>
    <n v="4"/>
    <x v="3"/>
    <x v="3"/>
    <s v="DocNum - 46482322"/>
    <m/>
    <s v="OK"/>
    <x v="0"/>
    <d v="2025-10-31T00:00:00"/>
    <m/>
    <d v="2025-10-31T00:00:00"/>
    <x v="0"/>
    <m/>
    <x v="0"/>
    <n v="7"/>
    <s v="Não"/>
    <n v="0"/>
    <n v="0"/>
    <n v="1"/>
    <s v="Não"/>
    <s v="Não"/>
    <s v="Sim"/>
    <s v=""/>
    <b v="0"/>
  </r>
  <r>
    <x v="453"/>
    <x v="0"/>
    <x v="62"/>
    <x v="4"/>
    <n v="5"/>
    <x v="8"/>
    <x v="4"/>
    <s v="DocNum - 46482322"/>
    <m/>
    <s v="OK"/>
    <x v="0"/>
    <d v="2025-11-07T00:00:00"/>
    <m/>
    <d v="2025-11-07T00:00:00"/>
    <x v="42"/>
    <m/>
    <x v="0"/>
    <n v="7"/>
    <s v="Não"/>
    <n v="0"/>
    <n v="0"/>
    <n v="1"/>
    <s v="Não"/>
    <s v="Não"/>
    <s v="Sim"/>
    <s v=""/>
    <b v="0"/>
  </r>
  <r>
    <x v="454"/>
    <x v="0"/>
    <x v="62"/>
    <x v="5"/>
    <n v="6"/>
    <x v="5"/>
    <x v="5"/>
    <s v="DocNum - 46482322"/>
    <m/>
    <m/>
    <x v="0"/>
    <d v="2025-10-11T00:00:00"/>
    <m/>
    <d v="2025-10-11T00:00:00"/>
    <x v="0"/>
    <m/>
    <x v="0"/>
    <n v="7"/>
    <s v="Não"/>
    <n v="0"/>
    <n v="0"/>
    <n v="1"/>
    <s v="Não"/>
    <s v="Não"/>
    <s v="Sim"/>
    <s v=""/>
    <b v="0"/>
  </r>
  <r>
    <x v="455"/>
    <x v="1"/>
    <x v="62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456"/>
    <x v="0"/>
    <x v="62"/>
    <x v="7"/>
    <n v="8"/>
    <x v="7"/>
    <x v="2"/>
    <n v="15603656"/>
    <s v="BEP: 15611065"/>
    <m/>
    <x v="0"/>
    <d v="2025-11-12T00:00:00"/>
    <m/>
    <d v="2025-11-12T00:00:00"/>
    <x v="0"/>
    <m/>
    <x v="0"/>
    <n v="7"/>
    <s v="Não"/>
    <n v="0"/>
    <n v="0"/>
    <n v="1"/>
    <s v="Não"/>
    <s v="Não"/>
    <s v="Sim"/>
    <s v=""/>
    <b v="0"/>
  </r>
  <r>
    <x v="457"/>
    <x v="0"/>
    <x v="63"/>
    <x v="0"/>
    <n v="1"/>
    <x v="0"/>
    <x v="0"/>
    <n v="15603623"/>
    <s v="BEP: 15602850"/>
    <s v="OK"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458"/>
    <x v="0"/>
    <x v="63"/>
    <x v="1"/>
    <n v="2"/>
    <x v="1"/>
    <x v="1"/>
    <n v="15603623"/>
    <s v="BEP: 15602850"/>
    <s v="OK"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459"/>
    <x v="0"/>
    <x v="63"/>
    <x v="2"/>
    <n v="3"/>
    <x v="2"/>
    <x v="2"/>
    <n v="15603623"/>
    <s v="BEP: 15602850"/>
    <s v="OK"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460"/>
    <x v="0"/>
    <x v="63"/>
    <x v="3"/>
    <n v="4"/>
    <x v="3"/>
    <x v="3"/>
    <s v="DocNum - 46482249"/>
    <m/>
    <s v="OK"/>
    <x v="0"/>
    <d v="2025-10-24T00:00:00"/>
    <m/>
    <d v="2025-10-24T00:00:00"/>
    <x v="0"/>
    <m/>
    <x v="0"/>
    <n v="7"/>
    <s v="Não"/>
    <n v="0"/>
    <n v="0"/>
    <n v="1"/>
    <s v="Não"/>
    <s v="Não"/>
    <s v="Sim"/>
    <s v=""/>
    <b v="0"/>
  </r>
  <r>
    <x v="461"/>
    <x v="0"/>
    <x v="63"/>
    <x v="4"/>
    <n v="5"/>
    <x v="8"/>
    <x v="4"/>
    <s v="DocNum - 46482249"/>
    <m/>
    <m/>
    <x v="0"/>
    <s v="27/10/2025"/>
    <m/>
    <d v="2025-10-27T00:00:00"/>
    <x v="0"/>
    <m/>
    <x v="0"/>
    <n v="7"/>
    <s v="Não"/>
    <n v="0"/>
    <n v="0"/>
    <n v="1"/>
    <s v="Não"/>
    <s v="Não"/>
    <s v="Sim"/>
    <s v=""/>
    <b v="0"/>
  </r>
  <r>
    <x v="462"/>
    <x v="0"/>
    <x v="63"/>
    <x v="5"/>
    <n v="6"/>
    <x v="5"/>
    <x v="5"/>
    <s v="DocNum - 46482249"/>
    <m/>
    <m/>
    <x v="0"/>
    <s v="27/10/2025"/>
    <m/>
    <d v="2025-10-27T00:00:00"/>
    <x v="0"/>
    <m/>
    <x v="0"/>
    <n v="7"/>
    <s v="Não"/>
    <n v="0"/>
    <n v="0"/>
    <n v="1"/>
    <s v="Não"/>
    <s v="Não"/>
    <s v="Sim"/>
    <s v=""/>
    <b v="0"/>
  </r>
  <r>
    <x v="463"/>
    <x v="1"/>
    <x v="63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464"/>
    <x v="0"/>
    <x v="63"/>
    <x v="7"/>
    <n v="8"/>
    <x v="7"/>
    <x v="2"/>
    <n v="15603623"/>
    <s v="BEP: 15602850"/>
    <s v="OK"/>
    <x v="0"/>
    <s v="27/10/2025"/>
    <m/>
    <d v="2025-10-27T00:00:00"/>
    <x v="0"/>
    <m/>
    <x v="0"/>
    <n v="7"/>
    <s v="Não"/>
    <n v="0"/>
    <n v="0"/>
    <n v="1"/>
    <s v="Não"/>
    <s v="Não"/>
    <s v="Sim"/>
    <s v=""/>
    <b v="0"/>
  </r>
  <r>
    <x v="465"/>
    <x v="0"/>
    <x v="64"/>
    <x v="0"/>
    <n v="1"/>
    <x v="0"/>
    <x v="0"/>
    <s v="15603671 "/>
    <s v="BEP: 15614236"/>
    <s v="OK"/>
    <x v="0"/>
    <d v="2025-11-03T00:00:00"/>
    <m/>
    <d v="2025-11-03T00:00:00"/>
    <x v="0"/>
    <m/>
    <x v="0"/>
    <n v="7"/>
    <s v="Não"/>
    <n v="0"/>
    <n v="0"/>
    <n v="1"/>
    <s v="Não"/>
    <s v="Não"/>
    <s v="Sim"/>
    <s v=""/>
    <b v="0"/>
  </r>
  <r>
    <x v="466"/>
    <x v="0"/>
    <x v="64"/>
    <x v="1"/>
    <n v="2"/>
    <x v="1"/>
    <x v="1"/>
    <s v="15603671 "/>
    <s v="BEP: 15614236"/>
    <s v="OK"/>
    <x v="0"/>
    <d v="2025-11-03T00:00:00"/>
    <m/>
    <d v="2025-11-03T00:00:00"/>
    <x v="0"/>
    <m/>
    <x v="0"/>
    <n v="7"/>
    <s v="Não"/>
    <n v="0"/>
    <n v="0"/>
    <n v="1"/>
    <s v="Não"/>
    <s v="Não"/>
    <s v="Sim"/>
    <s v=""/>
    <b v="0"/>
  </r>
  <r>
    <x v="467"/>
    <x v="0"/>
    <x v="64"/>
    <x v="2"/>
    <n v="3"/>
    <x v="2"/>
    <x v="2"/>
    <s v="15603671 "/>
    <s v="BEP: 15614236"/>
    <s v="OK"/>
    <x v="0"/>
    <d v="2025-11-03T00:00:00"/>
    <m/>
    <d v="2025-11-03T00:00:00"/>
    <x v="0"/>
    <m/>
    <x v="0"/>
    <n v="7"/>
    <s v="Não"/>
    <n v="0"/>
    <n v="0"/>
    <n v="1"/>
    <s v="Não"/>
    <s v="Não"/>
    <s v="Sim"/>
    <s v=""/>
    <b v="0"/>
  </r>
  <r>
    <x v="468"/>
    <x v="0"/>
    <x v="64"/>
    <x v="3"/>
    <n v="4"/>
    <x v="3"/>
    <x v="3"/>
    <s v="DocNum - 46482352"/>
    <m/>
    <s v="OK"/>
    <x v="0"/>
    <d v="2025-11-04T00:00:00"/>
    <m/>
    <d v="2025-11-04T00:00:00"/>
    <x v="0"/>
    <m/>
    <x v="0"/>
    <n v="7"/>
    <s v="Não"/>
    <n v="0"/>
    <n v="0"/>
    <n v="1"/>
    <s v="Não"/>
    <s v="Não"/>
    <s v="Sim"/>
    <s v=""/>
    <b v="0"/>
  </r>
  <r>
    <x v="469"/>
    <x v="0"/>
    <x v="64"/>
    <x v="4"/>
    <n v="5"/>
    <x v="8"/>
    <x v="4"/>
    <s v="DocNum - 46482352"/>
    <m/>
    <s v="OK"/>
    <x v="0"/>
    <d v="2025-11-10T00:00:00"/>
    <m/>
    <d v="2025-11-10T00:00:00"/>
    <x v="43"/>
    <m/>
    <x v="0"/>
    <n v="7"/>
    <s v="Não"/>
    <n v="0"/>
    <n v="0"/>
    <n v="1"/>
    <s v="Não"/>
    <s v="Não"/>
    <s v="Sim"/>
    <s v=""/>
    <b v="0"/>
  </r>
  <r>
    <x v="470"/>
    <x v="0"/>
    <x v="64"/>
    <x v="5"/>
    <n v="6"/>
    <x v="5"/>
    <x v="5"/>
    <s v="DocNum - 46482352"/>
    <m/>
    <s v="OK"/>
    <x v="0"/>
    <d v="2025-11-10T00:00:00"/>
    <m/>
    <d v="2025-11-10T00:00:00"/>
    <x v="0"/>
    <m/>
    <x v="0"/>
    <n v="7"/>
    <s v="Não"/>
    <n v="0"/>
    <n v="0"/>
    <n v="1"/>
    <s v="Não"/>
    <s v="Não"/>
    <s v="Sim"/>
    <s v=""/>
    <b v="0"/>
  </r>
  <r>
    <x v="471"/>
    <x v="1"/>
    <x v="64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472"/>
    <x v="0"/>
    <x v="64"/>
    <x v="7"/>
    <n v="8"/>
    <x v="7"/>
    <x v="2"/>
    <s v="15603671 "/>
    <s v="BEP: 15614236"/>
    <m/>
    <x v="0"/>
    <d v="2025-11-12T00:00:00"/>
    <m/>
    <d v="2025-11-12T00:00:00"/>
    <x v="0"/>
    <m/>
    <x v="0"/>
    <n v="7"/>
    <s v="Não"/>
    <n v="0"/>
    <n v="0"/>
    <n v="1"/>
    <s v="Não"/>
    <s v="Não"/>
    <s v="Sim"/>
    <s v=""/>
    <b v="0"/>
  </r>
  <r>
    <x v="473"/>
    <x v="1"/>
    <x v="65"/>
    <x v="0"/>
    <n v="1"/>
    <x v="0"/>
    <x v="6"/>
    <m/>
    <m/>
    <m/>
    <x v="2"/>
    <m/>
    <m/>
    <m/>
    <x v="44"/>
    <m/>
    <x v="7"/>
    <n v="0"/>
    <s v="Não"/>
    <n v="0"/>
    <n v="0"/>
    <n v="0"/>
    <s v="Não"/>
    <s v="Não"/>
    <s v="Não"/>
    <s v=""/>
    <b v="0"/>
  </r>
  <r>
    <x v="474"/>
    <x v="1"/>
    <x v="66"/>
    <x v="1"/>
    <n v="2"/>
    <x v="1"/>
    <x v="1"/>
    <m/>
    <m/>
    <m/>
    <x v="2"/>
    <m/>
    <m/>
    <m/>
    <x v="44"/>
    <m/>
    <x v="6"/>
    <n v="0"/>
    <s v="Não"/>
    <n v="0"/>
    <n v="0"/>
    <n v="0"/>
    <s v="Não"/>
    <s v="Não"/>
    <s v="Não"/>
    <s v=""/>
    <b v="0"/>
  </r>
  <r>
    <x v="475"/>
    <x v="1"/>
    <x v="66"/>
    <x v="3"/>
    <n v="3"/>
    <x v="3"/>
    <x v="6"/>
    <m/>
    <m/>
    <m/>
    <x v="2"/>
    <m/>
    <m/>
    <m/>
    <x v="44"/>
    <m/>
    <x v="6"/>
    <n v="0"/>
    <s v="Não"/>
    <n v="0"/>
    <n v="0"/>
    <n v="0"/>
    <s v="Não"/>
    <s v="Não"/>
    <s v="Não"/>
    <s v=""/>
    <b v="0"/>
  </r>
  <r>
    <x v="476"/>
    <x v="1"/>
    <x v="66"/>
    <x v="4"/>
    <n v="4"/>
    <x v="4"/>
    <x v="4"/>
    <m/>
    <m/>
    <m/>
    <x v="2"/>
    <m/>
    <m/>
    <m/>
    <x v="44"/>
    <m/>
    <x v="6"/>
    <n v="0"/>
    <s v="Não"/>
    <n v="0"/>
    <n v="0"/>
    <n v="0"/>
    <s v="Não"/>
    <s v="Não"/>
    <s v="Não"/>
    <s v=""/>
    <b v="0"/>
  </r>
  <r>
    <x v="477"/>
    <x v="1"/>
    <x v="66"/>
    <x v="5"/>
    <n v="5"/>
    <x v="5"/>
    <x v="5"/>
    <m/>
    <m/>
    <m/>
    <x v="2"/>
    <m/>
    <m/>
    <m/>
    <x v="44"/>
    <m/>
    <x v="6"/>
    <n v="0"/>
    <s v="Não"/>
    <n v="0"/>
    <n v="0"/>
    <n v="0"/>
    <s v="Não"/>
    <s v="Não"/>
    <s v="Não"/>
    <s v=""/>
    <b v="0"/>
  </r>
  <r>
    <x v="478"/>
    <x v="1"/>
    <x v="66"/>
    <x v="6"/>
    <n v="6"/>
    <x v="6"/>
    <x v="4"/>
    <m/>
    <m/>
    <m/>
    <x v="2"/>
    <m/>
    <m/>
    <m/>
    <x v="44"/>
    <m/>
    <x v="6"/>
    <n v="0"/>
    <s v="Não"/>
    <n v="0"/>
    <n v="0"/>
    <n v="0"/>
    <s v="Não"/>
    <s v="Não"/>
    <s v="Não"/>
    <s v=""/>
    <b v="0"/>
  </r>
  <r>
    <x v="479"/>
    <x v="1"/>
    <x v="67"/>
    <x v="0"/>
    <n v="1"/>
    <x v="0"/>
    <x v="6"/>
    <m/>
    <m/>
    <m/>
    <x v="2"/>
    <m/>
    <m/>
    <m/>
    <x v="45"/>
    <m/>
    <x v="7"/>
    <n v="0"/>
    <s v="Não"/>
    <n v="0"/>
    <n v="0"/>
    <n v="0"/>
    <s v="Não"/>
    <s v="Não"/>
    <s v="Não"/>
    <s v=""/>
    <b v="0"/>
  </r>
  <r>
    <x v="480"/>
    <x v="1"/>
    <x v="68"/>
    <x v="1"/>
    <n v="2"/>
    <x v="1"/>
    <x v="1"/>
    <m/>
    <m/>
    <m/>
    <x v="2"/>
    <m/>
    <m/>
    <m/>
    <x v="45"/>
    <m/>
    <x v="3"/>
    <n v="0"/>
    <s v="Não"/>
    <n v="0"/>
    <n v="0"/>
    <n v="0"/>
    <s v="Não"/>
    <s v="Não"/>
    <s v="Não"/>
    <s v=""/>
    <b v="0"/>
  </r>
  <r>
    <x v="481"/>
    <x v="1"/>
    <x v="68"/>
    <x v="3"/>
    <n v="4"/>
    <x v="3"/>
    <x v="6"/>
    <m/>
    <m/>
    <m/>
    <x v="2"/>
    <m/>
    <m/>
    <m/>
    <x v="45"/>
    <m/>
    <x v="3"/>
    <n v="0"/>
    <s v="Não"/>
    <n v="0"/>
    <n v="0"/>
    <n v="0"/>
    <s v="Não"/>
    <s v="Não"/>
    <s v="Não"/>
    <s v=""/>
    <b v="0"/>
  </r>
  <r>
    <x v="482"/>
    <x v="1"/>
    <x v="68"/>
    <x v="8"/>
    <n v="5"/>
    <x v="8"/>
    <x v="4"/>
    <m/>
    <m/>
    <m/>
    <x v="2"/>
    <m/>
    <m/>
    <m/>
    <x v="45"/>
    <m/>
    <x v="3"/>
    <n v="0"/>
    <s v="Não"/>
    <n v="0"/>
    <n v="0"/>
    <n v="0"/>
    <s v="Não"/>
    <s v="Não"/>
    <s v="Não"/>
    <s v=""/>
    <b v="0"/>
  </r>
  <r>
    <x v="483"/>
    <x v="1"/>
    <x v="68"/>
    <x v="5"/>
    <n v="6"/>
    <x v="5"/>
    <x v="5"/>
    <m/>
    <m/>
    <m/>
    <x v="2"/>
    <m/>
    <m/>
    <m/>
    <x v="45"/>
    <m/>
    <x v="3"/>
    <n v="0"/>
    <s v="Não"/>
    <n v="0"/>
    <n v="0"/>
    <n v="0"/>
    <s v="Não"/>
    <s v="Não"/>
    <s v="Não"/>
    <s v=""/>
    <b v="0"/>
  </r>
  <r>
    <x v="484"/>
    <x v="0"/>
    <x v="69"/>
    <x v="0"/>
    <n v="1"/>
    <x v="0"/>
    <x v="0"/>
    <n v="15603645"/>
    <s v="BEP:15612675"/>
    <s v="OK"/>
    <x v="0"/>
    <d v="2025-10-23T00:00:00"/>
    <m/>
    <d v="2025-10-23T00:00:00"/>
    <x v="0"/>
    <m/>
    <x v="0"/>
    <n v="7"/>
    <s v="Não"/>
    <n v="0"/>
    <n v="0"/>
    <n v="1"/>
    <s v="Não"/>
    <s v="Não"/>
    <s v="Sim"/>
    <s v=""/>
    <b v="0"/>
  </r>
  <r>
    <x v="485"/>
    <x v="0"/>
    <x v="69"/>
    <x v="1"/>
    <n v="2"/>
    <x v="1"/>
    <x v="1"/>
    <n v="15603645"/>
    <s v="BEP:15612675"/>
    <s v="OK"/>
    <x v="0"/>
    <d v="2025-10-23T00:00:00"/>
    <m/>
    <d v="2025-10-23T00:00:00"/>
    <x v="0"/>
    <m/>
    <x v="0"/>
    <n v="7"/>
    <s v="Não"/>
    <n v="0"/>
    <n v="0"/>
    <n v="1"/>
    <s v="Não"/>
    <s v="Não"/>
    <s v="Sim"/>
    <s v=""/>
    <b v="0"/>
  </r>
  <r>
    <x v="486"/>
    <x v="0"/>
    <x v="69"/>
    <x v="2"/>
    <n v="3"/>
    <x v="2"/>
    <x v="2"/>
    <n v="15603645"/>
    <s v="BEP:15612675"/>
    <s v="OK"/>
    <x v="0"/>
    <d v="2025-10-23T00:00:00"/>
    <m/>
    <d v="2025-10-23T00:00:00"/>
    <x v="0"/>
    <m/>
    <x v="0"/>
    <n v="7"/>
    <s v="Não"/>
    <n v="0"/>
    <n v="0"/>
    <n v="1"/>
    <s v="Não"/>
    <s v="Não"/>
    <s v="Sim"/>
    <s v=""/>
    <b v="0"/>
  </r>
  <r>
    <x v="487"/>
    <x v="0"/>
    <x v="69"/>
    <x v="3"/>
    <n v="4"/>
    <x v="3"/>
    <x v="3"/>
    <s v="DocNum - 46482250"/>
    <m/>
    <s v="OK"/>
    <x v="0"/>
    <d v="2025-10-24T00:00:00"/>
    <m/>
    <d v="2025-10-24T00:00:00"/>
    <x v="0"/>
    <m/>
    <x v="0"/>
    <n v="7"/>
    <s v="Não"/>
    <n v="0"/>
    <n v="0"/>
    <n v="1"/>
    <s v="Não"/>
    <s v="Não"/>
    <s v="Sim"/>
    <s v=""/>
    <b v="0"/>
  </r>
  <r>
    <x v="488"/>
    <x v="0"/>
    <x v="69"/>
    <x v="4"/>
    <n v="5"/>
    <x v="8"/>
    <x v="4"/>
    <s v="DocNum - 46482250"/>
    <m/>
    <m/>
    <x v="0"/>
    <s v="27/10/2025"/>
    <m/>
    <d v="2025-10-27T00:00:00"/>
    <x v="0"/>
    <m/>
    <x v="0"/>
    <n v="7"/>
    <s v="Não"/>
    <n v="0"/>
    <n v="0"/>
    <n v="1"/>
    <s v="Não"/>
    <s v="Não"/>
    <s v="Sim"/>
    <s v=""/>
    <b v="0"/>
  </r>
  <r>
    <x v="489"/>
    <x v="0"/>
    <x v="69"/>
    <x v="5"/>
    <n v="6"/>
    <x v="5"/>
    <x v="5"/>
    <s v="DocNum - 46482250"/>
    <m/>
    <m/>
    <x v="0"/>
    <s v="27/10/2025"/>
    <m/>
    <d v="2025-10-27T00:00:00"/>
    <x v="0"/>
    <m/>
    <x v="0"/>
    <n v="7"/>
    <s v="Não"/>
    <n v="0"/>
    <n v="0"/>
    <n v="1"/>
    <s v="Não"/>
    <s v="Não"/>
    <s v="Sim"/>
    <s v=""/>
    <b v="0"/>
  </r>
  <r>
    <x v="490"/>
    <x v="1"/>
    <x v="69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491"/>
    <x v="0"/>
    <x v="69"/>
    <x v="7"/>
    <n v="8"/>
    <x v="7"/>
    <x v="2"/>
    <n v="15603645"/>
    <s v="BEP:15612675"/>
    <m/>
    <x v="0"/>
    <d v="2025-10-27T00:00:00"/>
    <m/>
    <d v="2025-10-27T00:00:00"/>
    <x v="0"/>
    <m/>
    <x v="0"/>
    <n v="7"/>
    <s v="Não"/>
    <n v="0"/>
    <n v="0"/>
    <n v="1"/>
    <s v="Não"/>
    <s v="Não"/>
    <s v="Sim"/>
    <s v=""/>
    <b v="0"/>
  </r>
  <r>
    <x v="492"/>
    <x v="0"/>
    <x v="70"/>
    <x v="0"/>
    <n v="1"/>
    <x v="0"/>
    <x v="0"/>
    <n v="70583969"/>
    <m/>
    <m/>
    <x v="0"/>
    <d v="2025-10-28T00:00:00"/>
    <m/>
    <d v="2025-10-28T00:00:00"/>
    <x v="0"/>
    <m/>
    <x v="1"/>
    <n v="5"/>
    <s v="Não"/>
    <n v="0"/>
    <n v="0"/>
    <n v="1"/>
    <s v="Não"/>
    <s v="Não"/>
    <s v="Sim"/>
    <s v=""/>
    <b v="0"/>
  </r>
  <r>
    <x v="493"/>
    <x v="0"/>
    <x v="70"/>
    <x v="3"/>
    <n v="4"/>
    <x v="3"/>
    <x v="3"/>
    <s v="DocNum - 46482353"/>
    <m/>
    <m/>
    <x v="0"/>
    <d v="2025-11-04T00:00:00"/>
    <m/>
    <d v="2025-11-04T00:00:00"/>
    <x v="0"/>
    <m/>
    <x v="1"/>
    <n v="5"/>
    <s v="Não"/>
    <n v="0"/>
    <n v="0"/>
    <n v="1"/>
    <s v="Não"/>
    <s v="Não"/>
    <s v="Sim"/>
    <s v=""/>
    <b v="0"/>
  </r>
  <r>
    <x v="494"/>
    <x v="0"/>
    <x v="70"/>
    <x v="4"/>
    <n v="5"/>
    <x v="8"/>
    <x v="4"/>
    <s v="DocNum - 46482353"/>
    <m/>
    <m/>
    <x v="0"/>
    <d v="2025-11-07T00:00:00"/>
    <m/>
    <d v="2025-11-07T00:00:00"/>
    <x v="0"/>
    <m/>
    <x v="1"/>
    <n v="5"/>
    <s v="Não"/>
    <n v="0"/>
    <n v="0"/>
    <n v="1"/>
    <s v="Não"/>
    <s v="Não"/>
    <s v="Sim"/>
    <s v=""/>
    <b v="0"/>
  </r>
  <r>
    <x v="495"/>
    <x v="0"/>
    <x v="70"/>
    <x v="5"/>
    <n v="6"/>
    <x v="5"/>
    <x v="5"/>
    <s v="DocNum - 46482353"/>
    <m/>
    <m/>
    <x v="0"/>
    <d v="2025-11-10T00:00:00"/>
    <m/>
    <d v="2025-11-07T00:00:00"/>
    <x v="0"/>
    <m/>
    <x v="1"/>
    <n v="5"/>
    <s v="Não"/>
    <n v="0"/>
    <n v="0"/>
    <n v="1"/>
    <s v="Não"/>
    <s v="Não"/>
    <s v="Sim"/>
    <s v=""/>
    <b v="0"/>
  </r>
  <r>
    <x v="496"/>
    <x v="1"/>
    <x v="70"/>
    <x v="6"/>
    <n v="7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497"/>
    <x v="0"/>
    <x v="70"/>
    <x v="7"/>
    <n v="8"/>
    <x v="7"/>
    <x v="2"/>
    <n v="70583969"/>
    <m/>
    <m/>
    <x v="0"/>
    <d v="2025-11-12T00:00:00"/>
    <m/>
    <d v="2025-11-12T00:00:00"/>
    <x v="0"/>
    <m/>
    <x v="1"/>
    <n v="5"/>
    <s v="Não"/>
    <n v="0"/>
    <n v="0"/>
    <n v="1"/>
    <s v="Não"/>
    <s v="Não"/>
    <s v="Sim"/>
    <s v=""/>
    <b v="0"/>
  </r>
  <r>
    <x v="498"/>
    <x v="0"/>
    <x v="71"/>
    <x v="0"/>
    <n v="1"/>
    <x v="0"/>
    <x v="8"/>
    <n v="15603617"/>
    <s v="BEP: 15645777"/>
    <s v="OK"/>
    <x v="0"/>
    <d v="2025-10-16T00:00:00"/>
    <m/>
    <d v="2025-10-16T00:00:00"/>
    <x v="0"/>
    <m/>
    <x v="6"/>
    <n v="5"/>
    <s v="Sim"/>
    <n v="0"/>
    <n v="0"/>
    <n v="0"/>
    <s v="Não"/>
    <s v="Não"/>
    <s v="Não"/>
    <s v=""/>
    <b v="0"/>
  </r>
  <r>
    <x v="499"/>
    <x v="0"/>
    <x v="71"/>
    <x v="1"/>
    <n v="2"/>
    <x v="1"/>
    <x v="1"/>
    <n v="15603617"/>
    <s v="BEP: 15645777"/>
    <s v="OK"/>
    <x v="0"/>
    <d v="2025-10-16T00:00:00"/>
    <m/>
    <d v="2025-10-16T00:00:00"/>
    <x v="0"/>
    <m/>
    <x v="6"/>
    <n v="5"/>
    <s v="Sim"/>
    <n v="0"/>
    <n v="0"/>
    <n v="0"/>
    <s v="Não"/>
    <s v="Não"/>
    <s v="Não"/>
    <s v=""/>
    <b v="0"/>
  </r>
  <r>
    <x v="500"/>
    <x v="0"/>
    <x v="71"/>
    <x v="2"/>
    <n v="3"/>
    <x v="2"/>
    <x v="2"/>
    <n v="15603617"/>
    <s v="BEP: 15645777"/>
    <s v="OK"/>
    <x v="0"/>
    <d v="2025-10-16T00:00:00"/>
    <m/>
    <d v="2025-10-16T00:00:00"/>
    <x v="0"/>
    <m/>
    <x v="6"/>
    <n v="5"/>
    <s v="Sim"/>
    <n v="0"/>
    <n v="0"/>
    <n v="0"/>
    <s v="Não"/>
    <s v="Não"/>
    <s v="Não"/>
    <s v=""/>
    <b v="0"/>
  </r>
  <r>
    <x v="501"/>
    <x v="0"/>
    <x v="71"/>
    <x v="3"/>
    <n v="4"/>
    <x v="3"/>
    <x v="6"/>
    <s v="DocNum - 46482200"/>
    <m/>
    <m/>
    <x v="0"/>
    <d v="2025-10-17T00:00:00"/>
    <m/>
    <d v="2025-10-17T00:00:00"/>
    <x v="46"/>
    <m/>
    <x v="6"/>
    <n v="5"/>
    <s v="Sim"/>
    <n v="0"/>
    <n v="0"/>
    <n v="0"/>
    <s v="Não"/>
    <s v="Não"/>
    <s v="Não"/>
    <s v=""/>
    <b v="0"/>
  </r>
  <r>
    <x v="502"/>
    <x v="0"/>
    <x v="71"/>
    <x v="8"/>
    <n v="5"/>
    <x v="8"/>
    <x v="4"/>
    <s v="DocNum - 46482200"/>
    <m/>
    <m/>
    <x v="0"/>
    <d v="2025-10-17T00:00:00"/>
    <m/>
    <d v="2025-10-17T00:00:00"/>
    <x v="0"/>
    <m/>
    <x v="6"/>
    <n v="5"/>
    <s v="Sim"/>
    <n v="0"/>
    <n v="0"/>
    <n v="0"/>
    <s v="Não"/>
    <s v="Não"/>
    <s v="Não"/>
    <s v=""/>
    <b v="0"/>
  </r>
  <r>
    <x v="503"/>
    <x v="0"/>
    <x v="72"/>
    <x v="0"/>
    <n v="1"/>
    <x v="0"/>
    <x v="8"/>
    <n v="15603672"/>
    <s v="BEP: 15602934"/>
    <s v="OK"/>
    <x v="0"/>
    <d v="2025-11-03T00:00:00"/>
    <m/>
    <d v="2025-11-03T00:00:00"/>
    <x v="0"/>
    <m/>
    <x v="6"/>
    <n v="5"/>
    <s v="Sim"/>
    <n v="0"/>
    <n v="0"/>
    <n v="0"/>
    <s v="Não"/>
    <s v="Não"/>
    <s v="Não"/>
    <s v=""/>
    <b v="0"/>
  </r>
  <r>
    <x v="504"/>
    <x v="0"/>
    <x v="72"/>
    <x v="1"/>
    <n v="2"/>
    <x v="1"/>
    <x v="1"/>
    <n v="15603672"/>
    <s v="BEP: 15602934"/>
    <s v="OK"/>
    <x v="0"/>
    <d v="2025-11-03T00:00:00"/>
    <m/>
    <d v="2025-11-03T00:00:00"/>
    <x v="0"/>
    <m/>
    <x v="6"/>
    <n v="5"/>
    <s v="Sim"/>
    <n v="0"/>
    <n v="0"/>
    <n v="0"/>
    <s v="Não"/>
    <s v="Não"/>
    <s v="Não"/>
    <s v=""/>
    <b v="0"/>
  </r>
  <r>
    <x v="505"/>
    <x v="0"/>
    <x v="72"/>
    <x v="2"/>
    <n v="3"/>
    <x v="2"/>
    <x v="2"/>
    <s v="DocNum - 46482200"/>
    <m/>
    <m/>
    <x v="0"/>
    <d v="2025-11-03T00:00:00"/>
    <m/>
    <d v="2025-11-03T00:00:00"/>
    <x v="0"/>
    <m/>
    <x v="6"/>
    <n v="5"/>
    <s v="Sim"/>
    <n v="0"/>
    <n v="0"/>
    <n v="0"/>
    <s v="Não"/>
    <s v="Não"/>
    <s v="Não"/>
    <s v=""/>
    <b v="0"/>
  </r>
  <r>
    <x v="506"/>
    <x v="0"/>
    <x v="72"/>
    <x v="3"/>
    <n v="4"/>
    <x v="3"/>
    <x v="6"/>
    <s v="DocNum - 46482347"/>
    <m/>
    <m/>
    <x v="0"/>
    <d v="2025-11-03T00:00:00"/>
    <m/>
    <d v="2025-11-03T00:00:00"/>
    <x v="47"/>
    <m/>
    <x v="6"/>
    <n v="5"/>
    <s v="Sim"/>
    <n v="0"/>
    <n v="0"/>
    <n v="0"/>
    <s v="Não"/>
    <s v="Não"/>
    <s v="Não"/>
    <s v=""/>
    <b v="0"/>
  </r>
  <r>
    <x v="507"/>
    <x v="0"/>
    <x v="72"/>
    <x v="8"/>
    <n v="5"/>
    <x v="8"/>
    <x v="4"/>
    <s v="DocNum - 46482347"/>
    <m/>
    <m/>
    <x v="0"/>
    <d v="2025-11-11T00:00:00"/>
    <m/>
    <d v="2025-11-11T00:00:00"/>
    <x v="48"/>
    <m/>
    <x v="6"/>
    <n v="5"/>
    <s v="Sim"/>
    <n v="0"/>
    <n v="0"/>
    <n v="0"/>
    <s v="Não"/>
    <s v="Não"/>
    <s v="Não"/>
    <s v=""/>
    <b v="0"/>
  </r>
  <r>
    <x v="508"/>
    <x v="0"/>
    <x v="73"/>
    <x v="0"/>
    <n v="1"/>
    <x v="0"/>
    <x v="8"/>
    <n v="15603634"/>
    <s v="BEP: 15610891"/>
    <s v="OK"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509"/>
    <x v="0"/>
    <x v="73"/>
    <x v="1"/>
    <n v="2"/>
    <x v="1"/>
    <x v="1"/>
    <n v="15603634"/>
    <s v="BEP: 15610891"/>
    <s v="OK"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510"/>
    <x v="0"/>
    <x v="73"/>
    <x v="2"/>
    <n v="3"/>
    <x v="2"/>
    <x v="2"/>
    <n v="15603634"/>
    <s v="BEP: 15610891"/>
    <s v="OK"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511"/>
    <x v="0"/>
    <x v="73"/>
    <x v="3"/>
    <n v="4"/>
    <x v="3"/>
    <x v="6"/>
    <s v="DocNum - 46482225"/>
    <m/>
    <m/>
    <x v="0"/>
    <d v="2025-10-22T00:00:00"/>
    <m/>
    <d v="2025-10-22T00:00:00"/>
    <x v="49"/>
    <m/>
    <x v="0"/>
    <n v="7"/>
    <s v="Não"/>
    <n v="0"/>
    <n v="0"/>
    <n v="1"/>
    <s v="Não"/>
    <s v="Não"/>
    <s v="Sim"/>
    <s v=""/>
    <b v="0"/>
  </r>
  <r>
    <x v="512"/>
    <x v="0"/>
    <x v="73"/>
    <x v="4"/>
    <n v="5"/>
    <x v="8"/>
    <x v="4"/>
    <s v="DocNum - 46482225"/>
    <m/>
    <m/>
    <x v="0"/>
    <s v="27/10/2025"/>
    <m/>
    <d v="2025-10-27T00:00:00"/>
    <x v="0"/>
    <m/>
    <x v="0"/>
    <n v="7"/>
    <s v="Não"/>
    <n v="0"/>
    <n v="0"/>
    <n v="1"/>
    <s v="Não"/>
    <s v="Não"/>
    <s v="Sim"/>
    <s v=""/>
    <b v="0"/>
  </r>
  <r>
    <x v="513"/>
    <x v="0"/>
    <x v="73"/>
    <x v="5"/>
    <n v="6"/>
    <x v="5"/>
    <x v="5"/>
    <s v="DocNum - 46482225"/>
    <m/>
    <m/>
    <x v="0"/>
    <s v="27/10/2025"/>
    <m/>
    <d v="2025-10-27T00:00:00"/>
    <x v="50"/>
    <m/>
    <x v="0"/>
    <n v="7"/>
    <s v="Não"/>
    <n v="0"/>
    <n v="0"/>
    <n v="1"/>
    <s v="Não"/>
    <s v="Não"/>
    <s v="Sim"/>
    <s v=""/>
    <b v="0"/>
  </r>
  <r>
    <x v="514"/>
    <x v="1"/>
    <x v="73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515"/>
    <x v="0"/>
    <x v="73"/>
    <x v="7"/>
    <n v="8"/>
    <x v="7"/>
    <x v="2"/>
    <n v="15603634"/>
    <s v="BEP: 15610891"/>
    <m/>
    <x v="0"/>
    <d v="2025-10-24T00:00:00"/>
    <m/>
    <d v="2025-10-24T00:00:00"/>
    <x v="0"/>
    <m/>
    <x v="0"/>
    <n v="7"/>
    <s v="Não"/>
    <n v="0"/>
    <n v="0"/>
    <n v="1"/>
    <s v="Não"/>
    <s v="Não"/>
    <s v="Sim"/>
    <s v=""/>
    <b v="0"/>
  </r>
  <r>
    <x v="516"/>
    <x v="0"/>
    <x v="74"/>
    <x v="0"/>
    <n v="1"/>
    <x v="0"/>
    <x v="8"/>
    <n v="15603610"/>
    <s v="BEP: 15608379"/>
    <s v="OK"/>
    <x v="0"/>
    <d v="2025-10-16T00:00:00"/>
    <m/>
    <d v="2025-10-16T00:00:00"/>
    <x v="0"/>
    <m/>
    <x v="0"/>
    <n v="7"/>
    <s v="Não"/>
    <n v="0"/>
    <n v="0"/>
    <n v="1"/>
    <s v="Não"/>
    <s v="Não"/>
    <s v="Sim"/>
    <s v=""/>
    <b v="0"/>
  </r>
  <r>
    <x v="517"/>
    <x v="0"/>
    <x v="74"/>
    <x v="1"/>
    <n v="2"/>
    <x v="1"/>
    <x v="1"/>
    <n v="15603610"/>
    <s v="BEP: 15608379"/>
    <s v="OK"/>
    <x v="0"/>
    <d v="2025-10-16T00:00:00"/>
    <m/>
    <d v="2025-10-16T00:00:00"/>
    <x v="0"/>
    <m/>
    <x v="0"/>
    <n v="7"/>
    <s v="Não"/>
    <n v="0"/>
    <n v="0"/>
    <n v="1"/>
    <s v="Não"/>
    <s v="Não"/>
    <s v="Sim"/>
    <s v=""/>
    <b v="0"/>
  </r>
  <r>
    <x v="518"/>
    <x v="0"/>
    <x v="74"/>
    <x v="2"/>
    <n v="3"/>
    <x v="2"/>
    <x v="2"/>
    <n v="15603610"/>
    <s v="BEP: 15608379"/>
    <s v="OK"/>
    <x v="0"/>
    <d v="2025-10-16T00:00:00"/>
    <m/>
    <d v="2025-10-16T00:00:00"/>
    <x v="0"/>
    <m/>
    <x v="0"/>
    <n v="7"/>
    <s v="Não"/>
    <n v="0"/>
    <n v="0"/>
    <n v="1"/>
    <s v="Não"/>
    <s v="Não"/>
    <s v="Sim"/>
    <s v=""/>
    <b v="0"/>
  </r>
  <r>
    <x v="519"/>
    <x v="0"/>
    <x v="74"/>
    <x v="3"/>
    <n v="4"/>
    <x v="3"/>
    <x v="6"/>
    <s v="DocNum - 46482207"/>
    <m/>
    <m/>
    <x v="0"/>
    <d v="2025-10-17T00:00:00"/>
    <m/>
    <d v="2025-10-17T00:00:00"/>
    <x v="51"/>
    <m/>
    <x v="0"/>
    <n v="7"/>
    <s v="Não"/>
    <n v="0"/>
    <n v="0"/>
    <n v="1"/>
    <s v="Não"/>
    <s v="Não"/>
    <s v="Sim"/>
    <s v=""/>
    <b v="0"/>
  </r>
  <r>
    <x v="520"/>
    <x v="0"/>
    <x v="74"/>
    <x v="4"/>
    <n v="5"/>
    <x v="8"/>
    <x v="4"/>
    <s v="DocNum - 46482207"/>
    <m/>
    <m/>
    <x v="0"/>
    <d v="2025-10-17T00:00:00"/>
    <m/>
    <d v="2025-10-17T00:00:00"/>
    <x v="0"/>
    <m/>
    <x v="0"/>
    <n v="7"/>
    <s v="Não"/>
    <n v="0"/>
    <n v="0"/>
    <n v="1"/>
    <s v="Não"/>
    <s v="Não"/>
    <s v="Sim"/>
    <s v=""/>
    <b v="0"/>
  </r>
  <r>
    <x v="521"/>
    <x v="0"/>
    <x v="74"/>
    <x v="5"/>
    <n v="6"/>
    <x v="5"/>
    <x v="5"/>
    <s v="DocNum - 46482207"/>
    <m/>
    <m/>
    <x v="0"/>
    <s v="20/10/2025"/>
    <m/>
    <d v="2025-10-20T00:00:00"/>
    <x v="0"/>
    <m/>
    <x v="0"/>
    <n v="7"/>
    <s v="Não"/>
    <n v="0"/>
    <n v="0"/>
    <n v="1"/>
    <s v="Não"/>
    <s v="Não"/>
    <s v="Sim"/>
    <s v=""/>
    <b v="0"/>
  </r>
  <r>
    <x v="522"/>
    <x v="1"/>
    <x v="74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523"/>
    <x v="0"/>
    <x v="74"/>
    <x v="7"/>
    <n v="8"/>
    <x v="7"/>
    <x v="2"/>
    <n v="15603610"/>
    <s v="BEP: 15608379"/>
    <s v="OK"/>
    <x v="0"/>
    <d v="2025-10-20T00:00:00"/>
    <m/>
    <d v="2025-10-20T00:00:00"/>
    <x v="0"/>
    <m/>
    <x v="0"/>
    <n v="7"/>
    <s v="Não"/>
    <n v="0"/>
    <n v="0"/>
    <n v="1"/>
    <s v="Não"/>
    <s v="Não"/>
    <s v="Sim"/>
    <s v=""/>
    <b v="0"/>
  </r>
  <r>
    <x v="524"/>
    <x v="0"/>
    <x v="75"/>
    <x v="0"/>
    <n v="1"/>
    <x v="0"/>
    <x v="8"/>
    <n v="15603716"/>
    <s v="BEP: 15599913"/>
    <s v="OK"/>
    <x v="0"/>
    <d v="2025-11-25T00:00:00"/>
    <m/>
    <d v="2025-11-25T00:00:00"/>
    <x v="0"/>
    <m/>
    <x v="0"/>
    <n v="7"/>
    <s v="Não"/>
    <n v="0"/>
    <n v="0"/>
    <n v="1"/>
    <s v="Não"/>
    <s v="Não"/>
    <s v="Sim"/>
    <s v=""/>
    <b v="0"/>
  </r>
  <r>
    <x v="525"/>
    <x v="0"/>
    <x v="75"/>
    <x v="1"/>
    <n v="2"/>
    <x v="1"/>
    <x v="1"/>
    <n v="15603716"/>
    <s v="BEP: 15599913"/>
    <s v="OK"/>
    <x v="0"/>
    <d v="2025-11-25T00:00:00"/>
    <m/>
    <d v="2025-11-25T00:00:00"/>
    <x v="0"/>
    <m/>
    <x v="0"/>
    <n v="7"/>
    <s v="Não"/>
    <n v="0"/>
    <n v="0"/>
    <n v="1"/>
    <s v="Não"/>
    <s v="Não"/>
    <s v="Sim"/>
    <s v=""/>
    <b v="0"/>
  </r>
  <r>
    <x v="526"/>
    <x v="0"/>
    <x v="75"/>
    <x v="2"/>
    <n v="3"/>
    <x v="2"/>
    <x v="2"/>
    <n v="15603716"/>
    <s v="BEP: 15599913"/>
    <s v="OK"/>
    <x v="0"/>
    <d v="2025-11-25T00:00:00"/>
    <m/>
    <d v="2025-11-25T00:00:00"/>
    <x v="0"/>
    <m/>
    <x v="0"/>
    <n v="7"/>
    <s v="Não"/>
    <n v="0"/>
    <n v="0"/>
    <n v="1"/>
    <s v="Não"/>
    <s v="Não"/>
    <s v="Sim"/>
    <s v=""/>
    <b v="0"/>
  </r>
  <r>
    <x v="527"/>
    <x v="0"/>
    <x v="75"/>
    <x v="3"/>
    <n v="4"/>
    <x v="3"/>
    <x v="6"/>
    <s v="DocNum - 46482570"/>
    <m/>
    <m/>
    <x v="0"/>
    <d v="2025-11-25T00:00:00"/>
    <m/>
    <d v="2025-11-25T00:00:00"/>
    <x v="52"/>
    <m/>
    <x v="0"/>
    <n v="7"/>
    <s v="Não"/>
    <n v="0"/>
    <n v="0"/>
    <n v="1"/>
    <s v="Não"/>
    <s v="Não"/>
    <s v="Sim"/>
    <s v=""/>
    <b v="0"/>
  </r>
  <r>
    <x v="528"/>
    <x v="0"/>
    <x v="75"/>
    <x v="4"/>
    <n v="5"/>
    <x v="8"/>
    <x v="4"/>
    <s v="DocNum - 46482570"/>
    <m/>
    <m/>
    <x v="0"/>
    <s v="27/11/2025"/>
    <m/>
    <d v="2025-11-27T00:00:00"/>
    <x v="0"/>
    <m/>
    <x v="0"/>
    <n v="7"/>
    <s v="Não"/>
    <n v="0"/>
    <n v="0"/>
    <n v="1"/>
    <s v="Não"/>
    <s v="Não"/>
    <s v="Sim"/>
    <s v=""/>
    <b v="0"/>
  </r>
  <r>
    <x v="529"/>
    <x v="0"/>
    <x v="75"/>
    <x v="5"/>
    <n v="6"/>
    <x v="5"/>
    <x v="5"/>
    <s v="DocNum - 46482570"/>
    <m/>
    <m/>
    <x v="0"/>
    <s v="27/11/2025"/>
    <m/>
    <d v="2025-11-27T00:00:00"/>
    <x v="0"/>
    <m/>
    <x v="0"/>
    <n v="7"/>
    <s v="Não"/>
    <n v="0"/>
    <n v="0"/>
    <n v="1"/>
    <s v="Não"/>
    <s v="Não"/>
    <s v="Sim"/>
    <s v=""/>
    <b v="0"/>
  </r>
  <r>
    <x v="530"/>
    <x v="1"/>
    <x v="75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531"/>
    <x v="0"/>
    <x v="75"/>
    <x v="7"/>
    <n v="8"/>
    <x v="7"/>
    <x v="2"/>
    <n v="15603716"/>
    <s v="BEP: 15599913"/>
    <m/>
    <x v="0"/>
    <d v="2025-12-03T00:00:00"/>
    <m/>
    <d v="2025-12-03T00:00:00"/>
    <x v="0"/>
    <m/>
    <x v="0"/>
    <n v="7"/>
    <s v="Não"/>
    <n v="0"/>
    <n v="0"/>
    <n v="1"/>
    <s v="Não"/>
    <s v="Não"/>
    <s v="Sim"/>
    <s v=""/>
    <b v="0"/>
  </r>
  <r>
    <x v="532"/>
    <x v="0"/>
    <x v="76"/>
    <x v="0"/>
    <n v="1"/>
    <x v="0"/>
    <x v="1"/>
    <n v="15603631"/>
    <s v="BEP: 15606846"/>
    <s v="OK"/>
    <x v="0"/>
    <d v="2025-10-21T00:00:00"/>
    <m/>
    <d v="2025-10-21T00:00:00"/>
    <x v="0"/>
    <m/>
    <x v="6"/>
    <n v="5"/>
    <s v="Sim"/>
    <n v="0"/>
    <n v="0"/>
    <n v="0"/>
    <s v="Não"/>
    <s v="Não"/>
    <s v="Não"/>
    <s v=""/>
    <b v="0"/>
  </r>
  <r>
    <x v="533"/>
    <x v="0"/>
    <x v="76"/>
    <x v="1"/>
    <n v="2"/>
    <x v="1"/>
    <x v="1"/>
    <n v="15603631"/>
    <s v="BEP: 15606846"/>
    <s v="OK"/>
    <x v="0"/>
    <d v="2025-10-21T00:00:00"/>
    <m/>
    <d v="2025-10-21T00:00:00"/>
    <x v="0"/>
    <m/>
    <x v="6"/>
    <n v="5"/>
    <s v="Sim"/>
    <n v="0"/>
    <n v="0"/>
    <n v="0"/>
    <s v="Não"/>
    <s v="Não"/>
    <s v="Não"/>
    <s v=""/>
    <b v="0"/>
  </r>
  <r>
    <x v="534"/>
    <x v="0"/>
    <x v="76"/>
    <x v="2"/>
    <n v="3"/>
    <x v="2"/>
    <x v="2"/>
    <n v="15603631"/>
    <s v="BEP: 15606846"/>
    <s v="OK"/>
    <x v="0"/>
    <d v="2025-10-21T00:00:00"/>
    <m/>
    <d v="2025-10-21T00:00:00"/>
    <x v="0"/>
    <m/>
    <x v="6"/>
    <n v="5"/>
    <s v="Sim"/>
    <n v="0"/>
    <n v="0"/>
    <n v="0"/>
    <s v="Não"/>
    <s v="Não"/>
    <s v="Não"/>
    <s v=""/>
    <b v="0"/>
  </r>
  <r>
    <x v="535"/>
    <x v="0"/>
    <x v="76"/>
    <x v="3"/>
    <n v="4"/>
    <x v="3"/>
    <x v="6"/>
    <s v="DocNum - 46482227"/>
    <m/>
    <m/>
    <x v="0"/>
    <d v="2025-10-22T00:00:00"/>
    <m/>
    <d v="2025-10-22T00:00:00"/>
    <x v="53"/>
    <m/>
    <x v="6"/>
    <n v="5"/>
    <s v="Sim"/>
    <n v="0"/>
    <n v="0"/>
    <n v="0"/>
    <s v="Não"/>
    <s v="Não"/>
    <s v="Não"/>
    <s v=""/>
    <b v="0"/>
  </r>
  <r>
    <x v="536"/>
    <x v="0"/>
    <x v="76"/>
    <x v="8"/>
    <n v="5"/>
    <x v="8"/>
    <x v="4"/>
    <s v="DocNum - 46482227"/>
    <m/>
    <m/>
    <x v="0"/>
    <s v="24/10/2025"/>
    <m/>
    <d v="2025-10-24T00:00:00"/>
    <x v="0"/>
    <m/>
    <x v="6"/>
    <n v="5"/>
    <s v="Sim"/>
    <n v="0"/>
    <n v="0"/>
    <n v="0"/>
    <s v="Não"/>
    <s v="Não"/>
    <s v="Não"/>
    <s v=""/>
    <b v="0"/>
  </r>
  <r>
    <x v="537"/>
    <x v="0"/>
    <x v="77"/>
    <x v="0"/>
    <n v="1"/>
    <x v="0"/>
    <x v="8"/>
    <n v="15603611"/>
    <s v="BEP: 15564730"/>
    <s v="OK"/>
    <x v="0"/>
    <d v="2025-10-16T00:00:00"/>
    <m/>
    <d v="2025-10-16T00:00:00"/>
    <x v="0"/>
    <m/>
    <x v="6"/>
    <n v="5"/>
    <s v="Sim"/>
    <n v="0"/>
    <n v="0"/>
    <n v="0"/>
    <s v="Não"/>
    <s v="Não"/>
    <s v="Não"/>
    <s v=""/>
    <b v="0"/>
  </r>
  <r>
    <x v="538"/>
    <x v="0"/>
    <x v="77"/>
    <x v="1"/>
    <n v="2"/>
    <x v="1"/>
    <x v="1"/>
    <n v="15603611"/>
    <s v="BEP: 15564730"/>
    <s v="OK"/>
    <x v="0"/>
    <d v="2025-10-16T00:00:00"/>
    <m/>
    <d v="2025-10-16T00:00:00"/>
    <x v="0"/>
    <m/>
    <x v="6"/>
    <n v="5"/>
    <s v="Sim"/>
    <n v="0"/>
    <n v="0"/>
    <n v="0"/>
    <s v="Não"/>
    <s v="Não"/>
    <s v="Não"/>
    <s v=""/>
    <b v="0"/>
  </r>
  <r>
    <x v="539"/>
    <x v="0"/>
    <x v="77"/>
    <x v="2"/>
    <n v="3"/>
    <x v="2"/>
    <x v="2"/>
    <n v="15603611"/>
    <s v="BEP: 15564730"/>
    <s v="OK"/>
    <x v="0"/>
    <d v="2025-10-16T00:00:00"/>
    <m/>
    <d v="2025-10-16T00:00:00"/>
    <x v="0"/>
    <m/>
    <x v="6"/>
    <n v="5"/>
    <s v="Sim"/>
    <n v="0"/>
    <n v="0"/>
    <n v="0"/>
    <s v="Não"/>
    <s v="Não"/>
    <s v="Não"/>
    <s v=""/>
    <b v="0"/>
  </r>
  <r>
    <x v="540"/>
    <x v="0"/>
    <x v="77"/>
    <x v="3"/>
    <n v="4"/>
    <x v="3"/>
    <x v="6"/>
    <s v="DocNum - 46482211"/>
    <m/>
    <m/>
    <x v="0"/>
    <d v="2025-10-17T00:00:00"/>
    <m/>
    <d v="2025-10-17T00:00:00"/>
    <x v="54"/>
    <m/>
    <x v="6"/>
    <n v="5"/>
    <s v="Sim"/>
    <n v="0"/>
    <n v="0"/>
    <n v="0"/>
    <s v="Não"/>
    <s v="Não"/>
    <s v="Não"/>
    <s v=""/>
    <b v="0"/>
  </r>
  <r>
    <x v="541"/>
    <x v="0"/>
    <x v="77"/>
    <x v="8"/>
    <n v="5"/>
    <x v="8"/>
    <x v="4"/>
    <s v="DocNum - 46482211"/>
    <m/>
    <m/>
    <x v="0"/>
    <d v="2025-10-17T00:00:00"/>
    <m/>
    <d v="2025-10-17T00:00:00"/>
    <x v="0"/>
    <m/>
    <x v="6"/>
    <n v="5"/>
    <s v="Sim"/>
    <n v="0"/>
    <n v="0"/>
    <n v="0"/>
    <s v="Não"/>
    <s v="Não"/>
    <s v="Não"/>
    <s v=""/>
    <b v="0"/>
  </r>
  <r>
    <x v="542"/>
    <x v="0"/>
    <x v="78"/>
    <x v="0"/>
    <n v="1"/>
    <x v="0"/>
    <x v="8"/>
    <n v="60668324"/>
    <m/>
    <s v="OK"/>
    <x v="0"/>
    <d v="2025-10-24T00:00:00"/>
    <m/>
    <d v="2025-10-24T00:00:00"/>
    <x v="0"/>
    <m/>
    <x v="6"/>
    <n v="5"/>
    <s v="Sim"/>
    <n v="0"/>
    <n v="0"/>
    <n v="0"/>
    <s v="Não"/>
    <s v="Não"/>
    <s v="Não"/>
    <s v=""/>
    <b v="0"/>
  </r>
  <r>
    <x v="543"/>
    <x v="0"/>
    <x v="78"/>
    <x v="1"/>
    <n v="2"/>
    <x v="1"/>
    <x v="1"/>
    <n v="60668324"/>
    <m/>
    <s v="OK"/>
    <x v="0"/>
    <d v="2025-10-24T00:00:00"/>
    <m/>
    <d v="2025-10-24T00:00:00"/>
    <x v="0"/>
    <m/>
    <x v="6"/>
    <n v="5"/>
    <s v="Sim"/>
    <n v="0"/>
    <n v="0"/>
    <n v="0"/>
    <s v="Não"/>
    <s v="Não"/>
    <s v="Não"/>
    <s v=""/>
    <b v="0"/>
  </r>
  <r>
    <x v="544"/>
    <x v="0"/>
    <x v="78"/>
    <x v="2"/>
    <n v="3"/>
    <x v="2"/>
    <x v="2"/>
    <n v="60668324"/>
    <m/>
    <s v="OK"/>
    <x v="0"/>
    <d v="2025-10-27T00:00:00"/>
    <m/>
    <d v="2025-10-27T00:00:00"/>
    <x v="0"/>
    <m/>
    <x v="6"/>
    <n v="5"/>
    <s v="Sim"/>
    <n v="0"/>
    <n v="0"/>
    <n v="0"/>
    <s v="Não"/>
    <s v="Não"/>
    <s v="Não"/>
    <s v=""/>
    <b v="0"/>
  </r>
  <r>
    <x v="545"/>
    <x v="0"/>
    <x v="78"/>
    <x v="3"/>
    <n v="4"/>
    <x v="3"/>
    <x v="6"/>
    <s v="DocNum - 46482263"/>
    <m/>
    <s v="OK"/>
    <x v="0"/>
    <d v="2025-10-27T00:00:00"/>
    <m/>
    <d v="2025-10-27T00:00:00"/>
    <x v="0"/>
    <m/>
    <x v="6"/>
    <n v="5"/>
    <s v="Sim"/>
    <n v="0"/>
    <n v="0"/>
    <n v="0"/>
    <s v="Não"/>
    <s v="Não"/>
    <s v="Não"/>
    <s v=""/>
    <b v="0"/>
  </r>
  <r>
    <x v="546"/>
    <x v="0"/>
    <x v="78"/>
    <x v="8"/>
    <n v="5"/>
    <x v="8"/>
    <x v="4"/>
    <s v="DocNum - 46482263"/>
    <m/>
    <m/>
    <x v="0"/>
    <s v="28/10/2025"/>
    <m/>
    <d v="2025-10-28T00:00:00"/>
    <x v="0"/>
    <m/>
    <x v="6"/>
    <n v="5"/>
    <s v="Sim"/>
    <n v="0"/>
    <n v="0"/>
    <n v="0"/>
    <s v="Não"/>
    <s v="Não"/>
    <s v="Não"/>
    <s v=""/>
    <b v="0"/>
  </r>
  <r>
    <x v="547"/>
    <x v="0"/>
    <x v="79"/>
    <x v="0"/>
    <n v="1"/>
    <x v="0"/>
    <x v="8"/>
    <n v="15603678"/>
    <s v="BEP: 15614047"/>
    <s v="OK"/>
    <x v="0"/>
    <d v="2025-11-05T00:00:00"/>
    <m/>
    <d v="2025-11-05T00:00:00"/>
    <x v="0"/>
    <m/>
    <x v="0"/>
    <n v="7"/>
    <s v="Não"/>
    <n v="0"/>
    <n v="0"/>
    <n v="1"/>
    <s v="Não"/>
    <s v="Não"/>
    <s v="Sim"/>
    <s v=""/>
    <b v="0"/>
  </r>
  <r>
    <x v="548"/>
    <x v="0"/>
    <x v="79"/>
    <x v="1"/>
    <n v="2"/>
    <x v="1"/>
    <x v="1"/>
    <n v="15603678"/>
    <s v="BEP: 15614047"/>
    <s v="OK"/>
    <x v="0"/>
    <d v="2025-11-05T00:00:00"/>
    <m/>
    <d v="2025-11-05T00:00:00"/>
    <x v="0"/>
    <m/>
    <x v="0"/>
    <n v="7"/>
    <s v="Não"/>
    <n v="0"/>
    <n v="0"/>
    <n v="1"/>
    <s v="Não"/>
    <s v="Não"/>
    <s v="Sim"/>
    <s v=""/>
    <b v="0"/>
  </r>
  <r>
    <x v="549"/>
    <x v="0"/>
    <x v="79"/>
    <x v="2"/>
    <n v="3"/>
    <x v="2"/>
    <x v="2"/>
    <n v="15603678"/>
    <s v="BEP: 15614047"/>
    <s v="OK"/>
    <x v="0"/>
    <d v="2025-11-06T00:00:00"/>
    <m/>
    <d v="2025-11-06T00:00:00"/>
    <x v="0"/>
    <m/>
    <x v="0"/>
    <n v="7"/>
    <s v="Não"/>
    <n v="0"/>
    <n v="0"/>
    <n v="1"/>
    <s v="Não"/>
    <s v="Não"/>
    <s v="Sim"/>
    <s v=""/>
    <b v="0"/>
  </r>
  <r>
    <x v="550"/>
    <x v="0"/>
    <x v="79"/>
    <x v="3"/>
    <n v="4"/>
    <x v="3"/>
    <x v="6"/>
    <s v="DocNum - 46482372"/>
    <m/>
    <m/>
    <x v="0"/>
    <d v="2025-11-06T00:00:00"/>
    <m/>
    <d v="2025-11-06T00:00:00"/>
    <x v="55"/>
    <m/>
    <x v="0"/>
    <n v="7"/>
    <s v="Não"/>
    <n v="0"/>
    <n v="0"/>
    <n v="1"/>
    <s v="Não"/>
    <s v="Não"/>
    <s v="Sim"/>
    <s v=""/>
    <b v="0"/>
  </r>
  <r>
    <x v="551"/>
    <x v="0"/>
    <x v="79"/>
    <x v="4"/>
    <n v="5"/>
    <x v="8"/>
    <x v="4"/>
    <s v="DocNum - 46482372"/>
    <m/>
    <m/>
    <x v="0"/>
    <d v="2025-11-07T00:00:00"/>
    <m/>
    <d v="2025-11-07T00:00:00"/>
    <x v="0"/>
    <m/>
    <x v="0"/>
    <n v="7"/>
    <s v="Não"/>
    <n v="0"/>
    <n v="0"/>
    <n v="1"/>
    <s v="Não"/>
    <s v="Não"/>
    <s v="Sim"/>
    <s v=""/>
    <b v="0"/>
  </r>
  <r>
    <x v="552"/>
    <x v="0"/>
    <x v="79"/>
    <x v="5"/>
    <n v="6"/>
    <x v="5"/>
    <x v="5"/>
    <s v="DocNum - 46482372"/>
    <m/>
    <m/>
    <x v="0"/>
    <d v="2025-10-11T00:00:00"/>
    <m/>
    <d v="2025-10-11T00:00:00"/>
    <x v="0"/>
    <m/>
    <x v="0"/>
    <n v="7"/>
    <s v="Não"/>
    <n v="0"/>
    <n v="0"/>
    <n v="1"/>
    <s v="Não"/>
    <s v="Não"/>
    <s v="Sim"/>
    <s v=""/>
    <b v="0"/>
  </r>
  <r>
    <x v="553"/>
    <x v="1"/>
    <x v="79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554"/>
    <x v="0"/>
    <x v="79"/>
    <x v="7"/>
    <n v="8"/>
    <x v="7"/>
    <x v="2"/>
    <n v="15603678"/>
    <s v="BEP: 15614047"/>
    <m/>
    <x v="0"/>
    <d v="2025-11-12T00:00:00"/>
    <m/>
    <d v="2025-11-12T00:00:00"/>
    <x v="0"/>
    <m/>
    <x v="0"/>
    <n v="7"/>
    <s v="Não"/>
    <n v="0"/>
    <n v="0"/>
    <n v="1"/>
    <s v="Não"/>
    <s v="Não"/>
    <s v="Sim"/>
    <s v=""/>
    <b v="0"/>
  </r>
  <r>
    <x v="555"/>
    <x v="0"/>
    <x v="80"/>
    <x v="0"/>
    <n v="1"/>
    <x v="0"/>
    <x v="8"/>
    <n v="15603635"/>
    <s v="BEP: 15614234"/>
    <s v="OK"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556"/>
    <x v="0"/>
    <x v="80"/>
    <x v="1"/>
    <n v="2"/>
    <x v="1"/>
    <x v="1"/>
    <n v="15603635"/>
    <s v="BEP: 15614234"/>
    <s v="OK"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557"/>
    <x v="0"/>
    <x v="80"/>
    <x v="2"/>
    <n v="3"/>
    <x v="2"/>
    <x v="2"/>
    <n v="15603635"/>
    <s v="BEP: 15614234"/>
    <s v="OK"/>
    <x v="0"/>
    <d v="2025-10-22T00:00:00"/>
    <m/>
    <d v="2025-10-22T00:00:00"/>
    <x v="0"/>
    <m/>
    <x v="0"/>
    <n v="7"/>
    <s v="Não"/>
    <n v="0"/>
    <n v="0"/>
    <n v="1"/>
    <s v="Não"/>
    <s v="Não"/>
    <s v="Sim"/>
    <s v=""/>
    <b v="0"/>
  </r>
  <r>
    <x v="558"/>
    <x v="0"/>
    <x v="80"/>
    <x v="3"/>
    <n v="4"/>
    <x v="3"/>
    <x v="6"/>
    <s v="DocNum - 46482230"/>
    <m/>
    <m/>
    <x v="0"/>
    <d v="2025-10-22T00:00:00"/>
    <m/>
    <d v="2025-10-22T00:00:00"/>
    <x v="56"/>
    <m/>
    <x v="0"/>
    <n v="7"/>
    <s v="Não"/>
    <n v="0"/>
    <n v="0"/>
    <n v="1"/>
    <s v="Não"/>
    <s v="Não"/>
    <s v="Sim"/>
    <s v=""/>
    <b v="0"/>
  </r>
  <r>
    <x v="559"/>
    <x v="0"/>
    <x v="80"/>
    <x v="4"/>
    <n v="5"/>
    <x v="8"/>
    <x v="4"/>
    <s v="DocNum - 46482230"/>
    <m/>
    <m/>
    <x v="0"/>
    <s v="24/10/2025"/>
    <m/>
    <d v="2025-10-24T00:00:00"/>
    <x v="0"/>
    <m/>
    <x v="0"/>
    <n v="7"/>
    <s v="Não"/>
    <n v="0"/>
    <n v="0"/>
    <n v="1"/>
    <s v="Não"/>
    <s v="Não"/>
    <s v="Sim"/>
    <s v=""/>
    <b v="0"/>
  </r>
  <r>
    <x v="560"/>
    <x v="0"/>
    <x v="80"/>
    <x v="5"/>
    <n v="6"/>
    <x v="5"/>
    <x v="5"/>
    <s v="DocNum - 46482230"/>
    <m/>
    <m/>
    <x v="0"/>
    <s v="27/10/2025"/>
    <m/>
    <d v="2025-10-27T00:00:00"/>
    <x v="0"/>
    <m/>
    <x v="0"/>
    <n v="7"/>
    <s v="Não"/>
    <n v="0"/>
    <n v="0"/>
    <n v="1"/>
    <s v="Não"/>
    <s v="Não"/>
    <s v="Sim"/>
    <s v=""/>
    <b v="0"/>
  </r>
  <r>
    <x v="561"/>
    <x v="1"/>
    <x v="80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562"/>
    <x v="0"/>
    <x v="80"/>
    <x v="7"/>
    <n v="8"/>
    <x v="7"/>
    <x v="2"/>
    <n v="15603635"/>
    <s v="BEP: 15614234"/>
    <s v="OK"/>
    <x v="0"/>
    <d v="2025-10-23T00:00:00"/>
    <m/>
    <d v="2025-10-23T00:00:00"/>
    <x v="0"/>
    <m/>
    <x v="0"/>
    <n v="7"/>
    <s v="Não"/>
    <n v="0"/>
    <n v="0"/>
    <n v="1"/>
    <s v="Não"/>
    <s v="Não"/>
    <s v="Sim"/>
    <s v=""/>
    <b v="0"/>
  </r>
  <r>
    <x v="563"/>
    <x v="0"/>
    <x v="81"/>
    <x v="0"/>
    <n v="1"/>
    <x v="0"/>
    <x v="8"/>
    <n v="15603643"/>
    <s v="BEP: 15611568"/>
    <s v="OK"/>
    <x v="0"/>
    <d v="2025-10-23T00:00:00"/>
    <m/>
    <d v="2025-10-23T00:00:00"/>
    <x v="0"/>
    <m/>
    <x v="0"/>
    <n v="7"/>
    <s v="Não"/>
    <n v="0"/>
    <n v="0"/>
    <n v="1"/>
    <s v="Não"/>
    <s v="Não"/>
    <s v="Sim"/>
    <s v=""/>
    <b v="0"/>
  </r>
  <r>
    <x v="564"/>
    <x v="0"/>
    <x v="81"/>
    <x v="1"/>
    <n v="2"/>
    <x v="1"/>
    <x v="1"/>
    <n v="15603643"/>
    <s v="BEP: 15611568"/>
    <s v="OK"/>
    <x v="0"/>
    <d v="2025-10-23T00:00:00"/>
    <m/>
    <d v="2025-10-23T00:00:00"/>
    <x v="0"/>
    <m/>
    <x v="0"/>
    <n v="7"/>
    <s v="Não"/>
    <n v="0"/>
    <n v="0"/>
    <n v="1"/>
    <s v="Não"/>
    <s v="Não"/>
    <s v="Sim"/>
    <s v=""/>
    <b v="0"/>
  </r>
  <r>
    <x v="565"/>
    <x v="0"/>
    <x v="81"/>
    <x v="2"/>
    <n v="3"/>
    <x v="2"/>
    <x v="2"/>
    <n v="15603643"/>
    <s v="BEP: 15611568"/>
    <s v="OK"/>
    <x v="0"/>
    <d v="2025-10-23T00:00:00"/>
    <m/>
    <d v="2025-10-23T00:00:00"/>
    <x v="0"/>
    <m/>
    <x v="0"/>
    <n v="7"/>
    <s v="Não"/>
    <n v="0"/>
    <n v="0"/>
    <n v="1"/>
    <s v="Não"/>
    <s v="Não"/>
    <s v="Sim"/>
    <s v=""/>
    <b v="0"/>
  </r>
  <r>
    <x v="566"/>
    <x v="0"/>
    <x v="81"/>
    <x v="3"/>
    <n v="4"/>
    <x v="3"/>
    <x v="6"/>
    <s v="DocNum - 46482238"/>
    <m/>
    <m/>
    <x v="0"/>
    <d v="2025-10-23T00:00:00"/>
    <m/>
    <d v="2025-10-23T00:00:00"/>
    <x v="57"/>
    <m/>
    <x v="0"/>
    <n v="7"/>
    <s v="Não"/>
    <n v="0"/>
    <n v="0"/>
    <n v="1"/>
    <s v="Não"/>
    <s v="Não"/>
    <s v="Sim"/>
    <s v=""/>
    <b v="0"/>
  </r>
  <r>
    <x v="567"/>
    <x v="0"/>
    <x v="81"/>
    <x v="4"/>
    <n v="5"/>
    <x v="8"/>
    <x v="4"/>
    <s v="DocNum - 46482238"/>
    <m/>
    <m/>
    <x v="0"/>
    <s v="24/10/2025"/>
    <m/>
    <d v="2025-10-24T00:00:00"/>
    <x v="0"/>
    <m/>
    <x v="0"/>
    <n v="7"/>
    <s v="Não"/>
    <n v="0"/>
    <n v="0"/>
    <n v="1"/>
    <s v="Não"/>
    <s v="Não"/>
    <s v="Sim"/>
    <s v=""/>
    <b v="0"/>
  </r>
  <r>
    <x v="568"/>
    <x v="0"/>
    <x v="81"/>
    <x v="5"/>
    <n v="6"/>
    <x v="5"/>
    <x v="5"/>
    <s v="DocNum - 46482238"/>
    <m/>
    <m/>
    <x v="0"/>
    <s v="27/10/2025"/>
    <m/>
    <d v="2025-10-27T00:00:00"/>
    <x v="0"/>
    <m/>
    <x v="0"/>
    <n v="7"/>
    <s v="Não"/>
    <n v="0"/>
    <n v="0"/>
    <n v="1"/>
    <s v="Não"/>
    <s v="Não"/>
    <s v="Sim"/>
    <s v=""/>
    <b v="0"/>
  </r>
  <r>
    <x v="569"/>
    <x v="1"/>
    <x v="81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570"/>
    <x v="0"/>
    <x v="81"/>
    <x v="7"/>
    <n v="8"/>
    <x v="7"/>
    <x v="2"/>
    <n v="15603643"/>
    <s v="BEP: 15611568"/>
    <m/>
    <x v="0"/>
    <d v="2025-10-24T00:00:00"/>
    <m/>
    <d v="2025-10-24T00:00:00"/>
    <x v="0"/>
    <m/>
    <x v="0"/>
    <n v="7"/>
    <s v="Não"/>
    <n v="0"/>
    <n v="0"/>
    <n v="1"/>
    <s v="Não"/>
    <s v="Não"/>
    <s v="Sim"/>
    <s v=""/>
    <b v="0"/>
  </r>
  <r>
    <x v="571"/>
    <x v="0"/>
    <x v="82"/>
    <x v="0"/>
    <n v="1"/>
    <x v="0"/>
    <x v="8"/>
    <n v="70583990"/>
    <s v="BEP: 70586390"/>
    <s v="OK"/>
    <x v="0"/>
    <d v="2025-12-10T00:00:00"/>
    <m/>
    <d v="2025-12-10T00:00:00"/>
    <x v="0"/>
    <m/>
    <x v="0"/>
    <n v="3"/>
    <s v="Não"/>
    <n v="0"/>
    <n v="3"/>
    <n v="1"/>
    <s v="Não"/>
    <s v="Sim"/>
    <s v="Sim"/>
    <s v=""/>
    <b v="0"/>
  </r>
  <r>
    <x v="572"/>
    <x v="0"/>
    <x v="82"/>
    <x v="1"/>
    <n v="2"/>
    <x v="1"/>
    <x v="1"/>
    <n v="70583990"/>
    <s v="BEP: 70586390"/>
    <s v="OK"/>
    <x v="0"/>
    <d v="2025-12-10T00:00:00"/>
    <m/>
    <d v="2025-12-10T00:00:00"/>
    <x v="0"/>
    <m/>
    <x v="0"/>
    <n v="3"/>
    <s v="Não"/>
    <n v="0"/>
    <n v="3"/>
    <n v="1"/>
    <s v="Não"/>
    <s v="Sim"/>
    <s v="Sim"/>
    <s v=""/>
    <b v="0"/>
  </r>
  <r>
    <x v="573"/>
    <x v="0"/>
    <x v="82"/>
    <x v="2"/>
    <n v="3"/>
    <x v="2"/>
    <x v="2"/>
    <m/>
    <s v="BEP: 70586390"/>
    <s v="OK"/>
    <x v="0"/>
    <m/>
    <m/>
    <m/>
    <x v="0"/>
    <m/>
    <x v="0"/>
    <n v="3"/>
    <s v="Não"/>
    <n v="0"/>
    <n v="3"/>
    <n v="1"/>
    <s v="Não"/>
    <s v="Sim"/>
    <s v="Sim"/>
    <s v=""/>
    <b v="0"/>
  </r>
  <r>
    <x v="574"/>
    <x v="0"/>
    <x v="82"/>
    <x v="3"/>
    <n v="4"/>
    <x v="3"/>
    <x v="6"/>
    <m/>
    <m/>
    <m/>
    <x v="3"/>
    <m/>
    <m/>
    <m/>
    <x v="58"/>
    <m/>
    <x v="0"/>
    <n v="3"/>
    <s v="Não"/>
    <n v="0"/>
    <n v="3"/>
    <n v="1"/>
    <s v="Não"/>
    <s v="Sim"/>
    <s v="Sim"/>
    <s v=""/>
    <b v="0"/>
  </r>
  <r>
    <x v="575"/>
    <x v="0"/>
    <x v="82"/>
    <x v="4"/>
    <n v="5"/>
    <x v="8"/>
    <x v="4"/>
    <m/>
    <m/>
    <m/>
    <x v="4"/>
    <m/>
    <m/>
    <m/>
    <x v="0"/>
    <m/>
    <x v="0"/>
    <n v="3"/>
    <s v="Não"/>
    <n v="0"/>
    <n v="3"/>
    <n v="1"/>
    <s v="Não"/>
    <s v="Sim"/>
    <s v="Sim"/>
    <s v=""/>
    <b v="0"/>
  </r>
  <r>
    <x v="576"/>
    <x v="0"/>
    <x v="82"/>
    <x v="5"/>
    <n v="6"/>
    <x v="5"/>
    <x v="5"/>
    <m/>
    <m/>
    <m/>
    <x v="4"/>
    <m/>
    <m/>
    <m/>
    <x v="0"/>
    <m/>
    <x v="0"/>
    <n v="3"/>
    <s v="Não"/>
    <n v="0"/>
    <n v="3"/>
    <n v="1"/>
    <s v="Não"/>
    <s v="Sim"/>
    <s v="Sim"/>
    <s v=""/>
    <b v="0"/>
  </r>
  <r>
    <x v="577"/>
    <x v="1"/>
    <x v="82"/>
    <x v="6"/>
    <n v="7"/>
    <x v="6"/>
    <x v="4"/>
    <m/>
    <m/>
    <m/>
    <x v="1"/>
    <m/>
    <m/>
    <m/>
    <x v="0"/>
    <m/>
    <x v="0"/>
    <n v="3"/>
    <s v="Não"/>
    <n v="0"/>
    <n v="3"/>
    <n v="1"/>
    <s v="Não"/>
    <s v="Sim"/>
    <s v="Sim"/>
    <s v=""/>
    <b v="0"/>
  </r>
  <r>
    <x v="578"/>
    <x v="0"/>
    <x v="82"/>
    <x v="7"/>
    <n v="8"/>
    <x v="7"/>
    <x v="2"/>
    <m/>
    <m/>
    <m/>
    <x v="4"/>
    <m/>
    <m/>
    <m/>
    <x v="0"/>
    <m/>
    <x v="0"/>
    <n v="3"/>
    <s v="Não"/>
    <n v="0"/>
    <n v="3"/>
    <n v="1"/>
    <s v="Não"/>
    <s v="Sim"/>
    <s v="Sim"/>
    <s v=""/>
    <b v="0"/>
  </r>
  <r>
    <x v="579"/>
    <x v="0"/>
    <x v="83"/>
    <x v="0"/>
    <n v="1"/>
    <x v="0"/>
    <x v="8"/>
    <n v="70583961"/>
    <s v="BEP: 70592682"/>
    <m/>
    <x v="0"/>
    <d v="2025-10-21T00:00:00"/>
    <m/>
    <d v="2025-10-21T00:00:00"/>
    <x v="0"/>
    <m/>
    <x v="6"/>
    <n v="5"/>
    <s v="Sim"/>
    <n v="0"/>
    <n v="0"/>
    <n v="0"/>
    <s v="Não"/>
    <s v="Não"/>
    <s v="Não"/>
    <s v=""/>
    <b v="0"/>
  </r>
  <r>
    <x v="580"/>
    <x v="0"/>
    <x v="83"/>
    <x v="1"/>
    <n v="2"/>
    <x v="1"/>
    <x v="1"/>
    <n v="70583961"/>
    <s v="BEP: 70592682"/>
    <s v="OK"/>
    <x v="0"/>
    <d v="2025-10-21T00:00:00"/>
    <m/>
    <d v="2025-10-21T00:00:00"/>
    <x v="0"/>
    <m/>
    <x v="6"/>
    <n v="5"/>
    <s v="Sim"/>
    <n v="0"/>
    <n v="0"/>
    <n v="0"/>
    <s v="Não"/>
    <s v="Não"/>
    <s v="Não"/>
    <s v=""/>
    <b v="0"/>
  </r>
  <r>
    <x v="581"/>
    <x v="0"/>
    <x v="83"/>
    <x v="2"/>
    <n v="3"/>
    <x v="2"/>
    <x v="2"/>
    <n v="70583961"/>
    <s v="BEP: 70592682"/>
    <m/>
    <x v="0"/>
    <d v="2025-10-21T00:00:00"/>
    <m/>
    <d v="2025-10-21T00:00:00"/>
    <x v="0"/>
    <m/>
    <x v="6"/>
    <n v="5"/>
    <s v="Sim"/>
    <n v="0"/>
    <n v="0"/>
    <n v="0"/>
    <s v="Não"/>
    <s v="Não"/>
    <s v="Não"/>
    <s v=""/>
    <b v="0"/>
  </r>
  <r>
    <x v="582"/>
    <x v="0"/>
    <x v="83"/>
    <x v="3"/>
    <n v="4"/>
    <x v="3"/>
    <x v="6"/>
    <s v="DocNum - 46482252"/>
    <m/>
    <m/>
    <x v="0"/>
    <d v="2025-10-25T00:00:00"/>
    <m/>
    <d v="2025-10-25T00:00:00"/>
    <x v="59"/>
    <m/>
    <x v="6"/>
    <n v="5"/>
    <s v="Sim"/>
    <n v="0"/>
    <n v="0"/>
    <n v="0"/>
    <s v="Não"/>
    <s v="Não"/>
    <s v="Não"/>
    <s v=""/>
    <b v="0"/>
  </r>
  <r>
    <x v="583"/>
    <x v="0"/>
    <x v="83"/>
    <x v="8"/>
    <n v="5"/>
    <x v="8"/>
    <x v="4"/>
    <s v="DocNum - 46482252"/>
    <m/>
    <m/>
    <x v="0"/>
    <d v="2025-10-27T00:00:00"/>
    <m/>
    <d v="2025-10-27T00:00:00"/>
    <x v="0"/>
    <m/>
    <x v="6"/>
    <n v="5"/>
    <s v="Sim"/>
    <n v="0"/>
    <n v="0"/>
    <n v="0"/>
    <s v="Não"/>
    <s v="Não"/>
    <s v="Não"/>
    <s v=""/>
    <b v="0"/>
  </r>
  <r>
    <x v="584"/>
    <x v="0"/>
    <x v="84"/>
    <x v="41"/>
    <n v="1"/>
    <x v="41"/>
    <x v="0"/>
    <n v="4501889002"/>
    <m/>
    <m/>
    <x v="0"/>
    <d v="2025-11-14T00:00:00"/>
    <m/>
    <d v="2025-11-14T00:00:00"/>
    <x v="0"/>
    <m/>
    <x v="5"/>
    <n v="6"/>
    <s v="Não"/>
    <n v="0"/>
    <n v="0"/>
    <n v="1"/>
    <s v="Não"/>
    <s v="Não"/>
    <s v="Sim"/>
    <s v=""/>
    <b v="0"/>
  </r>
  <r>
    <x v="585"/>
    <x v="0"/>
    <x v="84"/>
    <x v="42"/>
    <n v="2"/>
    <x v="42"/>
    <x v="9"/>
    <n v="4501889002"/>
    <m/>
    <m/>
    <x v="0"/>
    <d v="2025-11-14T00:00:00"/>
    <m/>
    <d v="2025-11-14T00:00:00"/>
    <x v="0"/>
    <m/>
    <x v="5"/>
    <n v="6"/>
    <s v="Não"/>
    <n v="0"/>
    <n v="0"/>
    <n v="1"/>
    <s v="Não"/>
    <s v="Não"/>
    <s v="Sim"/>
    <s v=""/>
    <b v="0"/>
  </r>
  <r>
    <x v="586"/>
    <x v="0"/>
    <x v="84"/>
    <x v="43"/>
    <n v="3"/>
    <x v="43"/>
    <x v="10"/>
    <s v="Doc Num - 46482417"/>
    <m/>
    <m/>
    <x v="0"/>
    <d v="2025-11-14T00:00:00"/>
    <m/>
    <d v="2025-11-14T00:00:00"/>
    <x v="0"/>
    <m/>
    <x v="5"/>
    <n v="6"/>
    <s v="Não"/>
    <n v="0"/>
    <n v="0"/>
    <n v="1"/>
    <s v="Não"/>
    <s v="Não"/>
    <s v="Sim"/>
    <s v=""/>
    <b v="0"/>
  </r>
  <r>
    <x v="587"/>
    <x v="0"/>
    <x v="84"/>
    <x v="44"/>
    <n v="4"/>
    <x v="44"/>
    <x v="4"/>
    <s v="Doc Num - 46482417"/>
    <m/>
    <m/>
    <x v="0"/>
    <d v="2025-11-18T00:00:00"/>
    <m/>
    <d v="2025-11-18T00:00:00"/>
    <x v="60"/>
    <m/>
    <x v="5"/>
    <n v="6"/>
    <s v="Não"/>
    <n v="0"/>
    <n v="0"/>
    <n v="1"/>
    <s v="Não"/>
    <s v="Não"/>
    <s v="Sim"/>
    <s v=""/>
    <b v="0"/>
  </r>
  <r>
    <x v="588"/>
    <x v="0"/>
    <x v="84"/>
    <x v="45"/>
    <n v="5"/>
    <x v="45"/>
    <x v="5"/>
    <s v="Doc Num - 46482417"/>
    <m/>
    <m/>
    <x v="0"/>
    <d v="2025-11-25T00:00:00"/>
    <m/>
    <d v="2025-11-25T00:00:00"/>
    <x v="0"/>
    <m/>
    <x v="5"/>
    <n v="6"/>
    <s v="Não"/>
    <n v="0"/>
    <n v="0"/>
    <n v="1"/>
    <s v="Não"/>
    <s v="Não"/>
    <s v="Sim"/>
    <s v=""/>
    <b v="0"/>
  </r>
  <r>
    <x v="589"/>
    <x v="1"/>
    <x v="84"/>
    <x v="6"/>
    <n v="6"/>
    <x v="6"/>
    <x v="4"/>
    <m/>
    <m/>
    <m/>
    <x v="1"/>
    <m/>
    <m/>
    <m/>
    <x v="0"/>
    <m/>
    <x v="5"/>
    <n v="6"/>
    <s v="Não"/>
    <n v="0"/>
    <n v="0"/>
    <n v="1"/>
    <s v="Não"/>
    <s v="Não"/>
    <s v="Sim"/>
    <s v=""/>
    <b v="0"/>
  </r>
  <r>
    <x v="590"/>
    <x v="0"/>
    <x v="84"/>
    <x v="7"/>
    <n v="7"/>
    <x v="7"/>
    <x v="2"/>
    <s v="Doc Num - 46482417"/>
    <m/>
    <m/>
    <x v="0"/>
    <d v="2025-11-28T00:00:00"/>
    <m/>
    <d v="2025-11-28T00:00:00"/>
    <x v="0"/>
    <m/>
    <x v="5"/>
    <n v="6"/>
    <s v="Não"/>
    <n v="0"/>
    <n v="0"/>
    <n v="1"/>
    <s v="Não"/>
    <s v="Não"/>
    <s v="Sim"/>
    <s v=""/>
    <b v="0"/>
  </r>
  <r>
    <x v="591"/>
    <x v="0"/>
    <x v="85"/>
    <x v="0"/>
    <n v="1"/>
    <x v="0"/>
    <x v="0"/>
    <n v="15603686"/>
    <m/>
    <m/>
    <x v="0"/>
    <d v="2025-11-12T00:00:00"/>
    <m/>
    <d v="2025-11-12T00:00:00"/>
    <x v="0"/>
    <m/>
    <x v="0"/>
    <n v="7"/>
    <s v="Não"/>
    <n v="0"/>
    <n v="0"/>
    <n v="1"/>
    <s v="Não"/>
    <s v="Não"/>
    <s v="Sim"/>
    <s v=""/>
    <b v="0"/>
  </r>
  <r>
    <x v="592"/>
    <x v="0"/>
    <x v="85"/>
    <x v="1"/>
    <n v="2"/>
    <x v="1"/>
    <x v="1"/>
    <n v="15603686"/>
    <m/>
    <m/>
    <x v="0"/>
    <d v="2025-11-12T00:00:00"/>
    <m/>
    <d v="2025-11-12T00:00:00"/>
    <x v="0"/>
    <m/>
    <x v="0"/>
    <n v="7"/>
    <s v="Não"/>
    <n v="0"/>
    <n v="0"/>
    <n v="1"/>
    <s v="Não"/>
    <s v="Não"/>
    <s v="Sim"/>
    <s v=""/>
    <b v="0"/>
  </r>
  <r>
    <x v="593"/>
    <x v="0"/>
    <x v="85"/>
    <x v="2"/>
    <n v="3"/>
    <x v="2"/>
    <x v="2"/>
    <n v="15603686"/>
    <m/>
    <m/>
    <x v="0"/>
    <d v="2025-11-12T00:00:00"/>
    <m/>
    <d v="2025-11-12T00:00:00"/>
    <x v="0"/>
    <m/>
    <x v="0"/>
    <n v="7"/>
    <s v="Não"/>
    <n v="0"/>
    <n v="0"/>
    <n v="1"/>
    <s v="Não"/>
    <s v="Não"/>
    <s v="Sim"/>
    <s v=""/>
    <b v="0"/>
  </r>
  <r>
    <x v="594"/>
    <x v="0"/>
    <x v="85"/>
    <x v="3"/>
    <n v="4"/>
    <x v="3"/>
    <x v="3"/>
    <s v="Doc Num - 46482398"/>
    <m/>
    <m/>
    <x v="0"/>
    <d v="2025-11-13T00:00:00"/>
    <m/>
    <d v="2025-11-13T00:00:00"/>
    <x v="0"/>
    <m/>
    <x v="0"/>
    <n v="7"/>
    <s v="Não"/>
    <n v="0"/>
    <n v="0"/>
    <n v="1"/>
    <s v="Não"/>
    <s v="Não"/>
    <s v="Sim"/>
    <s v=""/>
    <b v="0"/>
  </r>
  <r>
    <x v="595"/>
    <x v="0"/>
    <x v="85"/>
    <x v="4"/>
    <n v="5"/>
    <x v="8"/>
    <x v="4"/>
    <s v="Doc Num - 46482398"/>
    <m/>
    <m/>
    <x v="0"/>
    <d v="2025-11-25T00:00:00"/>
    <m/>
    <d v="2025-11-25T00:00:00"/>
    <x v="0"/>
    <m/>
    <x v="0"/>
    <n v="7"/>
    <s v="Não"/>
    <n v="0"/>
    <n v="0"/>
    <n v="1"/>
    <s v="Não"/>
    <s v="Não"/>
    <s v="Sim"/>
    <s v=""/>
    <b v="0"/>
  </r>
  <r>
    <x v="596"/>
    <x v="0"/>
    <x v="85"/>
    <x v="5"/>
    <n v="6"/>
    <x v="5"/>
    <x v="5"/>
    <s v="Doc Num - 46482398"/>
    <m/>
    <m/>
    <x v="0"/>
    <d v="2025-11-25T00:00:00"/>
    <m/>
    <d v="2025-11-25T00:00:00"/>
    <x v="0"/>
    <m/>
    <x v="0"/>
    <n v="7"/>
    <s v="Não"/>
    <n v="0"/>
    <n v="0"/>
    <n v="1"/>
    <s v="Não"/>
    <s v="Não"/>
    <s v="Sim"/>
    <s v=""/>
    <b v="0"/>
  </r>
  <r>
    <x v="597"/>
    <x v="1"/>
    <x v="85"/>
    <x v="6"/>
    <n v="7"/>
    <x v="6"/>
    <x v="4"/>
    <m/>
    <m/>
    <m/>
    <x v="1"/>
    <m/>
    <m/>
    <m/>
    <x v="0"/>
    <m/>
    <x v="0"/>
    <n v="7"/>
    <s v="Não"/>
    <n v="0"/>
    <n v="0"/>
    <n v="1"/>
    <s v="Não"/>
    <s v="Não"/>
    <s v="Sim"/>
    <s v=""/>
    <b v="0"/>
  </r>
  <r>
    <x v="598"/>
    <x v="0"/>
    <x v="85"/>
    <x v="7"/>
    <n v="8"/>
    <x v="7"/>
    <x v="2"/>
    <n v="15603686"/>
    <m/>
    <m/>
    <x v="0"/>
    <d v="2025-12-03T00:00:00"/>
    <m/>
    <d v="2025-12-03T00:00:00"/>
    <x v="0"/>
    <m/>
    <x v="0"/>
    <n v="7"/>
    <s v="Não"/>
    <n v="0"/>
    <n v="0"/>
    <n v="1"/>
    <s v="Não"/>
    <s v="Não"/>
    <s v="Sim"/>
    <s v=""/>
    <b v="0"/>
  </r>
  <r>
    <x v="599"/>
    <x v="0"/>
    <x v="86"/>
    <x v="46"/>
    <n v="1"/>
    <x v="46"/>
    <x v="0"/>
    <n v="15603731"/>
    <m/>
    <m/>
    <x v="0"/>
    <d v="2025-11-28T00:00:00"/>
    <m/>
    <d v="2025-11-28T00:00:00"/>
    <x v="0"/>
    <m/>
    <x v="1"/>
    <n v="5"/>
    <s v="Não"/>
    <n v="0"/>
    <n v="0"/>
    <n v="1"/>
    <s v="Não"/>
    <s v="Não"/>
    <s v="Sim"/>
    <s v=""/>
    <b v="0"/>
  </r>
  <r>
    <x v="600"/>
    <x v="0"/>
    <x v="86"/>
    <x v="1"/>
    <n v="2"/>
    <x v="1"/>
    <x v="1"/>
    <n v="15603731"/>
    <m/>
    <m/>
    <x v="0"/>
    <d v="2025-12-01T00:00:00"/>
    <m/>
    <d v="2025-12-01T00:00:00"/>
    <x v="0"/>
    <m/>
    <x v="1"/>
    <n v="5"/>
    <s v="Não"/>
    <n v="0"/>
    <n v="0"/>
    <n v="1"/>
    <s v="Não"/>
    <s v="Não"/>
    <s v="Sim"/>
    <s v=""/>
    <b v="0"/>
  </r>
  <r>
    <x v="601"/>
    <x v="0"/>
    <x v="86"/>
    <x v="3"/>
    <n v="4"/>
    <x v="3"/>
    <x v="3"/>
    <s v="DocNum 46482637"/>
    <m/>
    <m/>
    <x v="0"/>
    <d v="2025-12-01T00:00:00"/>
    <m/>
    <d v="2025-12-01T00:00:00"/>
    <x v="0"/>
    <m/>
    <x v="1"/>
    <n v="5"/>
    <s v="Não"/>
    <n v="0"/>
    <n v="0"/>
    <n v="1"/>
    <s v="Não"/>
    <s v="Não"/>
    <s v="Sim"/>
    <s v=""/>
    <b v="0"/>
  </r>
  <r>
    <x v="602"/>
    <x v="0"/>
    <x v="86"/>
    <x v="4"/>
    <n v="5"/>
    <x v="8"/>
    <x v="4"/>
    <s v="DocNum 46482637"/>
    <m/>
    <m/>
    <x v="0"/>
    <d v="2025-12-03T00:00:00"/>
    <m/>
    <d v="2025-12-03T00:00:00"/>
    <x v="0"/>
    <m/>
    <x v="1"/>
    <n v="5"/>
    <s v="Não"/>
    <n v="0"/>
    <n v="0"/>
    <n v="1"/>
    <s v="Não"/>
    <s v="Não"/>
    <s v="Sim"/>
    <s v=""/>
    <b v="0"/>
  </r>
  <r>
    <x v="603"/>
    <x v="0"/>
    <x v="86"/>
    <x v="5"/>
    <n v="6"/>
    <x v="5"/>
    <x v="5"/>
    <s v="DocNum 46482637"/>
    <m/>
    <m/>
    <x v="0"/>
    <d v="2025-12-04T00:00:00"/>
    <m/>
    <d v="2025-12-04T00:00:00"/>
    <x v="0"/>
    <m/>
    <x v="1"/>
    <n v="5"/>
    <s v="Não"/>
    <n v="0"/>
    <n v="0"/>
    <n v="1"/>
    <s v="Não"/>
    <s v="Não"/>
    <s v="Sim"/>
    <s v=""/>
    <b v="0"/>
  </r>
  <r>
    <x v="604"/>
    <x v="1"/>
    <x v="86"/>
    <x v="6"/>
    <n v="7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605"/>
    <x v="0"/>
    <x v="87"/>
    <x v="47"/>
    <n v="1"/>
    <x v="47"/>
    <x v="0"/>
    <s v=" 60668357"/>
    <m/>
    <m/>
    <x v="0"/>
    <d v="2025-12-03T00:00:00"/>
    <m/>
    <d v="2025-12-03T00:00:00"/>
    <x v="0"/>
    <m/>
    <x v="1"/>
    <n v="5"/>
    <s v="Não"/>
    <n v="0"/>
    <n v="0"/>
    <n v="1"/>
    <s v="Não"/>
    <s v="Não"/>
    <s v="Sim"/>
    <s v=""/>
    <b v="0"/>
  </r>
  <r>
    <x v="606"/>
    <x v="0"/>
    <x v="87"/>
    <x v="1"/>
    <n v="2"/>
    <x v="1"/>
    <x v="1"/>
    <s v=" 60668357"/>
    <m/>
    <m/>
    <x v="0"/>
    <d v="2025-12-04T00:00:00"/>
    <m/>
    <d v="2025-12-04T00:00:00"/>
    <x v="0"/>
    <m/>
    <x v="1"/>
    <n v="5"/>
    <s v="Não"/>
    <n v="0"/>
    <n v="0"/>
    <n v="1"/>
    <s v="Não"/>
    <s v="Não"/>
    <s v="Sim"/>
    <s v=""/>
    <b v="0"/>
  </r>
  <r>
    <x v="607"/>
    <x v="0"/>
    <x v="87"/>
    <x v="3"/>
    <n v="4"/>
    <x v="3"/>
    <x v="3"/>
    <s v="DocNum 46482715"/>
    <m/>
    <m/>
    <x v="0"/>
    <d v="2025-12-04T00:00:00"/>
    <m/>
    <d v="2025-12-04T00:00:00"/>
    <x v="0"/>
    <m/>
    <x v="1"/>
    <n v="5"/>
    <s v="Não"/>
    <n v="0"/>
    <n v="0"/>
    <n v="1"/>
    <s v="Não"/>
    <s v="Não"/>
    <s v="Sim"/>
    <s v=""/>
    <b v="0"/>
  </r>
  <r>
    <x v="608"/>
    <x v="0"/>
    <x v="87"/>
    <x v="4"/>
    <n v="5"/>
    <x v="8"/>
    <x v="4"/>
    <s v="DocNum 46482715"/>
    <m/>
    <m/>
    <x v="0"/>
    <d v="2025-12-05T00:00:00"/>
    <m/>
    <d v="2025-12-05T00:00:00"/>
    <x v="0"/>
    <m/>
    <x v="1"/>
    <n v="5"/>
    <s v="Não"/>
    <n v="0"/>
    <n v="0"/>
    <n v="1"/>
    <s v="Não"/>
    <s v="Não"/>
    <s v="Sim"/>
    <s v=""/>
    <b v="0"/>
  </r>
  <r>
    <x v="609"/>
    <x v="0"/>
    <x v="87"/>
    <x v="5"/>
    <n v="6"/>
    <x v="5"/>
    <x v="5"/>
    <s v="DocNum 46482715"/>
    <m/>
    <m/>
    <x v="0"/>
    <d v="2025-12-05T00:00:00"/>
    <m/>
    <d v="2025-12-05T00:00:00"/>
    <x v="0"/>
    <m/>
    <x v="1"/>
    <n v="5"/>
    <s v="Não"/>
    <n v="0"/>
    <n v="0"/>
    <n v="1"/>
    <s v="Não"/>
    <s v="Não"/>
    <s v="Sim"/>
    <s v=""/>
    <b v="0"/>
  </r>
  <r>
    <x v="610"/>
    <x v="1"/>
    <x v="87"/>
    <x v="6"/>
    <n v="7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611"/>
    <x v="0"/>
    <x v="88"/>
    <x v="48"/>
    <n v="1"/>
    <x v="48"/>
    <x v="0"/>
    <s v="15603734 "/>
    <m/>
    <m/>
    <x v="0"/>
    <d v="2025-12-05T00:00:00"/>
    <m/>
    <d v="2025-12-05T00:00:00"/>
    <x v="0"/>
    <m/>
    <x v="1"/>
    <n v="4"/>
    <s v="Não"/>
    <n v="0"/>
    <n v="0"/>
    <n v="1"/>
    <s v="Não"/>
    <s v="Não"/>
    <s v="Sim"/>
    <s v=""/>
    <b v="0"/>
  </r>
  <r>
    <x v="612"/>
    <x v="0"/>
    <x v="88"/>
    <x v="1"/>
    <n v="2"/>
    <x v="1"/>
    <x v="1"/>
    <s v="15603734 "/>
    <m/>
    <m/>
    <x v="0"/>
    <d v="2025-12-09T00:00:00"/>
    <m/>
    <d v="2025-12-09T00:00:00"/>
    <x v="0"/>
    <m/>
    <x v="1"/>
    <n v="4"/>
    <s v="Não"/>
    <n v="0"/>
    <n v="0"/>
    <n v="1"/>
    <s v="Não"/>
    <s v="Não"/>
    <s v="Sim"/>
    <s v=""/>
    <b v="0"/>
  </r>
  <r>
    <x v="613"/>
    <x v="0"/>
    <x v="88"/>
    <x v="3"/>
    <n v="4"/>
    <x v="3"/>
    <x v="3"/>
    <s v="DocNum 46482786"/>
    <m/>
    <m/>
    <x v="0"/>
    <d v="2025-12-09T00:00:00"/>
    <m/>
    <d v="2025-12-09T00:00:00"/>
    <x v="0"/>
    <m/>
    <x v="1"/>
    <n v="4"/>
    <s v="Não"/>
    <n v="0"/>
    <n v="0"/>
    <n v="1"/>
    <s v="Não"/>
    <s v="Não"/>
    <s v="Sim"/>
    <s v=""/>
    <b v="0"/>
  </r>
  <r>
    <x v="614"/>
    <x v="0"/>
    <x v="88"/>
    <x v="4"/>
    <n v="5"/>
    <x v="8"/>
    <x v="4"/>
    <s v="DocNum 46482786"/>
    <m/>
    <m/>
    <x v="0"/>
    <d v="2025-12-10T00:00:00"/>
    <m/>
    <d v="2025-12-10T00:00:00"/>
    <x v="0"/>
    <m/>
    <x v="1"/>
    <n v="4"/>
    <s v="Não"/>
    <n v="0"/>
    <n v="0"/>
    <n v="1"/>
    <s v="Não"/>
    <s v="Não"/>
    <s v="Sim"/>
    <s v=""/>
    <b v="0"/>
  </r>
  <r>
    <x v="615"/>
    <x v="0"/>
    <x v="88"/>
    <x v="5"/>
    <n v="6"/>
    <x v="5"/>
    <x v="5"/>
    <s v="DocNum 46482786"/>
    <m/>
    <m/>
    <x v="2"/>
    <d v="2025-12-10T00:00:00"/>
    <m/>
    <d v="2025-12-10T00:00:00"/>
    <x v="0"/>
    <m/>
    <x v="1"/>
    <n v="4"/>
    <s v="Não"/>
    <n v="0"/>
    <n v="0"/>
    <n v="1"/>
    <s v="Não"/>
    <s v="Não"/>
    <s v="Sim"/>
    <s v=""/>
    <b v="0"/>
  </r>
  <r>
    <x v="616"/>
    <x v="1"/>
    <x v="88"/>
    <x v="6"/>
    <n v="7"/>
    <x v="6"/>
    <x v="4"/>
    <m/>
    <m/>
    <m/>
    <x v="1"/>
    <m/>
    <m/>
    <m/>
    <x v="0"/>
    <m/>
    <x v="1"/>
    <n v="4"/>
    <s v="Não"/>
    <n v="0"/>
    <n v="0"/>
    <n v="1"/>
    <s v="Não"/>
    <s v="Não"/>
    <s v="Sim"/>
    <s v=""/>
    <b v="0"/>
  </r>
  <r>
    <x v="617"/>
    <x v="0"/>
    <x v="89"/>
    <x v="49"/>
    <n v="1"/>
    <x v="49"/>
    <x v="0"/>
    <s v=" 60668373 "/>
    <m/>
    <m/>
    <x v="0"/>
    <d v="2025-12-10T00:00:00"/>
    <m/>
    <d v="2025-12-10T00:00:00"/>
    <x v="0"/>
    <m/>
    <x v="1"/>
    <n v="5"/>
    <s v="Não"/>
    <n v="0"/>
    <n v="0"/>
    <n v="1"/>
    <s v="Não"/>
    <s v="Não"/>
    <s v="Sim"/>
    <s v=""/>
    <b v="0"/>
  </r>
  <r>
    <x v="618"/>
    <x v="0"/>
    <x v="89"/>
    <x v="1"/>
    <n v="2"/>
    <x v="1"/>
    <x v="1"/>
    <s v=" 60668373 "/>
    <m/>
    <m/>
    <x v="0"/>
    <d v="2025-12-10T00:00:00"/>
    <m/>
    <d v="2025-12-10T00:00:00"/>
    <x v="0"/>
    <m/>
    <x v="1"/>
    <n v="5"/>
    <s v="Não"/>
    <n v="0"/>
    <n v="0"/>
    <n v="1"/>
    <s v="Não"/>
    <s v="Não"/>
    <s v="Sim"/>
    <s v=""/>
    <b v="0"/>
  </r>
  <r>
    <x v="619"/>
    <x v="0"/>
    <x v="89"/>
    <x v="3"/>
    <n v="4"/>
    <x v="3"/>
    <x v="3"/>
    <s v="DocNum 46482832"/>
    <m/>
    <m/>
    <x v="0"/>
    <d v="2025-12-10T00:00:00"/>
    <m/>
    <d v="2025-12-10T00:00:00"/>
    <x v="0"/>
    <m/>
    <x v="1"/>
    <n v="5"/>
    <s v="Não"/>
    <n v="0"/>
    <n v="0"/>
    <n v="1"/>
    <s v="Não"/>
    <s v="Não"/>
    <s v="Sim"/>
    <s v=""/>
    <b v="0"/>
  </r>
  <r>
    <x v="620"/>
    <x v="0"/>
    <x v="89"/>
    <x v="4"/>
    <n v="5"/>
    <x v="8"/>
    <x v="4"/>
    <s v="DocNum 46482832"/>
    <m/>
    <m/>
    <x v="0"/>
    <d v="2025-12-10T00:00:00"/>
    <m/>
    <d v="2025-12-10T00:00:00"/>
    <x v="0"/>
    <m/>
    <x v="1"/>
    <n v="5"/>
    <s v="Não"/>
    <n v="0"/>
    <n v="0"/>
    <n v="1"/>
    <s v="Não"/>
    <s v="Não"/>
    <s v="Sim"/>
    <s v=""/>
    <b v="0"/>
  </r>
  <r>
    <x v="621"/>
    <x v="0"/>
    <x v="89"/>
    <x v="5"/>
    <n v="6"/>
    <x v="5"/>
    <x v="5"/>
    <s v="DocNum 46482832"/>
    <m/>
    <m/>
    <x v="0"/>
    <d v="2025-12-10T00:00:00"/>
    <m/>
    <d v="2025-12-10T00:00:00"/>
    <x v="0"/>
    <m/>
    <x v="1"/>
    <n v="5"/>
    <s v="Não"/>
    <n v="0"/>
    <n v="0"/>
    <n v="1"/>
    <s v="Não"/>
    <s v="Não"/>
    <s v="Sim"/>
    <s v=""/>
    <b v="0"/>
  </r>
  <r>
    <x v="622"/>
    <x v="1"/>
    <x v="89"/>
    <x v="6"/>
    <n v="7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  <r>
    <x v="623"/>
    <x v="0"/>
    <x v="90"/>
    <x v="0"/>
    <n v="1"/>
    <x v="0"/>
    <x v="0"/>
    <n v="15603738"/>
    <m/>
    <m/>
    <x v="0"/>
    <d v="2025-12-10T00:00:00"/>
    <m/>
    <d v="2025-12-10T00:00:00"/>
    <x v="0"/>
    <m/>
    <x v="0"/>
    <n v="6"/>
    <s v="Não"/>
    <n v="0"/>
    <n v="0"/>
    <n v="1"/>
    <s v="Não"/>
    <s v="Não"/>
    <s v="Sim"/>
    <s v=""/>
    <b v="0"/>
  </r>
  <r>
    <x v="624"/>
    <x v="0"/>
    <x v="90"/>
    <x v="1"/>
    <n v="2"/>
    <x v="1"/>
    <x v="1"/>
    <n v="15603738"/>
    <m/>
    <m/>
    <x v="0"/>
    <d v="2025-12-10T00:00:00"/>
    <m/>
    <d v="2025-12-10T00:00:00"/>
    <x v="0"/>
    <m/>
    <x v="0"/>
    <n v="6"/>
    <s v="Não"/>
    <n v="0"/>
    <n v="0"/>
    <n v="1"/>
    <s v="Não"/>
    <s v="Não"/>
    <s v="Sim"/>
    <s v=""/>
    <b v="0"/>
  </r>
  <r>
    <x v="625"/>
    <x v="0"/>
    <x v="90"/>
    <x v="2"/>
    <n v="3"/>
    <x v="2"/>
    <x v="2"/>
    <m/>
    <m/>
    <m/>
    <x v="2"/>
    <d v="2025-12-10T00:00:00"/>
    <m/>
    <d v="2025-12-10T00:00:00"/>
    <x v="0"/>
    <m/>
    <x v="0"/>
    <n v="6"/>
    <s v="Não"/>
    <n v="0"/>
    <n v="0"/>
    <n v="1"/>
    <s v="Não"/>
    <s v="Não"/>
    <s v="Sim"/>
    <s v=""/>
    <b v="0"/>
  </r>
  <r>
    <x v="626"/>
    <x v="0"/>
    <x v="90"/>
    <x v="3"/>
    <n v="4"/>
    <x v="3"/>
    <x v="3"/>
    <s v="DocNum 46482833"/>
    <m/>
    <m/>
    <x v="0"/>
    <d v="2025-12-10T00:00:00"/>
    <m/>
    <d v="2025-12-10T00:00:00"/>
    <x v="0"/>
    <m/>
    <x v="0"/>
    <n v="6"/>
    <s v="Não"/>
    <n v="0"/>
    <n v="0"/>
    <n v="1"/>
    <s v="Não"/>
    <s v="Não"/>
    <s v="Sim"/>
    <s v=""/>
    <b v="0"/>
  </r>
  <r>
    <x v="627"/>
    <x v="0"/>
    <x v="90"/>
    <x v="4"/>
    <n v="5"/>
    <x v="4"/>
    <x v="4"/>
    <s v="DocNum 46482833"/>
    <m/>
    <m/>
    <x v="0"/>
    <d v="2025-12-10T00:00:00"/>
    <m/>
    <d v="2025-12-10T00:00:00"/>
    <x v="0"/>
    <m/>
    <x v="0"/>
    <n v="6"/>
    <s v="Não"/>
    <n v="0"/>
    <n v="0"/>
    <n v="1"/>
    <s v="Não"/>
    <s v="Não"/>
    <s v="Sim"/>
    <s v=""/>
    <b v="0"/>
  </r>
  <r>
    <x v="628"/>
    <x v="0"/>
    <x v="90"/>
    <x v="5"/>
    <n v="6"/>
    <x v="5"/>
    <x v="5"/>
    <s v="DocNum 46482833"/>
    <m/>
    <m/>
    <x v="0"/>
    <d v="2025-12-10T00:00:00"/>
    <m/>
    <d v="2025-12-10T00:00:00"/>
    <x v="0"/>
    <m/>
    <x v="0"/>
    <n v="6"/>
    <s v="Não"/>
    <n v="0"/>
    <n v="0"/>
    <n v="1"/>
    <s v="Não"/>
    <s v="Não"/>
    <s v="Sim"/>
    <s v=""/>
    <b v="0"/>
  </r>
  <r>
    <x v="629"/>
    <x v="1"/>
    <x v="90"/>
    <x v="6"/>
    <n v="7"/>
    <x v="6"/>
    <x v="4"/>
    <m/>
    <m/>
    <m/>
    <x v="1"/>
    <m/>
    <m/>
    <m/>
    <x v="0"/>
    <m/>
    <x v="0"/>
    <n v="6"/>
    <s v="Não"/>
    <n v="0"/>
    <n v="0"/>
    <n v="1"/>
    <s v="Não"/>
    <s v="Não"/>
    <s v="Sim"/>
    <s v=""/>
    <b v="0"/>
  </r>
  <r>
    <x v="630"/>
    <x v="0"/>
    <x v="90"/>
    <x v="7"/>
    <n v="8"/>
    <x v="7"/>
    <x v="2"/>
    <m/>
    <m/>
    <m/>
    <x v="0"/>
    <d v="2025-12-11T00:00:00"/>
    <m/>
    <d v="2025-12-11T00:00:00"/>
    <x v="0"/>
    <m/>
    <x v="0"/>
    <n v="6"/>
    <s v="Não"/>
    <n v="0"/>
    <n v="0"/>
    <n v="1"/>
    <s v="Não"/>
    <s v="Não"/>
    <s v="Sim"/>
    <s v=""/>
    <b v="0"/>
  </r>
  <r>
    <x v="631"/>
    <x v="0"/>
    <x v="91"/>
    <x v="50"/>
    <n v="1"/>
    <x v="50"/>
    <x v="0"/>
    <n v="70583991"/>
    <m/>
    <m/>
    <x v="0"/>
    <d v="2025-12-10T00:00:00"/>
    <m/>
    <d v="2025-12-10T00:00:00"/>
    <x v="0"/>
    <m/>
    <x v="1"/>
    <n v="5"/>
    <s v="Não"/>
    <n v="0"/>
    <n v="0"/>
    <n v="1"/>
    <s v="Não"/>
    <s v="Não"/>
    <s v="Sim"/>
    <s v=""/>
    <b v="0"/>
  </r>
  <r>
    <x v="632"/>
    <x v="0"/>
    <x v="91"/>
    <x v="1"/>
    <n v="2"/>
    <x v="1"/>
    <x v="1"/>
    <n v="70583991"/>
    <m/>
    <m/>
    <x v="0"/>
    <d v="2025-12-10T00:00:00"/>
    <m/>
    <d v="2025-12-10T00:00:00"/>
    <x v="0"/>
    <m/>
    <x v="1"/>
    <n v="5"/>
    <s v="Não"/>
    <n v="0"/>
    <n v="0"/>
    <n v="1"/>
    <s v="Não"/>
    <s v="Não"/>
    <s v="Sim"/>
    <s v=""/>
    <b v="0"/>
  </r>
  <r>
    <x v="633"/>
    <x v="0"/>
    <x v="91"/>
    <x v="3"/>
    <n v="4"/>
    <x v="3"/>
    <x v="3"/>
    <s v="DocNum 46482839"/>
    <m/>
    <m/>
    <x v="0"/>
    <d v="2025-12-10T00:00:00"/>
    <m/>
    <d v="2025-12-10T00:00:00"/>
    <x v="0"/>
    <m/>
    <x v="1"/>
    <n v="5"/>
    <s v="Não"/>
    <n v="0"/>
    <n v="0"/>
    <n v="1"/>
    <s v="Não"/>
    <s v="Não"/>
    <s v="Sim"/>
    <s v=""/>
    <b v="0"/>
  </r>
  <r>
    <x v="634"/>
    <x v="0"/>
    <x v="91"/>
    <x v="4"/>
    <n v="5"/>
    <x v="8"/>
    <x v="4"/>
    <s v="DocNum 46482839"/>
    <m/>
    <m/>
    <x v="0"/>
    <d v="2025-12-10T00:00:00"/>
    <m/>
    <d v="2025-12-10T00:00:00"/>
    <x v="0"/>
    <m/>
    <x v="1"/>
    <n v="5"/>
    <s v="Não"/>
    <n v="0"/>
    <n v="0"/>
    <n v="1"/>
    <s v="Não"/>
    <s v="Não"/>
    <s v="Sim"/>
    <s v=""/>
    <b v="0"/>
  </r>
  <r>
    <x v="635"/>
    <x v="0"/>
    <x v="91"/>
    <x v="5"/>
    <n v="6"/>
    <x v="5"/>
    <x v="5"/>
    <s v="DocNum 46482839"/>
    <m/>
    <m/>
    <x v="0"/>
    <d v="2025-12-10T00:00:00"/>
    <m/>
    <d v="2025-12-10T00:00:00"/>
    <x v="0"/>
    <m/>
    <x v="1"/>
    <n v="5"/>
    <s v="Não"/>
    <n v="0"/>
    <n v="0"/>
    <n v="1"/>
    <s v="Não"/>
    <s v="Não"/>
    <s v="Sim"/>
    <s v=""/>
    <b v="0"/>
  </r>
  <r>
    <x v="636"/>
    <x v="1"/>
    <x v="91"/>
    <x v="6"/>
    <n v="7"/>
    <x v="6"/>
    <x v="4"/>
    <m/>
    <m/>
    <m/>
    <x v="1"/>
    <m/>
    <m/>
    <m/>
    <x v="0"/>
    <m/>
    <x v="1"/>
    <n v="5"/>
    <s v="Não"/>
    <n v="0"/>
    <n v="0"/>
    <n v="1"/>
    <s v="Não"/>
    <s v="Não"/>
    <s v="Sim"/>
    <s v=""/>
    <b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x v="0"/>
    <x v="0"/>
    <x v="0"/>
    <x v="0"/>
    <m/>
    <m/>
    <x v="0"/>
    <n v="4705847492"/>
    <m/>
    <m/>
    <x v="0"/>
    <m/>
    <m/>
    <d v="2025-12-10T00:00:00"/>
    <m/>
    <m/>
    <m/>
    <m/>
    <m/>
    <m/>
    <m/>
    <m/>
    <m/>
    <m/>
    <m/>
    <m/>
    <m/>
  </r>
  <r>
    <x v="1"/>
    <x v="0"/>
    <x v="0"/>
    <x v="1"/>
    <m/>
    <m/>
    <x v="0"/>
    <n v="46482747"/>
    <m/>
    <m/>
    <x v="0"/>
    <m/>
    <m/>
    <d v="2025-12-10T00:00:00"/>
    <m/>
    <m/>
    <m/>
    <m/>
    <m/>
    <m/>
    <m/>
    <m/>
    <m/>
    <m/>
    <m/>
    <m/>
    <m/>
  </r>
  <r>
    <x v="2"/>
    <x v="0"/>
    <x v="0"/>
    <x v="2"/>
    <m/>
    <m/>
    <x v="1"/>
    <m/>
    <m/>
    <m/>
    <x v="1"/>
    <m/>
    <m/>
    <m/>
    <m/>
    <m/>
    <m/>
    <m/>
    <m/>
    <m/>
    <m/>
    <m/>
    <m/>
    <m/>
    <m/>
    <m/>
    <m/>
  </r>
  <r>
    <x v="3"/>
    <x v="0"/>
    <x v="0"/>
    <x v="3"/>
    <m/>
    <m/>
    <x v="2"/>
    <m/>
    <m/>
    <m/>
    <x v="1"/>
    <m/>
    <m/>
    <m/>
    <m/>
    <m/>
    <m/>
    <m/>
    <m/>
    <m/>
    <m/>
    <m/>
    <m/>
    <m/>
    <m/>
    <m/>
    <m/>
  </r>
  <r>
    <x v="4"/>
    <x v="0"/>
    <x v="0"/>
    <x v="4"/>
    <m/>
    <m/>
    <x v="3"/>
    <m/>
    <m/>
    <m/>
    <x v="1"/>
    <m/>
    <m/>
    <m/>
    <m/>
    <m/>
    <m/>
    <m/>
    <m/>
    <m/>
    <m/>
    <m/>
    <m/>
    <m/>
    <m/>
    <m/>
    <m/>
  </r>
  <r>
    <x v="5"/>
    <x v="0"/>
    <x v="0"/>
    <x v="5"/>
    <m/>
    <m/>
    <x v="4"/>
    <m/>
    <m/>
    <m/>
    <x v="1"/>
    <m/>
    <m/>
    <m/>
    <m/>
    <m/>
    <m/>
    <m/>
    <m/>
    <m/>
    <m/>
    <m/>
    <m/>
    <m/>
    <m/>
    <m/>
    <m/>
  </r>
  <r>
    <x v="6"/>
    <x v="0"/>
    <x v="0"/>
    <x v="6"/>
    <m/>
    <m/>
    <x v="5"/>
    <m/>
    <m/>
    <m/>
    <x v="1"/>
    <m/>
    <m/>
    <m/>
    <m/>
    <m/>
    <m/>
    <m/>
    <m/>
    <m/>
    <m/>
    <m/>
    <m/>
    <m/>
    <m/>
    <m/>
    <m/>
  </r>
  <r>
    <x v="7"/>
    <x v="0"/>
    <x v="0"/>
    <x v="7"/>
    <m/>
    <m/>
    <x v="6"/>
    <m/>
    <m/>
    <m/>
    <x v="1"/>
    <m/>
    <m/>
    <m/>
    <m/>
    <m/>
    <m/>
    <m/>
    <m/>
    <m/>
    <m/>
    <m/>
    <m/>
    <m/>
    <m/>
    <m/>
    <m/>
  </r>
  <r>
    <x v="8"/>
    <x v="0"/>
    <x v="0"/>
    <x v="8"/>
    <m/>
    <m/>
    <x v="7"/>
    <m/>
    <m/>
    <m/>
    <x v="1"/>
    <m/>
    <m/>
    <m/>
    <m/>
    <m/>
    <m/>
    <m/>
    <m/>
    <m/>
    <m/>
    <m/>
    <m/>
    <m/>
    <m/>
    <m/>
    <m/>
  </r>
  <r>
    <x v="9"/>
    <x v="0"/>
    <x v="1"/>
    <x v="0"/>
    <m/>
    <m/>
    <x v="0"/>
    <n v="4501889037"/>
    <m/>
    <m/>
    <x v="0"/>
    <m/>
    <m/>
    <d v="2025-12-10T00:00:00"/>
    <m/>
    <m/>
    <m/>
    <m/>
    <m/>
    <m/>
    <m/>
    <m/>
    <m/>
    <m/>
    <m/>
    <m/>
    <m/>
  </r>
  <r>
    <x v="10"/>
    <x v="0"/>
    <x v="1"/>
    <x v="1"/>
    <m/>
    <m/>
    <x v="0"/>
    <n v="46482744"/>
    <m/>
    <m/>
    <x v="2"/>
    <m/>
    <m/>
    <m/>
    <s v="Erro no item 2 - Tributação IBS incorreta"/>
    <m/>
    <m/>
    <m/>
    <m/>
    <m/>
    <m/>
    <m/>
    <m/>
    <m/>
    <m/>
    <m/>
    <m/>
  </r>
  <r>
    <x v="11"/>
    <x v="0"/>
    <x v="1"/>
    <x v="2"/>
    <m/>
    <m/>
    <x v="1"/>
    <m/>
    <m/>
    <m/>
    <x v="3"/>
    <m/>
    <m/>
    <m/>
    <m/>
    <m/>
    <m/>
    <m/>
    <m/>
    <m/>
    <m/>
    <m/>
    <m/>
    <m/>
    <m/>
    <m/>
    <m/>
  </r>
  <r>
    <x v="12"/>
    <x v="0"/>
    <x v="1"/>
    <x v="3"/>
    <m/>
    <m/>
    <x v="2"/>
    <m/>
    <m/>
    <m/>
    <x v="3"/>
    <m/>
    <m/>
    <m/>
    <m/>
    <m/>
    <m/>
    <m/>
    <m/>
    <m/>
    <m/>
    <m/>
    <m/>
    <m/>
    <m/>
    <m/>
    <m/>
  </r>
  <r>
    <x v="13"/>
    <x v="0"/>
    <x v="1"/>
    <x v="4"/>
    <m/>
    <m/>
    <x v="3"/>
    <m/>
    <m/>
    <m/>
    <x v="3"/>
    <m/>
    <m/>
    <m/>
    <m/>
    <m/>
    <m/>
    <m/>
    <m/>
    <m/>
    <m/>
    <m/>
    <m/>
    <m/>
    <m/>
    <m/>
    <m/>
  </r>
  <r>
    <x v="14"/>
    <x v="0"/>
    <x v="1"/>
    <x v="5"/>
    <m/>
    <m/>
    <x v="4"/>
    <m/>
    <m/>
    <m/>
    <x v="3"/>
    <m/>
    <m/>
    <m/>
    <m/>
    <m/>
    <m/>
    <m/>
    <m/>
    <m/>
    <m/>
    <m/>
    <m/>
    <m/>
    <m/>
    <m/>
    <m/>
  </r>
  <r>
    <x v="15"/>
    <x v="0"/>
    <x v="1"/>
    <x v="6"/>
    <m/>
    <m/>
    <x v="5"/>
    <m/>
    <m/>
    <m/>
    <x v="3"/>
    <m/>
    <m/>
    <m/>
    <m/>
    <m/>
    <m/>
    <m/>
    <m/>
    <m/>
    <m/>
    <m/>
    <m/>
    <m/>
    <m/>
    <m/>
    <m/>
  </r>
  <r>
    <x v="16"/>
    <x v="0"/>
    <x v="1"/>
    <x v="7"/>
    <m/>
    <m/>
    <x v="6"/>
    <m/>
    <m/>
    <m/>
    <x v="3"/>
    <m/>
    <m/>
    <m/>
    <m/>
    <m/>
    <m/>
    <m/>
    <m/>
    <m/>
    <m/>
    <m/>
    <m/>
    <m/>
    <m/>
    <m/>
    <m/>
  </r>
  <r>
    <x v="17"/>
    <x v="0"/>
    <x v="1"/>
    <x v="8"/>
    <m/>
    <m/>
    <x v="7"/>
    <m/>
    <m/>
    <m/>
    <x v="3"/>
    <m/>
    <m/>
    <m/>
    <m/>
    <m/>
    <m/>
    <m/>
    <m/>
    <m/>
    <m/>
    <m/>
    <m/>
    <m/>
    <m/>
    <m/>
    <m/>
  </r>
  <r>
    <x v="18"/>
    <x v="0"/>
    <x v="2"/>
    <x v="0"/>
    <m/>
    <m/>
    <x v="0"/>
    <n v="46482768"/>
    <m/>
    <m/>
    <x v="2"/>
    <m/>
    <m/>
    <m/>
    <s v="Ajustes nas linhas de IBS/CBS"/>
    <m/>
    <m/>
    <m/>
    <m/>
    <m/>
    <m/>
    <m/>
    <m/>
    <m/>
    <m/>
    <m/>
    <m/>
  </r>
  <r>
    <x v="19"/>
    <x v="0"/>
    <x v="2"/>
    <x v="1"/>
    <m/>
    <m/>
    <x v="0"/>
    <m/>
    <m/>
    <m/>
    <x v="3"/>
    <m/>
    <m/>
    <m/>
    <m/>
    <m/>
    <m/>
    <m/>
    <m/>
    <m/>
    <m/>
    <m/>
    <m/>
    <m/>
    <m/>
    <m/>
    <m/>
  </r>
  <r>
    <x v="20"/>
    <x v="0"/>
    <x v="2"/>
    <x v="2"/>
    <m/>
    <m/>
    <x v="1"/>
    <m/>
    <m/>
    <m/>
    <x v="3"/>
    <m/>
    <m/>
    <m/>
    <m/>
    <m/>
    <m/>
    <m/>
    <m/>
    <m/>
    <m/>
    <m/>
    <m/>
    <m/>
    <m/>
    <m/>
    <m/>
  </r>
  <r>
    <x v="21"/>
    <x v="0"/>
    <x v="2"/>
    <x v="3"/>
    <m/>
    <m/>
    <x v="2"/>
    <m/>
    <m/>
    <m/>
    <x v="3"/>
    <m/>
    <m/>
    <m/>
    <m/>
    <m/>
    <m/>
    <m/>
    <m/>
    <m/>
    <m/>
    <m/>
    <m/>
    <m/>
    <m/>
    <m/>
    <m/>
  </r>
  <r>
    <x v="22"/>
    <x v="0"/>
    <x v="2"/>
    <x v="4"/>
    <m/>
    <m/>
    <x v="3"/>
    <m/>
    <m/>
    <m/>
    <x v="3"/>
    <m/>
    <m/>
    <m/>
    <m/>
    <m/>
    <m/>
    <m/>
    <m/>
    <m/>
    <m/>
    <m/>
    <m/>
    <m/>
    <m/>
    <m/>
    <m/>
  </r>
  <r>
    <x v="23"/>
    <x v="0"/>
    <x v="2"/>
    <x v="5"/>
    <m/>
    <m/>
    <x v="4"/>
    <m/>
    <m/>
    <m/>
    <x v="3"/>
    <m/>
    <m/>
    <m/>
    <m/>
    <m/>
    <m/>
    <m/>
    <m/>
    <m/>
    <m/>
    <m/>
    <m/>
    <m/>
    <m/>
    <m/>
    <m/>
  </r>
  <r>
    <x v="24"/>
    <x v="0"/>
    <x v="2"/>
    <x v="6"/>
    <m/>
    <m/>
    <x v="5"/>
    <m/>
    <m/>
    <m/>
    <x v="3"/>
    <m/>
    <m/>
    <m/>
    <m/>
    <m/>
    <m/>
    <m/>
    <m/>
    <m/>
    <m/>
    <m/>
    <m/>
    <m/>
    <m/>
    <m/>
    <m/>
  </r>
  <r>
    <x v="25"/>
    <x v="0"/>
    <x v="2"/>
    <x v="7"/>
    <m/>
    <m/>
    <x v="6"/>
    <m/>
    <m/>
    <m/>
    <x v="3"/>
    <m/>
    <m/>
    <m/>
    <m/>
    <m/>
    <m/>
    <m/>
    <m/>
    <m/>
    <m/>
    <m/>
    <m/>
    <m/>
    <m/>
    <m/>
    <m/>
  </r>
  <r>
    <x v="26"/>
    <x v="0"/>
    <x v="2"/>
    <x v="8"/>
    <m/>
    <m/>
    <x v="7"/>
    <m/>
    <m/>
    <m/>
    <x v="3"/>
    <m/>
    <m/>
    <m/>
    <m/>
    <m/>
    <m/>
    <m/>
    <m/>
    <m/>
    <m/>
    <m/>
    <m/>
    <m/>
    <m/>
    <m/>
    <m/>
  </r>
  <r>
    <x v="27"/>
    <x v="0"/>
    <x v="3"/>
    <x v="0"/>
    <m/>
    <m/>
    <x v="0"/>
    <n v="4501889077"/>
    <m/>
    <m/>
    <x v="0"/>
    <m/>
    <m/>
    <d v="2025-12-11T00:00:00"/>
    <m/>
    <m/>
    <m/>
    <m/>
    <m/>
    <m/>
    <m/>
    <m/>
    <m/>
    <m/>
    <m/>
    <m/>
    <m/>
  </r>
  <r>
    <x v="28"/>
    <x v="0"/>
    <x v="3"/>
    <x v="1"/>
    <m/>
    <m/>
    <x v="0"/>
    <m/>
    <m/>
    <m/>
    <x v="4"/>
    <m/>
    <m/>
    <m/>
    <m/>
    <m/>
    <m/>
    <m/>
    <m/>
    <m/>
    <m/>
    <m/>
    <m/>
    <m/>
    <m/>
    <m/>
    <m/>
  </r>
  <r>
    <x v="29"/>
    <x v="0"/>
    <x v="3"/>
    <x v="2"/>
    <m/>
    <m/>
    <x v="1"/>
    <m/>
    <m/>
    <m/>
    <x v="4"/>
    <m/>
    <m/>
    <m/>
    <m/>
    <m/>
    <m/>
    <m/>
    <m/>
    <m/>
    <m/>
    <m/>
    <m/>
    <m/>
    <m/>
    <m/>
    <m/>
  </r>
  <r>
    <x v="30"/>
    <x v="0"/>
    <x v="3"/>
    <x v="3"/>
    <m/>
    <m/>
    <x v="2"/>
    <m/>
    <m/>
    <m/>
    <x v="4"/>
    <m/>
    <m/>
    <m/>
    <m/>
    <m/>
    <m/>
    <m/>
    <m/>
    <m/>
    <m/>
    <m/>
    <m/>
    <m/>
    <m/>
    <m/>
    <m/>
  </r>
  <r>
    <x v="31"/>
    <x v="0"/>
    <x v="3"/>
    <x v="4"/>
    <m/>
    <m/>
    <x v="3"/>
    <m/>
    <m/>
    <m/>
    <x v="4"/>
    <m/>
    <m/>
    <m/>
    <m/>
    <m/>
    <m/>
    <m/>
    <m/>
    <m/>
    <m/>
    <m/>
    <m/>
    <m/>
    <m/>
    <m/>
    <m/>
  </r>
  <r>
    <x v="32"/>
    <x v="0"/>
    <x v="3"/>
    <x v="5"/>
    <m/>
    <m/>
    <x v="4"/>
    <m/>
    <m/>
    <m/>
    <x v="4"/>
    <m/>
    <m/>
    <m/>
    <m/>
    <m/>
    <m/>
    <m/>
    <m/>
    <m/>
    <m/>
    <m/>
    <m/>
    <m/>
    <m/>
    <m/>
    <m/>
  </r>
  <r>
    <x v="33"/>
    <x v="0"/>
    <x v="3"/>
    <x v="6"/>
    <m/>
    <m/>
    <x v="5"/>
    <m/>
    <m/>
    <m/>
    <x v="4"/>
    <m/>
    <m/>
    <m/>
    <m/>
    <m/>
    <m/>
    <m/>
    <m/>
    <m/>
    <m/>
    <m/>
    <m/>
    <m/>
    <m/>
    <m/>
    <m/>
  </r>
  <r>
    <x v="34"/>
    <x v="0"/>
    <x v="3"/>
    <x v="7"/>
    <m/>
    <m/>
    <x v="6"/>
    <m/>
    <m/>
    <m/>
    <x v="4"/>
    <m/>
    <m/>
    <m/>
    <m/>
    <m/>
    <m/>
    <m/>
    <m/>
    <m/>
    <m/>
    <m/>
    <m/>
    <m/>
    <m/>
    <m/>
    <m/>
  </r>
  <r>
    <x v="35"/>
    <x v="0"/>
    <x v="3"/>
    <x v="8"/>
    <m/>
    <m/>
    <x v="7"/>
    <m/>
    <m/>
    <m/>
    <x v="4"/>
    <m/>
    <m/>
    <m/>
    <m/>
    <m/>
    <m/>
    <m/>
    <m/>
    <m/>
    <m/>
    <m/>
    <m/>
    <m/>
    <m/>
    <m/>
    <m/>
  </r>
  <r>
    <x v="36"/>
    <x v="0"/>
    <x v="4"/>
    <x v="0"/>
    <m/>
    <m/>
    <x v="0"/>
    <n v="4501889041"/>
    <m/>
    <m/>
    <x v="0"/>
    <m/>
    <m/>
    <d v="2025-12-10T00:00:00"/>
    <m/>
    <m/>
    <m/>
    <m/>
    <m/>
    <m/>
    <m/>
    <m/>
    <m/>
    <m/>
    <m/>
    <m/>
    <m/>
  </r>
  <r>
    <x v="37"/>
    <x v="0"/>
    <x v="4"/>
    <x v="1"/>
    <m/>
    <m/>
    <x v="0"/>
    <n v="46482745"/>
    <m/>
    <m/>
    <x v="0"/>
    <m/>
    <m/>
    <d v="2025-12-10T00:00:00"/>
    <m/>
    <m/>
    <m/>
    <m/>
    <m/>
    <m/>
    <m/>
    <m/>
    <m/>
    <m/>
    <m/>
    <m/>
    <m/>
  </r>
  <r>
    <x v="38"/>
    <x v="0"/>
    <x v="4"/>
    <x v="2"/>
    <m/>
    <m/>
    <x v="1"/>
    <m/>
    <m/>
    <m/>
    <x v="1"/>
    <m/>
    <m/>
    <m/>
    <m/>
    <m/>
    <m/>
    <m/>
    <m/>
    <m/>
    <m/>
    <m/>
    <m/>
    <m/>
    <m/>
    <m/>
    <m/>
  </r>
  <r>
    <x v="39"/>
    <x v="0"/>
    <x v="4"/>
    <x v="3"/>
    <m/>
    <m/>
    <x v="2"/>
    <m/>
    <m/>
    <m/>
    <x v="1"/>
    <m/>
    <m/>
    <m/>
    <m/>
    <m/>
    <m/>
    <m/>
    <m/>
    <m/>
    <m/>
    <m/>
    <m/>
    <m/>
    <m/>
    <m/>
    <m/>
  </r>
  <r>
    <x v="40"/>
    <x v="0"/>
    <x v="4"/>
    <x v="4"/>
    <m/>
    <m/>
    <x v="3"/>
    <m/>
    <m/>
    <m/>
    <x v="1"/>
    <m/>
    <m/>
    <m/>
    <m/>
    <m/>
    <m/>
    <m/>
    <m/>
    <m/>
    <m/>
    <m/>
    <m/>
    <m/>
    <m/>
    <m/>
    <m/>
  </r>
  <r>
    <x v="41"/>
    <x v="0"/>
    <x v="4"/>
    <x v="5"/>
    <m/>
    <m/>
    <x v="4"/>
    <m/>
    <m/>
    <m/>
    <x v="1"/>
    <m/>
    <m/>
    <m/>
    <m/>
    <m/>
    <m/>
    <m/>
    <m/>
    <m/>
    <m/>
    <m/>
    <m/>
    <m/>
    <m/>
    <m/>
    <m/>
  </r>
  <r>
    <x v="42"/>
    <x v="0"/>
    <x v="4"/>
    <x v="6"/>
    <m/>
    <m/>
    <x v="5"/>
    <m/>
    <m/>
    <m/>
    <x v="1"/>
    <m/>
    <m/>
    <m/>
    <m/>
    <m/>
    <m/>
    <m/>
    <m/>
    <m/>
    <m/>
    <m/>
    <m/>
    <m/>
    <m/>
    <m/>
    <m/>
  </r>
  <r>
    <x v="43"/>
    <x v="0"/>
    <x v="4"/>
    <x v="7"/>
    <m/>
    <m/>
    <x v="6"/>
    <m/>
    <m/>
    <m/>
    <x v="1"/>
    <m/>
    <m/>
    <m/>
    <m/>
    <m/>
    <m/>
    <m/>
    <m/>
    <m/>
    <m/>
    <m/>
    <m/>
    <m/>
    <m/>
    <m/>
    <m/>
  </r>
  <r>
    <x v="44"/>
    <x v="0"/>
    <x v="4"/>
    <x v="8"/>
    <m/>
    <m/>
    <x v="7"/>
    <m/>
    <m/>
    <m/>
    <x v="1"/>
    <m/>
    <m/>
    <m/>
    <m/>
    <m/>
    <m/>
    <m/>
    <m/>
    <m/>
    <m/>
    <m/>
    <m/>
    <m/>
    <m/>
    <m/>
    <m/>
  </r>
  <r>
    <x v="45"/>
    <x v="0"/>
    <x v="5"/>
    <x v="0"/>
    <m/>
    <m/>
    <x v="0"/>
    <n v="4501889057"/>
    <m/>
    <m/>
    <x v="0"/>
    <m/>
    <m/>
    <d v="2025-12-11T00:00:00"/>
    <m/>
    <m/>
    <m/>
    <m/>
    <m/>
    <m/>
    <m/>
    <m/>
    <m/>
    <m/>
    <m/>
    <m/>
    <m/>
  </r>
  <r>
    <x v="46"/>
    <x v="0"/>
    <x v="5"/>
    <x v="1"/>
    <m/>
    <m/>
    <x v="0"/>
    <m/>
    <m/>
    <m/>
    <x v="2"/>
    <m/>
    <m/>
    <m/>
    <s v="Dump durante a execução: Time Out"/>
    <m/>
    <m/>
    <m/>
    <m/>
    <m/>
    <m/>
    <m/>
    <m/>
    <m/>
    <m/>
    <m/>
    <m/>
  </r>
  <r>
    <x v="47"/>
    <x v="0"/>
    <x v="5"/>
    <x v="2"/>
    <m/>
    <m/>
    <x v="1"/>
    <m/>
    <m/>
    <m/>
    <x v="3"/>
    <m/>
    <m/>
    <m/>
    <m/>
    <m/>
    <m/>
    <m/>
    <m/>
    <m/>
    <m/>
    <m/>
    <m/>
    <m/>
    <m/>
    <m/>
    <m/>
  </r>
  <r>
    <x v="48"/>
    <x v="0"/>
    <x v="5"/>
    <x v="3"/>
    <m/>
    <m/>
    <x v="2"/>
    <m/>
    <m/>
    <m/>
    <x v="3"/>
    <m/>
    <m/>
    <m/>
    <m/>
    <m/>
    <m/>
    <m/>
    <m/>
    <m/>
    <m/>
    <m/>
    <m/>
    <m/>
    <m/>
    <m/>
    <m/>
  </r>
  <r>
    <x v="49"/>
    <x v="0"/>
    <x v="5"/>
    <x v="4"/>
    <m/>
    <m/>
    <x v="3"/>
    <m/>
    <m/>
    <m/>
    <x v="3"/>
    <m/>
    <m/>
    <m/>
    <m/>
    <m/>
    <m/>
    <m/>
    <m/>
    <m/>
    <m/>
    <m/>
    <m/>
    <m/>
    <m/>
    <m/>
    <m/>
  </r>
  <r>
    <x v="50"/>
    <x v="0"/>
    <x v="5"/>
    <x v="5"/>
    <m/>
    <m/>
    <x v="4"/>
    <m/>
    <m/>
    <m/>
    <x v="3"/>
    <m/>
    <m/>
    <m/>
    <m/>
    <m/>
    <m/>
    <m/>
    <m/>
    <m/>
    <m/>
    <m/>
    <m/>
    <m/>
    <m/>
    <m/>
    <m/>
  </r>
  <r>
    <x v="51"/>
    <x v="0"/>
    <x v="5"/>
    <x v="6"/>
    <m/>
    <m/>
    <x v="5"/>
    <m/>
    <m/>
    <m/>
    <x v="3"/>
    <m/>
    <m/>
    <m/>
    <m/>
    <m/>
    <m/>
    <m/>
    <m/>
    <m/>
    <m/>
    <m/>
    <m/>
    <m/>
    <m/>
    <m/>
    <m/>
  </r>
  <r>
    <x v="52"/>
    <x v="0"/>
    <x v="5"/>
    <x v="7"/>
    <m/>
    <m/>
    <x v="6"/>
    <m/>
    <m/>
    <m/>
    <x v="3"/>
    <m/>
    <m/>
    <m/>
    <m/>
    <m/>
    <m/>
    <m/>
    <m/>
    <m/>
    <m/>
    <m/>
    <m/>
    <m/>
    <m/>
    <m/>
    <m/>
  </r>
  <r>
    <x v="53"/>
    <x v="0"/>
    <x v="5"/>
    <x v="8"/>
    <m/>
    <m/>
    <x v="7"/>
    <m/>
    <m/>
    <m/>
    <x v="3"/>
    <m/>
    <m/>
    <m/>
    <m/>
    <m/>
    <m/>
    <m/>
    <m/>
    <m/>
    <m/>
    <m/>
    <m/>
    <m/>
    <m/>
    <m/>
    <m/>
  </r>
  <r>
    <x v="54"/>
    <x v="0"/>
    <x v="6"/>
    <x v="0"/>
    <m/>
    <m/>
    <x v="0"/>
    <n v="4501887886"/>
    <m/>
    <m/>
    <x v="0"/>
    <m/>
    <m/>
    <d v="2025-12-11T00:00:00"/>
    <m/>
    <m/>
    <m/>
    <m/>
    <m/>
    <m/>
    <m/>
    <m/>
    <m/>
    <m/>
    <m/>
    <m/>
    <m/>
  </r>
  <r>
    <x v="55"/>
    <x v="0"/>
    <x v="6"/>
    <x v="1"/>
    <m/>
    <m/>
    <x v="0"/>
    <m/>
    <m/>
    <m/>
    <x v="2"/>
    <m/>
    <m/>
    <m/>
    <s v="Configuração IBS/CBS na categoria do cenário"/>
    <m/>
    <m/>
    <m/>
    <m/>
    <m/>
    <m/>
    <m/>
    <m/>
    <m/>
    <m/>
    <m/>
    <m/>
  </r>
  <r>
    <x v="56"/>
    <x v="0"/>
    <x v="6"/>
    <x v="2"/>
    <m/>
    <m/>
    <x v="1"/>
    <m/>
    <m/>
    <m/>
    <x v="3"/>
    <m/>
    <m/>
    <m/>
    <m/>
    <m/>
    <m/>
    <m/>
    <m/>
    <m/>
    <m/>
    <m/>
    <m/>
    <m/>
    <m/>
    <m/>
    <m/>
  </r>
  <r>
    <x v="57"/>
    <x v="0"/>
    <x v="6"/>
    <x v="3"/>
    <m/>
    <m/>
    <x v="2"/>
    <m/>
    <m/>
    <m/>
    <x v="3"/>
    <m/>
    <m/>
    <m/>
    <m/>
    <m/>
    <m/>
    <m/>
    <m/>
    <m/>
    <m/>
    <m/>
    <m/>
    <m/>
    <m/>
    <m/>
    <m/>
  </r>
  <r>
    <x v="58"/>
    <x v="0"/>
    <x v="6"/>
    <x v="4"/>
    <m/>
    <m/>
    <x v="3"/>
    <m/>
    <m/>
    <m/>
    <x v="3"/>
    <m/>
    <m/>
    <m/>
    <m/>
    <m/>
    <m/>
    <m/>
    <m/>
    <m/>
    <m/>
    <m/>
    <m/>
    <m/>
    <m/>
    <m/>
    <m/>
  </r>
  <r>
    <x v="59"/>
    <x v="0"/>
    <x v="6"/>
    <x v="5"/>
    <m/>
    <m/>
    <x v="4"/>
    <m/>
    <m/>
    <m/>
    <x v="3"/>
    <m/>
    <m/>
    <m/>
    <m/>
    <m/>
    <m/>
    <m/>
    <m/>
    <m/>
    <m/>
    <m/>
    <m/>
    <m/>
    <m/>
    <m/>
    <m/>
  </r>
  <r>
    <x v="60"/>
    <x v="0"/>
    <x v="6"/>
    <x v="6"/>
    <m/>
    <m/>
    <x v="5"/>
    <m/>
    <m/>
    <m/>
    <x v="3"/>
    <m/>
    <m/>
    <m/>
    <m/>
    <m/>
    <m/>
    <m/>
    <m/>
    <m/>
    <m/>
    <m/>
    <m/>
    <m/>
    <m/>
    <m/>
    <m/>
  </r>
  <r>
    <x v="61"/>
    <x v="0"/>
    <x v="6"/>
    <x v="7"/>
    <m/>
    <m/>
    <x v="6"/>
    <m/>
    <m/>
    <m/>
    <x v="3"/>
    <m/>
    <m/>
    <m/>
    <m/>
    <m/>
    <m/>
    <m/>
    <m/>
    <m/>
    <m/>
    <m/>
    <m/>
    <m/>
    <m/>
    <m/>
    <m/>
  </r>
  <r>
    <x v="62"/>
    <x v="0"/>
    <x v="6"/>
    <x v="8"/>
    <m/>
    <m/>
    <x v="7"/>
    <m/>
    <m/>
    <m/>
    <x v="3"/>
    <m/>
    <m/>
    <m/>
    <m/>
    <m/>
    <m/>
    <m/>
    <m/>
    <m/>
    <m/>
    <m/>
    <m/>
    <m/>
    <m/>
    <m/>
    <m/>
  </r>
  <r>
    <x v="63"/>
    <x v="0"/>
    <x v="7"/>
    <x v="0"/>
    <m/>
    <m/>
    <x v="0"/>
    <n v="4501889051"/>
    <m/>
    <m/>
    <x v="0"/>
    <m/>
    <m/>
    <d v="2025-12-11T00:00:00"/>
    <m/>
    <m/>
    <m/>
    <m/>
    <m/>
    <m/>
    <m/>
    <m/>
    <m/>
    <m/>
    <m/>
    <m/>
    <m/>
  </r>
  <r>
    <x v="64"/>
    <x v="0"/>
    <x v="7"/>
    <x v="1"/>
    <m/>
    <m/>
    <x v="0"/>
    <n v="46482798"/>
    <m/>
    <m/>
    <x v="2"/>
    <m/>
    <m/>
    <m/>
    <s v="Corrigir campo imposto estatístico"/>
    <m/>
    <m/>
    <m/>
    <m/>
    <m/>
    <m/>
    <m/>
    <m/>
    <m/>
    <m/>
    <m/>
    <m/>
  </r>
  <r>
    <x v="65"/>
    <x v="0"/>
    <x v="7"/>
    <x v="2"/>
    <m/>
    <m/>
    <x v="1"/>
    <m/>
    <m/>
    <m/>
    <x v="3"/>
    <m/>
    <m/>
    <m/>
    <m/>
    <m/>
    <m/>
    <m/>
    <m/>
    <m/>
    <m/>
    <m/>
    <m/>
    <m/>
    <m/>
    <m/>
    <m/>
  </r>
  <r>
    <x v="66"/>
    <x v="0"/>
    <x v="7"/>
    <x v="3"/>
    <m/>
    <m/>
    <x v="2"/>
    <m/>
    <m/>
    <m/>
    <x v="3"/>
    <m/>
    <m/>
    <m/>
    <m/>
    <m/>
    <m/>
    <m/>
    <m/>
    <m/>
    <m/>
    <m/>
    <m/>
    <m/>
    <m/>
    <m/>
    <m/>
  </r>
  <r>
    <x v="67"/>
    <x v="0"/>
    <x v="7"/>
    <x v="4"/>
    <m/>
    <m/>
    <x v="3"/>
    <m/>
    <m/>
    <m/>
    <x v="3"/>
    <m/>
    <m/>
    <m/>
    <m/>
    <m/>
    <m/>
    <m/>
    <m/>
    <m/>
    <m/>
    <m/>
    <m/>
    <m/>
    <m/>
    <m/>
    <m/>
  </r>
  <r>
    <x v="68"/>
    <x v="0"/>
    <x v="7"/>
    <x v="5"/>
    <m/>
    <m/>
    <x v="4"/>
    <m/>
    <m/>
    <m/>
    <x v="3"/>
    <m/>
    <m/>
    <m/>
    <m/>
    <m/>
    <m/>
    <m/>
    <m/>
    <m/>
    <m/>
    <m/>
    <m/>
    <m/>
    <m/>
    <m/>
    <m/>
  </r>
  <r>
    <x v="69"/>
    <x v="0"/>
    <x v="7"/>
    <x v="6"/>
    <m/>
    <m/>
    <x v="5"/>
    <m/>
    <m/>
    <m/>
    <x v="3"/>
    <m/>
    <m/>
    <m/>
    <m/>
    <m/>
    <m/>
    <m/>
    <m/>
    <m/>
    <m/>
    <m/>
    <m/>
    <m/>
    <m/>
    <m/>
    <m/>
  </r>
  <r>
    <x v="70"/>
    <x v="0"/>
    <x v="7"/>
    <x v="7"/>
    <m/>
    <m/>
    <x v="6"/>
    <m/>
    <m/>
    <m/>
    <x v="3"/>
    <m/>
    <m/>
    <m/>
    <m/>
    <m/>
    <m/>
    <m/>
    <m/>
    <m/>
    <m/>
    <m/>
    <m/>
    <m/>
    <m/>
    <m/>
    <m/>
  </r>
  <r>
    <x v="71"/>
    <x v="0"/>
    <x v="7"/>
    <x v="8"/>
    <m/>
    <m/>
    <x v="7"/>
    <m/>
    <m/>
    <m/>
    <x v="3"/>
    <m/>
    <m/>
    <m/>
    <m/>
    <m/>
    <m/>
    <m/>
    <m/>
    <m/>
    <m/>
    <m/>
    <m/>
    <m/>
    <m/>
    <m/>
    <m/>
  </r>
  <r>
    <x v="72"/>
    <x v="0"/>
    <x v="8"/>
    <x v="0"/>
    <m/>
    <m/>
    <x v="0"/>
    <n v="4501889052"/>
    <m/>
    <m/>
    <x v="0"/>
    <m/>
    <m/>
    <d v="2025-12-11T00:00:00"/>
    <m/>
    <m/>
    <m/>
    <m/>
    <m/>
    <m/>
    <m/>
    <m/>
    <m/>
    <m/>
    <m/>
    <m/>
    <m/>
  </r>
  <r>
    <x v="73"/>
    <x v="0"/>
    <x v="8"/>
    <x v="1"/>
    <m/>
    <m/>
    <x v="0"/>
    <m/>
    <m/>
    <m/>
    <x v="2"/>
    <m/>
    <m/>
    <m/>
    <s v="Configuração IBS/CBS na categoria do cenário"/>
    <m/>
    <m/>
    <m/>
    <m/>
    <m/>
    <m/>
    <m/>
    <m/>
    <m/>
    <m/>
    <m/>
    <m/>
  </r>
  <r>
    <x v="74"/>
    <x v="0"/>
    <x v="8"/>
    <x v="2"/>
    <m/>
    <m/>
    <x v="1"/>
    <m/>
    <m/>
    <m/>
    <x v="3"/>
    <m/>
    <m/>
    <m/>
    <m/>
    <m/>
    <m/>
    <m/>
    <m/>
    <m/>
    <m/>
    <m/>
    <m/>
    <m/>
    <m/>
    <m/>
    <m/>
  </r>
  <r>
    <x v="75"/>
    <x v="0"/>
    <x v="8"/>
    <x v="3"/>
    <m/>
    <m/>
    <x v="2"/>
    <m/>
    <m/>
    <m/>
    <x v="3"/>
    <m/>
    <m/>
    <m/>
    <m/>
    <m/>
    <m/>
    <m/>
    <m/>
    <m/>
    <m/>
    <m/>
    <m/>
    <m/>
    <m/>
    <m/>
    <m/>
  </r>
  <r>
    <x v="76"/>
    <x v="0"/>
    <x v="8"/>
    <x v="4"/>
    <m/>
    <m/>
    <x v="3"/>
    <m/>
    <m/>
    <m/>
    <x v="3"/>
    <m/>
    <m/>
    <m/>
    <m/>
    <m/>
    <m/>
    <m/>
    <m/>
    <m/>
    <m/>
    <m/>
    <m/>
    <m/>
    <m/>
    <m/>
    <m/>
  </r>
  <r>
    <x v="77"/>
    <x v="0"/>
    <x v="8"/>
    <x v="5"/>
    <m/>
    <m/>
    <x v="4"/>
    <m/>
    <m/>
    <m/>
    <x v="3"/>
    <m/>
    <m/>
    <m/>
    <m/>
    <m/>
    <m/>
    <m/>
    <m/>
    <m/>
    <m/>
    <m/>
    <m/>
    <m/>
    <m/>
    <m/>
    <m/>
  </r>
  <r>
    <x v="78"/>
    <x v="0"/>
    <x v="8"/>
    <x v="6"/>
    <m/>
    <m/>
    <x v="5"/>
    <m/>
    <m/>
    <m/>
    <x v="3"/>
    <m/>
    <m/>
    <m/>
    <m/>
    <m/>
    <m/>
    <m/>
    <m/>
    <m/>
    <m/>
    <m/>
    <m/>
    <m/>
    <m/>
    <m/>
    <m/>
  </r>
  <r>
    <x v="79"/>
    <x v="0"/>
    <x v="8"/>
    <x v="7"/>
    <m/>
    <m/>
    <x v="6"/>
    <m/>
    <m/>
    <m/>
    <x v="3"/>
    <m/>
    <m/>
    <m/>
    <m/>
    <m/>
    <m/>
    <m/>
    <m/>
    <m/>
    <m/>
    <m/>
    <m/>
    <m/>
    <m/>
    <m/>
    <m/>
  </r>
  <r>
    <x v="80"/>
    <x v="0"/>
    <x v="8"/>
    <x v="8"/>
    <m/>
    <m/>
    <x v="7"/>
    <m/>
    <m/>
    <m/>
    <x v="3"/>
    <m/>
    <m/>
    <m/>
    <m/>
    <m/>
    <m/>
    <m/>
    <m/>
    <m/>
    <m/>
    <m/>
    <m/>
    <m/>
    <m/>
    <m/>
    <m/>
  </r>
  <r>
    <x v="81"/>
    <x v="0"/>
    <x v="9"/>
    <x v="0"/>
    <m/>
    <m/>
    <x v="0"/>
    <n v="4501889053"/>
    <m/>
    <m/>
    <x v="0"/>
    <m/>
    <m/>
    <d v="2025-12-11T00:00:00"/>
    <m/>
    <m/>
    <m/>
    <m/>
    <m/>
    <m/>
    <m/>
    <m/>
    <m/>
    <m/>
    <m/>
    <m/>
    <m/>
  </r>
  <r>
    <x v="82"/>
    <x v="0"/>
    <x v="9"/>
    <x v="1"/>
    <m/>
    <m/>
    <x v="0"/>
    <n v="46482702"/>
    <m/>
    <m/>
    <x v="2"/>
    <m/>
    <m/>
    <m/>
    <s v="Configuração IBS/CBS na categoria do cenário"/>
    <m/>
    <m/>
    <m/>
    <m/>
    <m/>
    <m/>
    <m/>
    <m/>
    <m/>
    <m/>
    <m/>
    <m/>
  </r>
  <r>
    <x v="83"/>
    <x v="0"/>
    <x v="9"/>
    <x v="2"/>
    <m/>
    <m/>
    <x v="1"/>
    <m/>
    <m/>
    <m/>
    <x v="3"/>
    <m/>
    <m/>
    <m/>
    <m/>
    <m/>
    <m/>
    <m/>
    <m/>
    <m/>
    <m/>
    <m/>
    <m/>
    <m/>
    <m/>
    <m/>
    <m/>
  </r>
  <r>
    <x v="84"/>
    <x v="0"/>
    <x v="9"/>
    <x v="3"/>
    <m/>
    <m/>
    <x v="2"/>
    <m/>
    <m/>
    <m/>
    <x v="3"/>
    <m/>
    <m/>
    <m/>
    <m/>
    <m/>
    <m/>
    <m/>
    <m/>
    <m/>
    <m/>
    <m/>
    <m/>
    <m/>
    <m/>
    <m/>
    <m/>
  </r>
  <r>
    <x v="85"/>
    <x v="0"/>
    <x v="9"/>
    <x v="4"/>
    <m/>
    <m/>
    <x v="3"/>
    <m/>
    <m/>
    <m/>
    <x v="3"/>
    <m/>
    <m/>
    <m/>
    <m/>
    <m/>
    <m/>
    <m/>
    <m/>
    <m/>
    <m/>
    <m/>
    <m/>
    <m/>
    <m/>
    <m/>
    <m/>
  </r>
  <r>
    <x v="86"/>
    <x v="0"/>
    <x v="9"/>
    <x v="5"/>
    <m/>
    <m/>
    <x v="4"/>
    <m/>
    <m/>
    <m/>
    <x v="3"/>
    <m/>
    <m/>
    <m/>
    <m/>
    <m/>
    <m/>
    <m/>
    <m/>
    <m/>
    <m/>
    <m/>
    <m/>
    <m/>
    <m/>
    <m/>
    <m/>
  </r>
  <r>
    <x v="87"/>
    <x v="0"/>
    <x v="9"/>
    <x v="6"/>
    <m/>
    <m/>
    <x v="5"/>
    <m/>
    <m/>
    <m/>
    <x v="3"/>
    <m/>
    <m/>
    <m/>
    <m/>
    <m/>
    <m/>
    <m/>
    <m/>
    <m/>
    <m/>
    <m/>
    <m/>
    <m/>
    <m/>
    <m/>
    <m/>
  </r>
  <r>
    <x v="88"/>
    <x v="0"/>
    <x v="9"/>
    <x v="7"/>
    <m/>
    <m/>
    <x v="6"/>
    <m/>
    <m/>
    <m/>
    <x v="3"/>
    <m/>
    <m/>
    <m/>
    <m/>
    <m/>
    <m/>
    <m/>
    <m/>
    <m/>
    <m/>
    <m/>
    <m/>
    <m/>
    <m/>
    <m/>
    <m/>
  </r>
  <r>
    <x v="89"/>
    <x v="0"/>
    <x v="9"/>
    <x v="8"/>
    <m/>
    <m/>
    <x v="7"/>
    <m/>
    <m/>
    <m/>
    <x v="3"/>
    <m/>
    <m/>
    <m/>
    <m/>
    <m/>
    <m/>
    <m/>
    <m/>
    <m/>
    <m/>
    <m/>
    <m/>
    <m/>
    <m/>
    <m/>
    <m/>
  </r>
  <r>
    <x v="90"/>
    <x v="0"/>
    <x v="10"/>
    <x v="0"/>
    <m/>
    <m/>
    <x v="0"/>
    <n v="4501889078"/>
    <m/>
    <m/>
    <x v="0"/>
    <m/>
    <m/>
    <d v="2025-12-11T00:00:00"/>
    <s v="Configuração IBS/CBS na categoria do cenário"/>
    <m/>
    <m/>
    <m/>
    <m/>
    <m/>
    <m/>
    <m/>
    <m/>
    <m/>
    <m/>
    <m/>
    <m/>
  </r>
  <r>
    <x v="91"/>
    <x v="0"/>
    <x v="10"/>
    <x v="1"/>
    <m/>
    <m/>
    <x v="0"/>
    <m/>
    <m/>
    <m/>
    <x v="3"/>
    <m/>
    <m/>
    <m/>
    <m/>
    <m/>
    <m/>
    <m/>
    <m/>
    <m/>
    <m/>
    <m/>
    <m/>
    <m/>
    <m/>
    <m/>
    <m/>
  </r>
  <r>
    <x v="92"/>
    <x v="0"/>
    <x v="10"/>
    <x v="2"/>
    <m/>
    <m/>
    <x v="1"/>
    <m/>
    <m/>
    <m/>
    <x v="3"/>
    <m/>
    <m/>
    <m/>
    <m/>
    <m/>
    <m/>
    <m/>
    <m/>
    <m/>
    <m/>
    <m/>
    <m/>
    <m/>
    <m/>
    <m/>
    <m/>
  </r>
  <r>
    <x v="93"/>
    <x v="0"/>
    <x v="10"/>
    <x v="3"/>
    <m/>
    <m/>
    <x v="2"/>
    <m/>
    <m/>
    <m/>
    <x v="3"/>
    <m/>
    <m/>
    <m/>
    <m/>
    <m/>
    <m/>
    <m/>
    <m/>
    <m/>
    <m/>
    <m/>
    <m/>
    <m/>
    <m/>
    <m/>
    <m/>
  </r>
  <r>
    <x v="94"/>
    <x v="0"/>
    <x v="10"/>
    <x v="4"/>
    <m/>
    <m/>
    <x v="3"/>
    <m/>
    <m/>
    <m/>
    <x v="3"/>
    <m/>
    <m/>
    <m/>
    <m/>
    <m/>
    <m/>
    <m/>
    <m/>
    <m/>
    <m/>
    <m/>
    <m/>
    <m/>
    <m/>
    <m/>
    <m/>
  </r>
  <r>
    <x v="95"/>
    <x v="0"/>
    <x v="10"/>
    <x v="5"/>
    <m/>
    <m/>
    <x v="4"/>
    <m/>
    <m/>
    <m/>
    <x v="3"/>
    <m/>
    <m/>
    <m/>
    <m/>
    <m/>
    <m/>
    <m/>
    <m/>
    <m/>
    <m/>
    <m/>
    <m/>
    <m/>
    <m/>
    <m/>
    <m/>
  </r>
  <r>
    <x v="96"/>
    <x v="0"/>
    <x v="10"/>
    <x v="6"/>
    <m/>
    <m/>
    <x v="5"/>
    <m/>
    <m/>
    <m/>
    <x v="3"/>
    <m/>
    <m/>
    <m/>
    <m/>
    <m/>
    <m/>
    <m/>
    <m/>
    <m/>
    <m/>
    <m/>
    <m/>
    <m/>
    <m/>
    <m/>
    <m/>
  </r>
  <r>
    <x v="97"/>
    <x v="0"/>
    <x v="10"/>
    <x v="7"/>
    <m/>
    <m/>
    <x v="6"/>
    <m/>
    <m/>
    <m/>
    <x v="3"/>
    <m/>
    <m/>
    <m/>
    <m/>
    <m/>
    <m/>
    <m/>
    <m/>
    <m/>
    <m/>
    <m/>
    <m/>
    <m/>
    <m/>
    <m/>
    <m/>
  </r>
  <r>
    <x v="98"/>
    <x v="0"/>
    <x v="10"/>
    <x v="8"/>
    <m/>
    <m/>
    <x v="7"/>
    <m/>
    <m/>
    <m/>
    <x v="3"/>
    <m/>
    <m/>
    <m/>
    <m/>
    <m/>
    <m/>
    <m/>
    <m/>
    <m/>
    <m/>
    <m/>
    <m/>
    <m/>
    <m/>
    <m/>
    <m/>
  </r>
  <r>
    <x v="99"/>
    <x v="0"/>
    <x v="11"/>
    <x v="0"/>
    <m/>
    <m/>
    <x v="0"/>
    <n v="4501889046"/>
    <m/>
    <m/>
    <x v="0"/>
    <m/>
    <m/>
    <d v="2025-12-11T00:00:00"/>
    <m/>
    <m/>
    <m/>
    <m/>
    <m/>
    <m/>
    <m/>
    <m/>
    <m/>
    <m/>
    <m/>
    <m/>
    <m/>
  </r>
  <r>
    <x v="100"/>
    <x v="0"/>
    <x v="11"/>
    <x v="1"/>
    <m/>
    <m/>
    <x v="0"/>
    <m/>
    <m/>
    <m/>
    <x v="2"/>
    <m/>
    <m/>
    <m/>
    <s v="Configuração IBS/CBS na categoria do cenário"/>
    <m/>
    <m/>
    <m/>
    <m/>
    <m/>
    <m/>
    <m/>
    <m/>
    <m/>
    <m/>
    <m/>
    <m/>
  </r>
  <r>
    <x v="101"/>
    <x v="0"/>
    <x v="11"/>
    <x v="2"/>
    <m/>
    <m/>
    <x v="1"/>
    <m/>
    <m/>
    <m/>
    <x v="3"/>
    <m/>
    <m/>
    <m/>
    <m/>
    <m/>
    <m/>
    <m/>
    <m/>
    <m/>
    <m/>
    <m/>
    <m/>
    <m/>
    <m/>
    <m/>
    <m/>
  </r>
  <r>
    <x v="102"/>
    <x v="0"/>
    <x v="11"/>
    <x v="3"/>
    <m/>
    <m/>
    <x v="2"/>
    <m/>
    <m/>
    <m/>
    <x v="3"/>
    <m/>
    <m/>
    <m/>
    <m/>
    <m/>
    <m/>
    <m/>
    <m/>
    <m/>
    <m/>
    <m/>
    <m/>
    <m/>
    <m/>
    <m/>
    <m/>
  </r>
  <r>
    <x v="103"/>
    <x v="0"/>
    <x v="11"/>
    <x v="4"/>
    <m/>
    <m/>
    <x v="3"/>
    <m/>
    <m/>
    <m/>
    <x v="3"/>
    <m/>
    <m/>
    <m/>
    <m/>
    <m/>
    <m/>
    <m/>
    <m/>
    <m/>
    <m/>
    <m/>
    <m/>
    <m/>
    <m/>
    <m/>
    <m/>
  </r>
  <r>
    <x v="104"/>
    <x v="0"/>
    <x v="11"/>
    <x v="5"/>
    <m/>
    <m/>
    <x v="4"/>
    <m/>
    <m/>
    <m/>
    <x v="3"/>
    <m/>
    <m/>
    <m/>
    <m/>
    <m/>
    <m/>
    <m/>
    <m/>
    <m/>
    <m/>
    <m/>
    <m/>
    <m/>
    <m/>
    <m/>
    <m/>
  </r>
  <r>
    <x v="105"/>
    <x v="0"/>
    <x v="11"/>
    <x v="6"/>
    <m/>
    <m/>
    <x v="5"/>
    <m/>
    <m/>
    <m/>
    <x v="3"/>
    <m/>
    <m/>
    <m/>
    <m/>
    <m/>
    <m/>
    <m/>
    <m/>
    <m/>
    <m/>
    <m/>
    <m/>
    <m/>
    <m/>
    <m/>
    <m/>
  </r>
  <r>
    <x v="106"/>
    <x v="0"/>
    <x v="11"/>
    <x v="7"/>
    <m/>
    <m/>
    <x v="6"/>
    <m/>
    <m/>
    <m/>
    <x v="3"/>
    <m/>
    <m/>
    <m/>
    <m/>
    <m/>
    <m/>
    <m/>
    <m/>
    <m/>
    <m/>
    <m/>
    <m/>
    <m/>
    <m/>
    <m/>
    <m/>
  </r>
  <r>
    <x v="107"/>
    <x v="0"/>
    <x v="11"/>
    <x v="8"/>
    <m/>
    <m/>
    <x v="7"/>
    <m/>
    <m/>
    <m/>
    <x v="3"/>
    <m/>
    <m/>
    <m/>
    <m/>
    <m/>
    <m/>
    <m/>
    <m/>
    <m/>
    <m/>
    <m/>
    <m/>
    <m/>
    <m/>
    <m/>
    <m/>
  </r>
  <r>
    <x v="108"/>
    <x v="0"/>
    <x v="12"/>
    <x v="0"/>
    <m/>
    <m/>
    <x v="0"/>
    <n v="4501888432"/>
    <m/>
    <m/>
    <x v="0"/>
    <m/>
    <m/>
    <d v="2025-12-11T00:00:00"/>
    <m/>
    <m/>
    <m/>
    <m/>
    <m/>
    <m/>
    <m/>
    <m/>
    <m/>
    <m/>
    <m/>
    <m/>
    <m/>
  </r>
  <r>
    <x v="109"/>
    <x v="0"/>
    <x v="12"/>
    <x v="1"/>
    <m/>
    <m/>
    <x v="0"/>
    <m/>
    <m/>
    <m/>
    <x v="2"/>
    <m/>
    <m/>
    <m/>
    <s v="Configuração IBS/CBS na categoria do cenário"/>
    <m/>
    <m/>
    <m/>
    <m/>
    <m/>
    <m/>
    <m/>
    <m/>
    <m/>
    <m/>
    <m/>
    <m/>
  </r>
  <r>
    <x v="110"/>
    <x v="0"/>
    <x v="12"/>
    <x v="2"/>
    <m/>
    <m/>
    <x v="1"/>
    <m/>
    <m/>
    <m/>
    <x v="3"/>
    <m/>
    <m/>
    <m/>
    <m/>
    <m/>
    <m/>
    <m/>
    <m/>
    <m/>
    <m/>
    <m/>
    <m/>
    <m/>
    <m/>
    <m/>
    <m/>
  </r>
  <r>
    <x v="111"/>
    <x v="0"/>
    <x v="12"/>
    <x v="3"/>
    <m/>
    <m/>
    <x v="2"/>
    <m/>
    <m/>
    <m/>
    <x v="3"/>
    <m/>
    <m/>
    <m/>
    <m/>
    <m/>
    <m/>
    <m/>
    <m/>
    <m/>
    <m/>
    <m/>
    <m/>
    <m/>
    <m/>
    <m/>
    <m/>
  </r>
  <r>
    <x v="112"/>
    <x v="0"/>
    <x v="12"/>
    <x v="4"/>
    <m/>
    <m/>
    <x v="3"/>
    <m/>
    <m/>
    <m/>
    <x v="3"/>
    <m/>
    <m/>
    <m/>
    <m/>
    <m/>
    <m/>
    <m/>
    <m/>
    <m/>
    <m/>
    <m/>
    <m/>
    <m/>
    <m/>
    <m/>
    <m/>
  </r>
  <r>
    <x v="113"/>
    <x v="0"/>
    <x v="12"/>
    <x v="5"/>
    <m/>
    <m/>
    <x v="4"/>
    <m/>
    <m/>
    <m/>
    <x v="3"/>
    <m/>
    <m/>
    <m/>
    <m/>
    <m/>
    <m/>
    <m/>
    <m/>
    <m/>
    <m/>
    <m/>
    <m/>
    <m/>
    <m/>
    <m/>
    <m/>
  </r>
  <r>
    <x v="114"/>
    <x v="0"/>
    <x v="12"/>
    <x v="6"/>
    <m/>
    <m/>
    <x v="5"/>
    <m/>
    <m/>
    <m/>
    <x v="3"/>
    <m/>
    <m/>
    <m/>
    <m/>
    <m/>
    <m/>
    <m/>
    <m/>
    <m/>
    <m/>
    <m/>
    <m/>
    <m/>
    <m/>
    <m/>
    <m/>
  </r>
  <r>
    <x v="115"/>
    <x v="0"/>
    <x v="12"/>
    <x v="7"/>
    <m/>
    <m/>
    <x v="6"/>
    <m/>
    <m/>
    <m/>
    <x v="3"/>
    <m/>
    <m/>
    <m/>
    <m/>
    <m/>
    <m/>
    <m/>
    <m/>
    <m/>
    <m/>
    <m/>
    <m/>
    <m/>
    <m/>
    <m/>
    <m/>
  </r>
  <r>
    <x v="116"/>
    <x v="0"/>
    <x v="12"/>
    <x v="8"/>
    <m/>
    <m/>
    <x v="7"/>
    <m/>
    <m/>
    <m/>
    <x v="3"/>
    <m/>
    <m/>
    <m/>
    <m/>
    <m/>
    <m/>
    <m/>
    <m/>
    <m/>
    <m/>
    <m/>
    <m/>
    <m/>
    <m/>
    <m/>
    <m/>
  </r>
  <r>
    <x v="117"/>
    <x v="0"/>
    <x v="13"/>
    <x v="0"/>
    <m/>
    <m/>
    <x v="0"/>
    <n v="4501887767"/>
    <m/>
    <m/>
    <x v="0"/>
    <d v="2025-12-11T00:00:00"/>
    <m/>
    <d v="2025-12-11T00:00:00"/>
    <m/>
    <m/>
    <m/>
    <m/>
    <m/>
    <m/>
    <m/>
    <m/>
    <m/>
    <m/>
    <m/>
    <m/>
    <m/>
  </r>
  <r>
    <x v="118"/>
    <x v="0"/>
    <x v="13"/>
    <x v="1"/>
    <m/>
    <m/>
    <x v="0"/>
    <m/>
    <m/>
    <m/>
    <x v="2"/>
    <m/>
    <s v="Configuração IBS/CBS na categoria do cenário"/>
    <m/>
    <s v="Configuração IBS/CBS na categoria do cenário"/>
    <m/>
    <m/>
    <m/>
    <m/>
    <m/>
    <m/>
    <m/>
    <m/>
    <m/>
    <m/>
    <m/>
    <m/>
  </r>
  <r>
    <x v="119"/>
    <x v="0"/>
    <x v="13"/>
    <x v="2"/>
    <m/>
    <m/>
    <x v="1"/>
    <m/>
    <m/>
    <m/>
    <x v="3"/>
    <m/>
    <m/>
    <m/>
    <m/>
    <m/>
    <m/>
    <m/>
    <m/>
    <m/>
    <m/>
    <m/>
    <m/>
    <m/>
    <m/>
    <m/>
    <m/>
  </r>
  <r>
    <x v="120"/>
    <x v="0"/>
    <x v="13"/>
    <x v="3"/>
    <m/>
    <m/>
    <x v="2"/>
    <m/>
    <m/>
    <m/>
    <x v="3"/>
    <m/>
    <m/>
    <m/>
    <m/>
    <m/>
    <m/>
    <m/>
    <m/>
    <m/>
    <m/>
    <m/>
    <m/>
    <m/>
    <m/>
    <m/>
    <m/>
  </r>
  <r>
    <x v="121"/>
    <x v="0"/>
    <x v="13"/>
    <x v="4"/>
    <m/>
    <m/>
    <x v="3"/>
    <m/>
    <m/>
    <m/>
    <x v="3"/>
    <m/>
    <m/>
    <m/>
    <m/>
    <m/>
    <m/>
    <m/>
    <m/>
    <m/>
    <m/>
    <m/>
    <m/>
    <m/>
    <m/>
    <m/>
    <m/>
  </r>
  <r>
    <x v="122"/>
    <x v="0"/>
    <x v="13"/>
    <x v="5"/>
    <m/>
    <m/>
    <x v="4"/>
    <m/>
    <m/>
    <m/>
    <x v="3"/>
    <m/>
    <m/>
    <m/>
    <m/>
    <m/>
    <m/>
    <m/>
    <m/>
    <m/>
    <m/>
    <m/>
    <m/>
    <m/>
    <m/>
    <m/>
    <m/>
  </r>
  <r>
    <x v="123"/>
    <x v="0"/>
    <x v="13"/>
    <x v="6"/>
    <m/>
    <m/>
    <x v="5"/>
    <m/>
    <m/>
    <m/>
    <x v="3"/>
    <m/>
    <m/>
    <m/>
    <m/>
    <m/>
    <m/>
    <m/>
    <m/>
    <m/>
    <m/>
    <m/>
    <m/>
    <m/>
    <m/>
    <m/>
    <m/>
  </r>
  <r>
    <x v="124"/>
    <x v="0"/>
    <x v="13"/>
    <x v="7"/>
    <m/>
    <m/>
    <x v="6"/>
    <m/>
    <m/>
    <m/>
    <x v="3"/>
    <m/>
    <m/>
    <m/>
    <m/>
    <m/>
    <m/>
    <m/>
    <m/>
    <m/>
    <m/>
    <m/>
    <m/>
    <m/>
    <m/>
    <m/>
    <m/>
  </r>
  <r>
    <x v="125"/>
    <x v="0"/>
    <x v="13"/>
    <x v="8"/>
    <m/>
    <m/>
    <x v="7"/>
    <m/>
    <m/>
    <m/>
    <x v="3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5663A-D073-4404-9A41-84E043828323}" name="Tabela dinâmica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sponsável">
  <location ref="F42:J51" firstHeaderRow="1" firstDataRow="1" firstDataCol="4" rowPageCount="2" colPageCount="1"/>
  <pivotFields count="27">
    <pivotField axis="axisRow" dataField="1" outline="0" showAll="0" defaultSubtotal="0">
      <items count="142"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1"/>
        <item m="1" x="1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</items>
    </pivotField>
    <pivotField axis="axisPage" showAll="0">
      <items count="2">
        <item x="0"/>
        <item t="default"/>
      </items>
    </pivotField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14"/>
        <item t="default"/>
      </items>
    </pivotField>
    <pivotField axis="axisRow" outline="0" showAll="0" defaultSubtotal="0">
      <items count="11">
        <item m="1" x="10"/>
        <item m="1" x="9"/>
        <item x="0"/>
        <item x="1"/>
        <item x="2"/>
        <item x="3"/>
        <item x="4"/>
        <item x="5"/>
        <item x="6"/>
        <item x="7"/>
        <item x="8"/>
      </items>
    </pivotField>
    <pivotField showAll="0"/>
    <pivotField showAll="0"/>
    <pivotField axis="axisRow" outline="0" showAll="0" sortType="descending" defaultSubtotal="0">
      <items count="9">
        <item sd="0" x="0"/>
        <item m="1" x="8"/>
        <item sd="0" x="1"/>
        <item sd="0" x="2"/>
        <item sd="0" x="3"/>
        <item sd="0" x="4"/>
        <item sd="0" x="5"/>
        <item sd="0" x="6"/>
        <item sd="0"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9">
        <item h="1" x="0"/>
        <item h="1" m="1" x="5"/>
        <item h="1" x="2"/>
        <item h="1" x="1"/>
        <item h="1" m="1" x="6"/>
        <item x="3"/>
        <item h="1" m="1" x="7"/>
        <item h="1" x="4"/>
        <item t="default"/>
      </items>
    </pivotField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6"/>
    <field x="0"/>
    <field x="3"/>
    <field x="2"/>
  </rowFields>
  <rowItems count="9">
    <i>
      <x v="5"/>
    </i>
    <i>
      <x v="7"/>
    </i>
    <i>
      <x v="6"/>
    </i>
    <i>
      <x v="2"/>
    </i>
    <i>
      <x v="8"/>
    </i>
    <i>
      <x v="3"/>
    </i>
    <i>
      <x v="4"/>
    </i>
    <i>
      <x/>
    </i>
    <i t="grand">
      <x/>
    </i>
  </rowItems>
  <colItems count="1">
    <i/>
  </colItems>
  <pageFields count="2">
    <pageField fld="10" hier="-1"/>
    <pageField fld="1" hier="-1"/>
  </pageFields>
  <dataFields count="1">
    <dataField name="Testes QTD" fld="0" subtotal="count" baseField="0" baseItem="0"/>
  </dataFields>
  <formats count="2">
    <format dxfId="106">
      <pivotArea outline="0" collapsedLevelsAreSubtotals="1" fieldPosition="0"/>
    </format>
    <format dxfId="10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FDE52-FF70-4C89-A063-4D94E1F00720}" name="Tabela dinâmica4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sponsável">
  <location ref="A67:D78" firstHeaderRow="1" firstDataRow="1" firstDataCol="3" rowPageCount="1" colPageCount="1"/>
  <pivotFields count="27">
    <pivotField axis="axisRow" dataField="1" outline="0" showAll="0" defaultSubtotal="0">
      <items count="142"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</items>
    </pivotField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14"/>
        <item t="default"/>
      </items>
    </pivotField>
    <pivotField showAll="0"/>
    <pivotField showAll="0"/>
    <pivotField showAll="0"/>
    <pivotField axis="axisRow" outline="0" showAll="0" defaultSubtotal="0">
      <items count="9">
        <item x="0"/>
        <item m="1" x="8"/>
        <item x="1"/>
        <item x="2"/>
        <item x="3"/>
        <item x="4"/>
        <item x="5"/>
        <item x="6"/>
        <item x="7"/>
      </items>
    </pivotField>
    <pivotField showAll="0"/>
    <pivotField showAll="0"/>
    <pivotField showAll="0"/>
    <pivotField axis="axisPage" multipleItemSelectionAllowed="1" showAll="0">
      <items count="9">
        <item h="1" x="0"/>
        <item h="1" x="1"/>
        <item h="1" m="1" x="5"/>
        <item x="2"/>
        <item h="1" m="1" x="6"/>
        <item h="1" x="3"/>
        <item h="1" m="1" x="7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6"/>
    <field x="0"/>
    <field x="2"/>
  </rowFields>
  <rowItems count="11">
    <i>
      <x/>
      <x v="26"/>
      <x v="1"/>
    </i>
    <i r="1">
      <x v="34"/>
      <x v="2"/>
    </i>
    <i r="1">
      <x v="62"/>
      <x v="5"/>
    </i>
    <i r="1">
      <x v="71"/>
      <x v="6"/>
    </i>
    <i r="1">
      <x v="80"/>
      <x v="7"/>
    </i>
    <i r="1">
      <x v="89"/>
      <x v="8"/>
    </i>
    <i r="1">
      <x v="98"/>
      <x v="9"/>
    </i>
    <i r="1">
      <x v="116"/>
      <x v="11"/>
    </i>
    <i r="1">
      <x v="125"/>
      <x v="12"/>
    </i>
    <i r="1">
      <x v="134"/>
      <x v="13"/>
    </i>
    <i t="grand">
      <x/>
    </i>
  </rowItems>
  <colItems count="1">
    <i/>
  </colItems>
  <pageFields count="1">
    <pageField fld="10" hier="-1"/>
  </pageFields>
  <dataFields count="1">
    <dataField name="Testes QTD" fld="0" subtotal="count" baseField="0" baseItem="0"/>
  </dataFields>
  <formats count="5">
    <format dxfId="111">
      <pivotArea outline="0" collapsedLevelsAreSubtotals="1" fieldPosition="0"/>
    </format>
    <format dxfId="1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9">
      <pivotArea dataOnly="0" labelOnly="1" outline="0" fieldPosition="0">
        <references count="1">
          <reference field="10" count="0"/>
        </references>
      </pivotArea>
    </format>
    <format dxfId="108">
      <pivotArea dataOnly="0" labelOnly="1" outline="0" fieldPosition="0">
        <references count="1">
          <reference field="10" count="0"/>
        </references>
      </pivotArea>
    </format>
    <format dxfId="107">
      <pivotArea dataOnly="0" labelOnly="1" outline="0" fieldPosition="0">
        <references count="1">
          <reference field="10" count="0"/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5048E-3486-4358-A70A-F64360D3B98E}" name="Tabela dinâmica8" cacheId="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Responsável">
  <location ref="H22:L33" firstHeaderRow="1" firstDataRow="1" firstDataCol="4" rowPageCount="1" colPageCount="1"/>
  <pivotFields count="27">
    <pivotField axis="axisRow" dataField="1" outline="0" showAll="0" defaultSubtotal="0">
      <items count="142"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</items>
    </pivotField>
    <pivotField multipleItemSelectionAllowed="1" showAll="0"/>
    <pivotField axis="axisRow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14"/>
      </items>
    </pivotField>
    <pivotField axis="axisRow" outline="0" showAll="0" defaultSubtotal="0">
      <items count="11">
        <item m="1" x="10"/>
        <item m="1" x="9"/>
        <item x="0"/>
        <item x="1"/>
        <item x="2"/>
        <item x="3"/>
        <item x="4"/>
        <item x="5"/>
        <item x="6"/>
        <item x="7"/>
        <item x="8"/>
      </items>
    </pivotField>
    <pivotField showAll="0"/>
    <pivotField outline="0" showAll="0" defaultSubtotal="0"/>
    <pivotField axis="axisRow" outline="0" showAll="0" defaultSubtotal="0">
      <items count="9">
        <item x="0"/>
        <item m="1" x="8"/>
        <item x="1"/>
        <item x="2"/>
        <item x="3"/>
        <item x="4"/>
        <item x="5"/>
        <item x="6"/>
        <item x="7"/>
      </items>
    </pivotField>
    <pivotField showAll="0"/>
    <pivotField showAll="0"/>
    <pivotField showAll="0"/>
    <pivotField axis="axisPage" multipleItemSelectionAllowed="1" showAll="0">
      <items count="9">
        <item h="1" x="3"/>
        <item h="1" x="0"/>
        <item h="1" x="1"/>
        <item m="1" x="5"/>
        <item h="1" m="1" x="6"/>
        <item h="1" m="1" x="7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outline="0"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0"/>
    <field x="2"/>
    <field x="3"/>
    <field x="6"/>
  </rowFields>
  <rowItems count="11">
    <i>
      <x v="26"/>
      <x v="1"/>
      <x v="3"/>
      <x/>
    </i>
    <i>
      <x v="34"/>
      <x v="2"/>
      <x v="2"/>
      <x/>
    </i>
    <i>
      <x v="62"/>
      <x v="5"/>
      <x v="3"/>
      <x/>
    </i>
    <i>
      <x v="71"/>
      <x v="6"/>
      <x v="3"/>
      <x/>
    </i>
    <i>
      <x v="80"/>
      <x v="7"/>
      <x v="3"/>
      <x/>
    </i>
    <i>
      <x v="89"/>
      <x v="8"/>
      <x v="3"/>
      <x/>
    </i>
    <i>
      <x v="98"/>
      <x v="9"/>
      <x v="3"/>
      <x/>
    </i>
    <i>
      <x v="116"/>
      <x v="11"/>
      <x v="3"/>
      <x/>
    </i>
    <i>
      <x v="125"/>
      <x v="12"/>
      <x v="3"/>
      <x/>
    </i>
    <i>
      <x v="134"/>
      <x v="13"/>
      <x v="3"/>
      <x/>
    </i>
    <i t="grand">
      <x/>
    </i>
  </rowItems>
  <colItems count="1">
    <i/>
  </colItems>
  <pageFields count="1">
    <pageField fld="10" hier="-1"/>
  </pageFields>
  <dataFields count="1">
    <dataField name="Contagem de ID" fld="0" subtotal="count" baseField="0" baseItem="0"/>
  </dataFields>
  <formats count="5">
    <format dxfId="116">
      <pivotArea outline="0" collapsedLevelsAreSubtotals="1" fieldPosition="0"/>
    </format>
    <format dxfId="115">
      <pivotArea dataOnly="0" labelOnly="1" outline="0" fieldPosition="0">
        <references count="1">
          <reference field="10" count="0"/>
        </references>
      </pivotArea>
    </format>
    <format dxfId="114">
      <pivotArea dataOnly="0" labelOnly="1" outline="0" fieldPosition="0">
        <references count="1">
          <reference field="10" count="0"/>
        </references>
      </pivotArea>
    </format>
    <format dxfId="113">
      <pivotArea dataOnly="0" labelOnly="1" outline="0" fieldPosition="0">
        <references count="1">
          <reference field="10" count="0"/>
        </references>
      </pivotArea>
    </format>
    <format dxfId="112">
      <pivotArea dataOnly="0" labelOnly="1" outline="0" fieldPosition="0">
        <references count="1">
          <reference field="10" count="0"/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43B34-EE5C-4B14-B530-8A0D6555E7C6}" name="Tabela dinâmica7" cacheId="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Responsável">
  <location ref="H3:J8" firstHeaderRow="0" firstDataRow="1" firstDataCol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0"/>
        <item m="1" x="5"/>
        <item x="2"/>
        <item x="1"/>
        <item m="1" x="6"/>
        <item x="3"/>
        <item h="1" m="1" x="7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 v="5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estes QTD" fld="0" subtotal="count" baseField="0" baseItem="0"/>
    <dataField name="Testes %" fld="0" subtotal="count" showDataAs="percentOfTotal" baseField="8" baseItem="1" numFmtId="165"/>
  </dataFields>
  <formats count="3">
    <format dxfId="119">
      <pivotArea outline="0" collapsedLevelsAreSubtotals="1" fieldPosition="0"/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dataOnly="0" outline="0" fieldPosition="0">
        <references count="1">
          <reference field="4294967294" count="1">
            <x v="1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4">
              <x v="0"/>
              <x v="2"/>
              <x v="3"/>
              <x v="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3">
              <x v="0"/>
              <x v="1"/>
              <x v="2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DA37A-18E9-4750-8691-C57734C9353D}" name="Tabela dinâmica6" cacheId="5" applyNumberFormats="0" applyBorderFormats="0" applyFontFormats="0" applyPatternFormats="0" applyAlignmentFormats="0" applyWidthHeightFormats="1" dataCaption="Valores" updatedVersion="8" minRefreshableVersion="3" preserveFormatting="0" itemPrintTitles="1" createdVersion="8" indent="0" outline="1" outlineData="1" multipleFieldFilters="0" rowHeaderCaption="Responsável">
  <location ref="A42:D57" firstHeaderRow="1" firstDataRow="1" firstDataCol="3" rowPageCount="2" colPageCount="1"/>
  <pivotFields count="27">
    <pivotField axis="axisRow" dataField="1" outline="0" showAll="0" defaultSubtotal="0">
      <items count="142"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1"/>
        <item m="1" x="1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</items>
    </pivotField>
    <pivotField axis="axisPage" multipleItemSelectionAllowed="1" showAll="0">
      <items count="2">
        <item x="0"/>
        <item t="default"/>
      </items>
    </pivotField>
    <pivotField axis="axisRow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14"/>
      </items>
    </pivotField>
    <pivotField outline="0" showAll="0" defaultSubtotal="0"/>
    <pivotField showAll="0"/>
    <pivotField showAll="0"/>
    <pivotField axis="axisRow" outline="0" showAll="0" sortType="descending" defaultSubtotal="0">
      <items count="9">
        <item x="0"/>
        <item m="1" x="8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9">
        <item h="1" x="0"/>
        <item h="1" m="1" x="5"/>
        <item h="1" x="2"/>
        <item x="1"/>
        <item h="1" m="1" x="6"/>
        <item h="1" x="3"/>
        <item h="1" m="1" x="7"/>
        <item h="1" x="4"/>
        <item t="default"/>
      </items>
    </pivotField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/>
  </pivotFields>
  <rowFields count="3">
    <field x="6"/>
    <field x="0"/>
    <field x="2"/>
  </rowFields>
  <rowItems count="15">
    <i>
      <x v="2"/>
      <x v="18"/>
      <x/>
    </i>
    <i r="1">
      <x v="54"/>
      <x v="4"/>
    </i>
    <i>
      <x v="7"/>
      <x v="23"/>
      <x/>
    </i>
    <i r="1">
      <x v="59"/>
      <x v="4"/>
    </i>
    <i>
      <x v="6"/>
      <x v="22"/>
      <x/>
    </i>
    <i r="1">
      <x v="58"/>
      <x v="4"/>
    </i>
    <i>
      <x v="3"/>
      <x v="19"/>
      <x/>
    </i>
    <i r="1">
      <x v="55"/>
      <x v="4"/>
    </i>
    <i>
      <x v="8"/>
      <x v="24"/>
      <x/>
    </i>
    <i r="1">
      <x v="60"/>
      <x v="4"/>
    </i>
    <i>
      <x v="4"/>
      <x v="20"/>
      <x/>
    </i>
    <i r="1">
      <x v="56"/>
      <x v="4"/>
    </i>
    <i>
      <x v="5"/>
      <x v="21"/>
      <x/>
    </i>
    <i r="1">
      <x v="57"/>
      <x v="4"/>
    </i>
    <i t="grand">
      <x/>
    </i>
  </rowItems>
  <colItems count="1">
    <i/>
  </colItems>
  <pageFields count="2">
    <pageField fld="10" hier="-1"/>
    <pageField fld="1" hier="-1"/>
  </pageFields>
  <dataFields count="1">
    <dataField name="Testes QTD" fld="0" subtotal="count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05CE1-AEDC-454E-92D2-17272CA455B0}" name="KeyuserPendente" cacheId="4" applyNumberFormats="0" applyBorderFormats="0" applyFontFormats="0" applyPatternFormats="0" applyAlignmentFormats="0" applyWidthHeightFormats="1" dataCaption="Valores" updatedVersion="8" minRefreshableVersion="3" preserveFormatting="0" itemPrintTitles="1" createdVersion="8" indent="0" outline="1" outlineData="1" multipleFieldFilters="0" rowHeaderCaption="Responsável">
  <location ref="A85:D86" firstHeaderRow="1" firstDataRow="1" firstDataCol="3" rowPageCount="2" colPageCount="1"/>
  <pivotFields count="27">
    <pivotField axis="axisRow" dataField="1" outline="0" showAll="0" defaultSubtotal="0">
      <items count="729">
        <item x="228"/>
        <item x="229"/>
        <item x="230"/>
        <item x="231"/>
        <item x="232"/>
        <item x="233"/>
        <item x="234"/>
        <item x="235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m="1" x="712"/>
        <item m="1" x="720"/>
        <item m="1" x="721"/>
        <item m="1" x="722"/>
        <item m="1" x="724"/>
        <item x="474"/>
        <item x="475"/>
        <item x="476"/>
        <item x="477"/>
        <item x="47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m="1" x="713"/>
        <item m="1" x="714"/>
        <item m="1" x="715"/>
        <item m="1" x="716"/>
        <item m="1" x="723"/>
        <item x="480"/>
        <item x="481"/>
        <item x="482"/>
        <item x="483"/>
        <item x="100"/>
        <item x="101"/>
        <item x="102"/>
        <item x="103"/>
        <item x="104"/>
        <item x="105"/>
        <item x="106"/>
        <item x="107"/>
        <item x="0"/>
        <item x="20"/>
        <item x="21"/>
        <item x="22"/>
        <item x="23"/>
        <item x="24"/>
        <item x="25"/>
        <item x="26"/>
        <item x="27"/>
        <item x="1"/>
        <item x="2"/>
        <item x="401"/>
        <item x="402"/>
        <item x="403"/>
        <item x="404"/>
        <item x="405"/>
        <item x="406"/>
        <item x="407"/>
        <item x="408"/>
        <item x="40"/>
        <item x="41"/>
        <item x="42"/>
        <item x="43"/>
        <item x="44"/>
        <item x="45"/>
        <item x="46"/>
        <item x="484"/>
        <item x="485"/>
        <item x="486"/>
        <item x="487"/>
        <item x="47"/>
        <item x="488"/>
        <item x="489"/>
        <item x="490"/>
        <item x="491"/>
        <item x="3"/>
        <item x="4"/>
        <item x="60"/>
        <item x="61"/>
        <item x="62"/>
        <item x="63"/>
        <item x="64"/>
        <item x="65"/>
        <item x="66"/>
        <item x="67"/>
        <item x="5"/>
        <item x="6"/>
        <item x="80"/>
        <item x="81"/>
        <item x="82"/>
        <item x="83"/>
        <item x="84"/>
        <item x="85"/>
        <item x="86"/>
        <item x="87"/>
        <item x="7"/>
        <item x="312"/>
        <item x="313"/>
        <item x="314"/>
        <item x="315"/>
        <item x="316"/>
        <item x="317"/>
        <item x="318"/>
        <item x="319"/>
        <item x="508"/>
        <item x="509"/>
        <item x="510"/>
        <item x="511"/>
        <item x="512"/>
        <item x="513"/>
        <item x="514"/>
        <item x="515"/>
        <item x="236"/>
        <item x="237"/>
        <item x="238"/>
        <item x="239"/>
        <item x="240"/>
        <item x="241"/>
        <item x="242"/>
        <item x="243"/>
        <item x="465"/>
        <item x="466"/>
        <item x="467"/>
        <item x="468"/>
        <item x="469"/>
        <item x="470"/>
        <item x="471"/>
        <item x="472"/>
        <item x="516"/>
        <item x="517"/>
        <item x="518"/>
        <item x="519"/>
        <item x="520"/>
        <item x="521"/>
        <item x="522"/>
        <item x="523"/>
        <item x="498"/>
        <item x="499"/>
        <item x="500"/>
        <item x="501"/>
        <item x="502"/>
        <item x="492"/>
        <item x="493"/>
        <item x="494"/>
        <item x="495"/>
        <item x="496"/>
        <item x="497"/>
        <item x="524"/>
        <item x="525"/>
        <item x="526"/>
        <item x="527"/>
        <item x="528"/>
        <item x="529"/>
        <item x="530"/>
        <item x="531"/>
        <item x="340"/>
        <item x="341"/>
        <item x="342"/>
        <item x="343"/>
        <item x="344"/>
        <item x="345"/>
        <item x="346"/>
        <item x="347"/>
        <item x="320"/>
        <item x="321"/>
        <item x="322"/>
        <item x="323"/>
        <item x="324"/>
        <item x="325"/>
        <item x="326"/>
        <item x="327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348"/>
        <item x="349"/>
        <item x="350"/>
        <item x="351"/>
        <item x="352"/>
        <item x="353"/>
        <item x="354"/>
        <item x="355"/>
        <item x="532"/>
        <item x="533"/>
        <item x="534"/>
        <item x="535"/>
        <item x="536"/>
        <item x="264"/>
        <item x="265"/>
        <item x="266"/>
        <item x="267"/>
        <item x="268"/>
        <item x="269"/>
        <item x="270"/>
        <item x="271"/>
        <item x="503"/>
        <item x="504"/>
        <item x="505"/>
        <item x="506"/>
        <item x="507"/>
        <item x="428"/>
        <item x="429"/>
        <item x="430"/>
        <item x="431"/>
        <item x="432"/>
        <item x="433"/>
        <item x="434"/>
        <item x="435"/>
        <item x="441"/>
        <item x="442"/>
        <item x="443"/>
        <item x="444"/>
        <item x="445"/>
        <item x="446"/>
        <item x="447"/>
        <item x="448"/>
        <item x="457"/>
        <item x="458"/>
        <item x="459"/>
        <item x="460"/>
        <item x="461"/>
        <item x="462"/>
        <item x="463"/>
        <item x="464"/>
        <item x="449"/>
        <item x="450"/>
        <item x="451"/>
        <item x="452"/>
        <item x="453"/>
        <item x="454"/>
        <item x="455"/>
        <item x="45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83"/>
        <item m="1" x="711"/>
        <item m="1" x="717"/>
        <item m="1" x="718"/>
        <item m="1" x="719"/>
        <item x="382"/>
        <item x="383"/>
        <item x="384"/>
        <item x="385"/>
        <item x="386"/>
        <item x="387"/>
        <item x="388"/>
        <item x="368"/>
        <item x="369"/>
        <item x="370"/>
        <item x="371"/>
        <item x="372"/>
        <item x="373"/>
        <item x="374"/>
        <item x="375"/>
        <item x="389"/>
        <item x="390"/>
        <item x="391"/>
        <item x="392"/>
        <item x="393"/>
        <item x="376"/>
        <item x="377"/>
        <item x="378"/>
        <item x="379"/>
        <item x="380"/>
        <item x="381"/>
        <item x="394"/>
        <item x="395"/>
        <item x="396"/>
        <item x="397"/>
        <item x="398"/>
        <item x="399"/>
        <item x="400"/>
        <item x="409"/>
        <item x="410"/>
        <item x="411"/>
        <item x="412"/>
        <item x="413"/>
        <item x="414"/>
        <item x="415"/>
        <item x="416"/>
        <item x="8"/>
        <item x="9"/>
        <item x="108"/>
        <item x="109"/>
        <item x="110"/>
        <item x="111"/>
        <item x="112"/>
        <item x="113"/>
        <item x="10"/>
        <item x="11"/>
        <item x="12"/>
        <item x="13"/>
        <item x="252"/>
        <item x="253"/>
        <item x="254"/>
        <item x="255"/>
        <item x="256"/>
        <item x="257"/>
        <item x="272"/>
        <item x="273"/>
        <item x="274"/>
        <item x="275"/>
        <item x="276"/>
        <item x="277"/>
        <item x="28"/>
        <item x="29"/>
        <item x="30"/>
        <item x="31"/>
        <item x="32"/>
        <item x="33"/>
        <item x="417"/>
        <item x="418"/>
        <item x="419"/>
        <item x="420"/>
        <item x="421"/>
        <item x="422"/>
        <item x="48"/>
        <item x="49"/>
        <item x="50"/>
        <item x="51"/>
        <item x="52"/>
        <item x="53"/>
        <item x="68"/>
        <item x="69"/>
        <item x="70"/>
        <item x="71"/>
        <item x="72"/>
        <item x="73"/>
        <item x="88"/>
        <item x="89"/>
        <item x="90"/>
        <item x="91"/>
        <item x="92"/>
        <item x="93"/>
        <item x="362"/>
        <item x="363"/>
        <item x="364"/>
        <item x="365"/>
        <item x="366"/>
        <item x="367"/>
        <item x="244"/>
        <item x="245"/>
        <item x="246"/>
        <item x="247"/>
        <item x="248"/>
        <item x="249"/>
        <item x="250"/>
        <item x="251"/>
        <item x="542"/>
        <item x="543"/>
        <item x="544"/>
        <item x="545"/>
        <item x="546"/>
        <item x="98"/>
        <item x="99"/>
        <item x="114"/>
        <item x="115"/>
        <item x="116"/>
        <item x="117"/>
        <item x="118"/>
        <item x="119"/>
        <item x="14"/>
        <item x="15"/>
        <item x="16"/>
        <item x="17"/>
        <item x="18"/>
        <item x="19"/>
        <item x="258"/>
        <item x="259"/>
        <item x="260"/>
        <item x="261"/>
        <item x="262"/>
        <item x="263"/>
        <item x="278"/>
        <item x="279"/>
        <item x="280"/>
        <item x="281"/>
        <item x="282"/>
        <item x="283"/>
        <item x="34"/>
        <item x="35"/>
        <item x="36"/>
        <item x="37"/>
        <item x="38"/>
        <item x="39"/>
        <item x="423"/>
        <item x="424"/>
        <item x="425"/>
        <item x="426"/>
        <item x="427"/>
        <item x="436"/>
        <item x="437"/>
        <item x="438"/>
        <item x="439"/>
        <item x="440"/>
        <item x="54"/>
        <item x="55"/>
        <item x="56"/>
        <item x="57"/>
        <item x="58"/>
        <item x="59"/>
        <item x="74"/>
        <item x="75"/>
        <item x="76"/>
        <item x="77"/>
        <item x="78"/>
        <item x="79"/>
        <item x="94"/>
        <item x="95"/>
        <item x="96"/>
        <item x="97"/>
        <item x="292"/>
        <item x="293"/>
        <item x="294"/>
        <item x="295"/>
        <item x="296"/>
        <item x="297"/>
        <item x="298"/>
        <item x="299"/>
        <item x="537"/>
        <item x="538"/>
        <item x="539"/>
        <item x="540"/>
        <item x="541"/>
        <item x="356"/>
        <item x="357"/>
        <item x="358"/>
        <item x="359"/>
        <item x="360"/>
        <item x="361"/>
        <item x="284"/>
        <item x="285"/>
        <item x="286"/>
        <item x="287"/>
        <item x="288"/>
        <item x="289"/>
        <item x="290"/>
        <item x="291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m="1" x="725"/>
        <item m="1" x="710"/>
        <item m="1" x="726"/>
        <item m="1" x="727"/>
        <item m="1" x="728"/>
        <item x="473"/>
        <item x="479"/>
        <item x="579"/>
        <item x="580"/>
        <item x="581"/>
        <item x="582"/>
        <item x="584"/>
        <item x="585"/>
        <item x="586"/>
        <item x="587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</items>
    </pivotField>
    <pivotField axis="axisPage" multipleItemSelectionAllowed="1" showAll="0">
      <items count="6">
        <item x="0"/>
        <item x="2"/>
        <item h="1" x="1"/>
        <item m="1" x="4"/>
        <item m="1" x="3"/>
        <item t="default"/>
      </items>
    </pivotField>
    <pivotField axis="axisRow" outline="0" showAll="0" defaultSubtotal="0">
      <items count="99">
        <item x="18"/>
        <item x="19"/>
        <item x="20"/>
        <item x="24"/>
        <item m="1" x="92"/>
        <item x="25"/>
        <item m="1" x="93"/>
        <item x="70"/>
        <item x="71"/>
        <item x="72"/>
        <item x="42"/>
        <item x="43"/>
        <item x="44"/>
        <item x="45"/>
        <item x="62"/>
        <item x="76"/>
        <item x="78"/>
        <item x="77"/>
        <item x="47"/>
        <item x="49"/>
        <item x="48"/>
        <item x="31"/>
        <item x="52"/>
        <item x="53"/>
        <item x="54"/>
        <item x="79"/>
        <item x="32"/>
        <item x="61"/>
        <item x="83"/>
        <item m="1" x="95"/>
        <item m="1" x="96"/>
        <item m="1" x="97"/>
        <item x="39"/>
        <item x="38"/>
        <item x="40"/>
        <item x="41"/>
        <item x="50"/>
        <item x="51"/>
        <item x="69"/>
        <item x="27"/>
        <item x="29"/>
        <item x="28"/>
        <item x="73"/>
        <item x="56"/>
        <item x="57"/>
        <item x="58"/>
        <item x="80"/>
        <item x="82"/>
        <item x="46"/>
        <item x="81"/>
        <item x="75"/>
        <item x="21"/>
        <item x="23"/>
        <item x="22"/>
        <item x="37"/>
        <item x="35"/>
        <item x="36"/>
        <item x="30"/>
        <item x="34"/>
        <item x="63"/>
        <item x="60"/>
        <item x="59"/>
        <item x="15"/>
        <item x="16"/>
        <item x="17"/>
        <item x="9"/>
        <item x="10"/>
        <item x="11"/>
        <item x="12"/>
        <item x="13"/>
        <item x="14"/>
        <item x="6"/>
        <item x="7"/>
        <item x="8"/>
        <item x="0"/>
        <item x="1"/>
        <item x="2"/>
        <item x="3"/>
        <item x="4"/>
        <item x="5"/>
        <item x="33"/>
        <item x="84"/>
        <item x="90"/>
        <item x="86"/>
        <item x="85"/>
        <item x="91"/>
        <item x="87"/>
        <item x="89"/>
        <item x="88"/>
        <item x="55"/>
        <item x="74"/>
        <item x="66"/>
        <item x="68"/>
        <item x="64"/>
        <item m="1" x="98"/>
        <item x="65"/>
        <item x="67"/>
        <item m="1" x="94"/>
        <item x="26"/>
      </items>
    </pivotField>
    <pivotField outline="0" showAll="0" defaultSubtotal="0"/>
    <pivotField showAll="0"/>
    <pivotField showAll="0"/>
    <pivotField axis="axisRow" outline="0" showAll="0" sortType="descending" defaultSubtotal="0">
      <items count="19">
        <item sd="0" m="1" x="11"/>
        <item x="7"/>
        <item x="3"/>
        <item m="1" x="17"/>
        <item x="8"/>
        <item m="1" x="16"/>
        <item x="1"/>
        <item m="1" x="14"/>
        <item x="5"/>
        <item m="1" x="15"/>
        <item x="2"/>
        <item m="1" x="18"/>
        <item x="4"/>
        <item x="0"/>
        <item sd="0" m="1" x="12"/>
        <item sd="0" m="1" x="13"/>
        <item x="10"/>
        <item x="6"/>
        <item sd="0"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15">
        <item h="1" m="1" x="7"/>
        <item h="1" x="0"/>
        <item h="1" m="1" x="10"/>
        <item m="1" x="13"/>
        <item m="1" x="12"/>
        <item h="1" m="1" x="6"/>
        <item m="1" x="5"/>
        <item h="1" x="3"/>
        <item h="1" x="1"/>
        <item h="1" m="1" x="11"/>
        <item m="1" x="9"/>
        <item h="1" x="4"/>
        <item h="1" m="1" x="8"/>
        <item h="1" x="2"/>
        <item t="default"/>
      </items>
    </pivotField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/>
  </pivotFields>
  <rowFields count="3">
    <field x="6"/>
    <field x="0"/>
    <field x="2"/>
  </rowFields>
  <rowItems count="1">
    <i t="grand">
      <x/>
    </i>
  </rowItems>
  <colItems count="1">
    <i/>
  </colItems>
  <pageFields count="2">
    <pageField fld="10" hier="-1"/>
    <pageField fld="1" hier="-1"/>
  </pageFields>
  <dataFields count="1">
    <dataField name="Testes QTD" fld="0" subtotal="count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CB1B0-288E-41F1-AE9D-1D8CC45AE7AE}" name="Percentual_Status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sponsável">
  <location ref="H3:J9" firstHeaderRow="0" firstDataRow="1" firstDataCol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5">
        <item m="1" x="7"/>
        <item x="0"/>
        <item m="1" x="10"/>
        <item m="1" x="13"/>
        <item m="1" x="12"/>
        <item m="1" x="6"/>
        <item m="1" x="5"/>
        <item x="3"/>
        <item x="1"/>
        <item m="1" x="11"/>
        <item m="1" x="9"/>
        <item x="4"/>
        <item m="1"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 v="1"/>
    </i>
    <i>
      <x v="8"/>
    </i>
    <i>
      <x v="13"/>
    </i>
    <i>
      <x v="11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estes QTD" fld="0" subtotal="count" baseField="0" baseItem="0"/>
    <dataField name="Testes %" fld="0" subtotal="count" showDataAs="percentOfTotal" baseField="8" baseItem="1" numFmtId="165"/>
  </dataFields>
  <formats count="3">
    <format dxfId="64">
      <pivotArea outline="0" collapsedLevelsAreSubtotals="1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dataOnly="0" outline="0" fieldPosition="0">
        <references count="1">
          <reference field="4294967294" count="1">
            <x v="1"/>
          </reference>
        </references>
      </pivotArea>
    </format>
  </formats>
  <conditionalFormats count="3">
    <conditionalFormat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5">
              <x v="0"/>
              <x v="6"/>
              <x v="7"/>
              <x v="8"/>
              <x v="11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7">
              <x v="0"/>
              <x v="1"/>
              <x v="5"/>
              <x v="6"/>
              <x v="7"/>
              <x v="8"/>
              <x v="11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7">
              <x v="0"/>
              <x v="1"/>
              <x v="5"/>
              <x v="6"/>
              <x v="8"/>
              <x v="11"/>
              <x v="13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9A843-4271-4A71-9397-83DBC65FAC65}" name="KeyuserProblemas" cacheId="4" applyNumberFormats="0" applyBorderFormats="0" applyFontFormats="0" applyPatternFormats="0" applyAlignmentFormats="0" applyWidthHeightFormats="1" dataCaption="Valores" updatedVersion="8" minRefreshableVersion="3" preserveFormatting="0" itemPrintTitles="1" createdVersion="8" indent="0" outline="1" outlineData="1" multipleFieldFilters="0" rowHeaderCaption="Responsável">
  <location ref="A148:D150" firstHeaderRow="1" firstDataRow="1" firstDataCol="3" rowPageCount="1" colPageCount="1"/>
  <pivotFields count="27">
    <pivotField axis="axisRow" dataField="1" outline="0" showAll="0" defaultSubtotal="0">
      <items count="729">
        <item m="1" x="725"/>
        <item x="228"/>
        <item x="229"/>
        <item x="230"/>
        <item x="231"/>
        <item x="232"/>
        <item x="233"/>
        <item x="234"/>
        <item x="235"/>
        <item m="1" x="658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m="1" x="712"/>
        <item m="1" x="720"/>
        <item m="1" x="721"/>
        <item m="1" x="722"/>
        <item m="1" x="728"/>
        <item m="1" x="724"/>
        <item x="474"/>
        <item x="475"/>
        <item x="476"/>
        <item x="477"/>
        <item x="478"/>
        <item m="1" x="694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m="1" x="655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m="1" x="656"/>
        <item m="1" x="713"/>
        <item m="1" x="714"/>
        <item m="1" x="715"/>
        <item m="1" x="716"/>
        <item m="1" x="726"/>
        <item m="1" x="723"/>
        <item x="480"/>
        <item x="481"/>
        <item x="482"/>
        <item x="483"/>
        <item m="1" x="696"/>
        <item m="1" x="637"/>
        <item x="100"/>
        <item x="101"/>
        <item x="102"/>
        <item x="103"/>
        <item x="104"/>
        <item x="105"/>
        <item x="106"/>
        <item x="107"/>
        <item m="1" x="652"/>
        <item x="0"/>
        <item x="20"/>
        <item x="21"/>
        <item x="22"/>
        <item x="23"/>
        <item x="24"/>
        <item x="25"/>
        <item x="26"/>
        <item x="27"/>
        <item x="1"/>
        <item m="1" x="640"/>
        <item x="2"/>
        <item x="401"/>
        <item x="402"/>
        <item x="403"/>
        <item x="404"/>
        <item x="405"/>
        <item x="406"/>
        <item x="407"/>
        <item x="408"/>
        <item m="1" x="683"/>
        <item x="40"/>
        <item x="41"/>
        <item x="42"/>
        <item x="43"/>
        <item x="44"/>
        <item x="45"/>
        <item x="46"/>
        <item x="484"/>
        <item x="485"/>
        <item x="486"/>
        <item x="487"/>
        <item x="47"/>
        <item x="488"/>
        <item x="489"/>
        <item x="490"/>
        <item x="491"/>
        <item m="1" x="697"/>
        <item x="3"/>
        <item m="1" x="643"/>
        <item x="4"/>
        <item x="60"/>
        <item x="61"/>
        <item x="62"/>
        <item x="63"/>
        <item x="64"/>
        <item x="65"/>
        <item x="66"/>
        <item x="67"/>
        <item x="5"/>
        <item m="1" x="646"/>
        <item x="6"/>
        <item x="80"/>
        <item x="81"/>
        <item x="82"/>
        <item x="83"/>
        <item x="84"/>
        <item x="85"/>
        <item x="86"/>
        <item x="87"/>
        <item x="7"/>
        <item m="1" x="649"/>
        <item x="312"/>
        <item x="313"/>
        <item x="314"/>
        <item x="315"/>
        <item x="316"/>
        <item x="317"/>
        <item x="318"/>
        <item x="319"/>
        <item m="1" x="670"/>
        <item x="508"/>
        <item x="509"/>
        <item x="510"/>
        <item x="511"/>
        <item x="512"/>
        <item x="513"/>
        <item x="514"/>
        <item x="515"/>
        <item m="1" x="701"/>
        <item x="236"/>
        <item x="237"/>
        <item x="238"/>
        <item x="239"/>
        <item x="240"/>
        <item x="241"/>
        <item x="242"/>
        <item x="243"/>
        <item m="1" x="659"/>
        <item x="465"/>
        <item x="466"/>
        <item x="467"/>
        <item x="468"/>
        <item x="469"/>
        <item x="470"/>
        <item x="471"/>
        <item x="472"/>
        <item m="1" x="692"/>
        <item x="516"/>
        <item x="517"/>
        <item x="518"/>
        <item x="519"/>
        <item x="520"/>
        <item x="521"/>
        <item x="522"/>
        <item x="523"/>
        <item m="1" x="702"/>
        <item x="498"/>
        <item x="499"/>
        <item x="500"/>
        <item x="501"/>
        <item x="502"/>
        <item m="1" x="699"/>
        <item x="492"/>
        <item x="493"/>
        <item x="494"/>
        <item x="495"/>
        <item x="496"/>
        <item x="497"/>
        <item m="1" x="698"/>
        <item x="524"/>
        <item x="525"/>
        <item x="526"/>
        <item x="527"/>
        <item x="528"/>
        <item x="529"/>
        <item x="530"/>
        <item x="531"/>
        <item m="1" x="703"/>
        <item x="340"/>
        <item x="341"/>
        <item x="342"/>
        <item x="343"/>
        <item x="344"/>
        <item x="345"/>
        <item x="346"/>
        <item x="347"/>
        <item m="1" x="674"/>
        <item x="320"/>
        <item x="321"/>
        <item x="322"/>
        <item x="323"/>
        <item x="324"/>
        <item x="325"/>
        <item x="326"/>
        <item x="327"/>
        <item m="1" x="671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m="1" x="657"/>
        <item x="348"/>
        <item x="349"/>
        <item x="350"/>
        <item x="351"/>
        <item x="352"/>
        <item x="353"/>
        <item x="354"/>
        <item x="355"/>
        <item m="1" x="675"/>
        <item x="532"/>
        <item x="533"/>
        <item x="534"/>
        <item x="535"/>
        <item x="536"/>
        <item m="1" x="704"/>
        <item x="264"/>
        <item x="265"/>
        <item x="266"/>
        <item x="267"/>
        <item x="268"/>
        <item x="269"/>
        <item x="270"/>
        <item x="271"/>
        <item m="1" x="663"/>
        <item x="503"/>
        <item x="504"/>
        <item x="505"/>
        <item x="506"/>
        <item x="507"/>
        <item m="1" x="700"/>
        <item x="428"/>
        <item x="429"/>
        <item x="430"/>
        <item x="431"/>
        <item x="432"/>
        <item x="433"/>
        <item x="434"/>
        <item x="435"/>
        <item m="1" x="687"/>
        <item x="441"/>
        <item x="442"/>
        <item x="443"/>
        <item x="444"/>
        <item x="445"/>
        <item x="446"/>
        <item x="447"/>
        <item x="448"/>
        <item m="1" x="689"/>
        <item x="457"/>
        <item x="458"/>
        <item x="459"/>
        <item x="460"/>
        <item x="461"/>
        <item x="462"/>
        <item x="463"/>
        <item x="464"/>
        <item m="1" x="691"/>
        <item x="449"/>
        <item x="450"/>
        <item x="451"/>
        <item x="452"/>
        <item x="453"/>
        <item x="454"/>
        <item x="455"/>
        <item x="456"/>
        <item m="1" x="690"/>
        <item x="328"/>
        <item x="329"/>
        <item x="330"/>
        <item x="331"/>
        <item x="332"/>
        <item x="333"/>
        <item m="1" x="672"/>
        <item x="334"/>
        <item x="335"/>
        <item x="336"/>
        <item x="337"/>
        <item x="338"/>
        <item x="339"/>
        <item m="1" x="673"/>
        <item x="547"/>
        <item x="548"/>
        <item x="549"/>
        <item x="550"/>
        <item x="551"/>
        <item x="552"/>
        <item x="553"/>
        <item x="554"/>
        <item m="1" x="707"/>
        <item x="555"/>
        <item x="556"/>
        <item x="557"/>
        <item x="558"/>
        <item x="559"/>
        <item x="560"/>
        <item x="561"/>
        <item x="562"/>
        <item m="1" x="708"/>
        <item x="563"/>
        <item x="564"/>
        <item x="565"/>
        <item x="566"/>
        <item x="567"/>
        <item x="568"/>
        <item x="569"/>
        <item x="570"/>
        <item m="1" x="709"/>
        <item x="571"/>
        <item x="572"/>
        <item x="573"/>
        <item x="574"/>
        <item x="575"/>
        <item x="576"/>
        <item x="577"/>
        <item x="578"/>
        <item m="1" x="710"/>
        <item x="579"/>
        <item x="580"/>
        <item x="581"/>
        <item x="582"/>
        <item x="583"/>
        <item m="1" x="711"/>
        <item m="1" x="717"/>
        <item m="1" x="718"/>
        <item m="1" x="719"/>
        <item m="1" x="727"/>
        <item x="382"/>
        <item x="383"/>
        <item x="384"/>
        <item x="385"/>
        <item x="386"/>
        <item x="387"/>
        <item x="388"/>
        <item m="1" x="680"/>
        <item x="368"/>
        <item x="369"/>
        <item x="370"/>
        <item x="371"/>
        <item x="372"/>
        <item x="373"/>
        <item x="374"/>
        <item x="375"/>
        <item m="1" x="678"/>
        <item x="389"/>
        <item x="390"/>
        <item x="391"/>
        <item x="392"/>
        <item x="393"/>
        <item m="1" x="681"/>
        <item x="376"/>
        <item x="377"/>
        <item x="378"/>
        <item x="379"/>
        <item x="380"/>
        <item x="381"/>
        <item m="1" x="679"/>
        <item x="394"/>
        <item x="395"/>
        <item x="396"/>
        <item x="397"/>
        <item x="398"/>
        <item x="399"/>
        <item x="400"/>
        <item m="1" x="682"/>
        <item x="409"/>
        <item x="410"/>
        <item x="411"/>
        <item x="412"/>
        <item x="413"/>
        <item x="414"/>
        <item x="415"/>
        <item x="416"/>
        <item m="1" x="684"/>
        <item x="8"/>
        <item x="9"/>
        <item x="108"/>
        <item x="109"/>
        <item x="110"/>
        <item x="111"/>
        <item x="112"/>
        <item x="113"/>
        <item m="1" x="653"/>
        <item x="10"/>
        <item x="11"/>
        <item x="12"/>
        <item x="13"/>
        <item m="1" x="638"/>
        <item x="252"/>
        <item x="253"/>
        <item x="254"/>
        <item x="255"/>
        <item x="256"/>
        <item x="257"/>
        <item m="1" x="661"/>
        <item x="272"/>
        <item x="273"/>
        <item x="274"/>
        <item x="275"/>
        <item x="276"/>
        <item x="277"/>
        <item m="1" x="664"/>
        <item x="28"/>
        <item x="29"/>
        <item x="30"/>
        <item x="31"/>
        <item x="32"/>
        <item x="33"/>
        <item m="1" x="641"/>
        <item x="417"/>
        <item x="418"/>
        <item x="419"/>
        <item x="420"/>
        <item x="421"/>
        <item x="422"/>
        <item m="1" x="685"/>
        <item x="473"/>
        <item m="1" x="693"/>
        <item x="48"/>
        <item x="49"/>
        <item x="50"/>
        <item x="51"/>
        <item x="52"/>
        <item x="53"/>
        <item m="1" x="644"/>
        <item x="68"/>
        <item x="69"/>
        <item x="70"/>
        <item x="71"/>
        <item x="72"/>
        <item x="73"/>
        <item m="1" x="647"/>
        <item x="88"/>
        <item x="89"/>
        <item x="90"/>
        <item x="91"/>
        <item x="92"/>
        <item x="93"/>
        <item m="1" x="650"/>
        <item x="362"/>
        <item x="363"/>
        <item x="364"/>
        <item x="365"/>
        <item x="366"/>
        <item x="367"/>
        <item m="1" x="677"/>
        <item x="244"/>
        <item x="245"/>
        <item x="246"/>
        <item x="247"/>
        <item x="248"/>
        <item x="249"/>
        <item x="250"/>
        <item x="251"/>
        <item m="1" x="660"/>
        <item x="542"/>
        <item x="543"/>
        <item x="544"/>
        <item x="545"/>
        <item x="546"/>
        <item m="1" x="706"/>
        <item x="98"/>
        <item x="99"/>
        <item m="1" x="651"/>
        <item x="114"/>
        <item x="115"/>
        <item x="116"/>
        <item x="117"/>
        <item x="118"/>
        <item x="119"/>
        <item m="1" x="654"/>
        <item x="14"/>
        <item x="15"/>
        <item x="16"/>
        <item x="17"/>
        <item x="18"/>
        <item x="19"/>
        <item m="1" x="639"/>
        <item x="258"/>
        <item x="259"/>
        <item x="260"/>
        <item x="261"/>
        <item x="262"/>
        <item x="263"/>
        <item m="1" x="662"/>
        <item x="278"/>
        <item x="279"/>
        <item x="280"/>
        <item x="281"/>
        <item x="282"/>
        <item x="283"/>
        <item m="1" x="665"/>
        <item x="34"/>
        <item x="35"/>
        <item x="36"/>
        <item x="37"/>
        <item x="38"/>
        <item x="39"/>
        <item m="1" x="642"/>
        <item x="423"/>
        <item x="424"/>
        <item x="425"/>
        <item x="426"/>
        <item x="427"/>
        <item m="1" x="686"/>
        <item x="436"/>
        <item x="437"/>
        <item x="438"/>
        <item x="439"/>
        <item x="440"/>
        <item m="1" x="688"/>
        <item x="479"/>
        <item m="1" x="695"/>
        <item x="54"/>
        <item x="55"/>
        <item x="56"/>
        <item x="57"/>
        <item x="58"/>
        <item x="59"/>
        <item m="1" x="645"/>
        <item x="74"/>
        <item x="75"/>
        <item x="76"/>
        <item x="77"/>
        <item x="78"/>
        <item x="79"/>
        <item m="1" x="648"/>
        <item x="94"/>
        <item x="95"/>
        <item x="96"/>
        <item x="97"/>
        <item x="292"/>
        <item x="293"/>
        <item x="294"/>
        <item x="295"/>
        <item x="296"/>
        <item x="297"/>
        <item x="298"/>
        <item x="299"/>
        <item m="1" x="667"/>
        <item x="537"/>
        <item x="538"/>
        <item x="539"/>
        <item x="540"/>
        <item x="541"/>
        <item m="1" x="705"/>
        <item x="356"/>
        <item x="357"/>
        <item x="358"/>
        <item x="359"/>
        <item x="360"/>
        <item x="361"/>
        <item m="1" x="676"/>
        <item x="284"/>
        <item x="285"/>
        <item x="286"/>
        <item x="287"/>
        <item x="288"/>
        <item x="289"/>
        <item x="290"/>
        <item x="291"/>
        <item m="1" x="666"/>
        <item x="300"/>
        <item x="301"/>
        <item x="302"/>
        <item x="303"/>
        <item x="304"/>
        <item x="305"/>
        <item m="1" x="668"/>
        <item x="306"/>
        <item x="307"/>
        <item x="308"/>
        <item x="309"/>
        <item x="310"/>
        <item x="311"/>
        <item m="1" x="669"/>
      </items>
    </pivotField>
    <pivotField showAll="0"/>
    <pivotField axis="axisRow" outline="0" showAll="0" defaultSubtotal="0">
      <items count="99">
        <item x="18"/>
        <item x="19"/>
        <item x="20"/>
        <item x="24"/>
        <item m="1" x="92"/>
        <item x="25"/>
        <item x="26"/>
        <item m="1" x="93"/>
        <item x="70"/>
        <item x="71"/>
        <item x="72"/>
        <item x="42"/>
        <item x="43"/>
        <item x="44"/>
        <item x="45"/>
        <item x="62"/>
        <item x="76"/>
        <item x="78"/>
        <item x="77"/>
        <item x="47"/>
        <item x="49"/>
        <item x="48"/>
        <item x="31"/>
        <item x="52"/>
        <item x="53"/>
        <item x="54"/>
        <item x="79"/>
        <item x="32"/>
        <item x="61"/>
        <item x="83"/>
        <item m="1" x="95"/>
        <item m="1" x="96"/>
        <item m="1" x="97"/>
        <item m="1" x="94"/>
        <item x="39"/>
        <item x="38"/>
        <item x="40"/>
        <item x="41"/>
        <item x="50"/>
        <item x="51"/>
        <item x="69"/>
        <item x="27"/>
        <item x="29"/>
        <item x="28"/>
        <item x="73"/>
        <item x="56"/>
        <item x="57"/>
        <item x="58"/>
        <item x="80"/>
        <item x="82"/>
        <item x="46"/>
        <item x="81"/>
        <item x="75"/>
        <item x="21"/>
        <item x="23"/>
        <item x="22"/>
        <item x="37"/>
        <item x="35"/>
        <item x="36"/>
        <item x="30"/>
        <item x="34"/>
        <item x="63"/>
        <item x="60"/>
        <item x="59"/>
        <item x="15"/>
        <item x="16"/>
        <item x="17"/>
        <item x="9"/>
        <item x="10"/>
        <item x="11"/>
        <item x="12"/>
        <item x="13"/>
        <item x="14"/>
        <item x="6"/>
        <item x="7"/>
        <item x="8"/>
        <item x="0"/>
        <item x="1"/>
        <item x="2"/>
        <item x="3"/>
        <item x="4"/>
        <item x="5"/>
        <item x="33"/>
        <item x="84"/>
        <item x="90"/>
        <item x="86"/>
        <item x="85"/>
        <item x="91"/>
        <item x="87"/>
        <item x="89"/>
        <item x="88"/>
        <item x="55"/>
        <item x="74"/>
        <item x="66"/>
        <item x="68"/>
        <item x="64"/>
        <item x="65"/>
        <item x="67"/>
        <item m="1" x="98"/>
      </items>
    </pivotField>
    <pivotField showAll="0"/>
    <pivotField showAll="0"/>
    <pivotField showAll="0"/>
    <pivotField axis="axisRow" outline="0" showAll="0" defaultSubtotal="0">
      <items count="19">
        <item m="1" x="11"/>
        <item x="7"/>
        <item x="3"/>
        <item m="1" x="17"/>
        <item x="8"/>
        <item m="1" x="16"/>
        <item x="1"/>
        <item m="1" x="14"/>
        <item x="5"/>
        <item m="1" x="15"/>
        <item x="2"/>
        <item m="1" x="18"/>
        <item x="4"/>
        <item x="0"/>
        <item m="1" x="12"/>
        <item m="1" x="13"/>
        <item x="10"/>
        <item x="6"/>
        <item x="9"/>
      </items>
    </pivotField>
    <pivotField showAll="0"/>
    <pivotField showAll="0"/>
    <pivotField showAll="0"/>
    <pivotField axis="axisPage" multipleItemSelectionAllowed="1" showAll="0">
      <items count="15">
        <item h="1" m="1" x="7"/>
        <item h="1" x="0"/>
        <item h="1" m="1" x="10"/>
        <item m="1" x="13"/>
        <item m="1" x="12"/>
        <item h="1" m="1" x="6"/>
        <item m="1" x="5"/>
        <item x="3"/>
        <item h="1" x="1"/>
        <item h="1" m="1" x="11"/>
        <item m="1" x="9"/>
        <item h="1" x="4"/>
        <item h="1" m="1" x="8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6"/>
    <field x="0"/>
    <field x="2"/>
  </rowFields>
  <rowItems count="2">
    <i>
      <x v="17"/>
      <x v="464"/>
      <x v="49"/>
    </i>
    <i t="grand">
      <x/>
    </i>
  </rowItems>
  <colItems count="1">
    <i/>
  </colItems>
  <pageFields count="1">
    <pageField fld="10" hier="-1"/>
  </pageFields>
  <dataFields count="1">
    <dataField name="Testes QTD" fld="0" subtotal="count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50D18-74C7-4539-BF77-373E438DBB9D}" name="EloCorrecao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sponsável">
  <location ref="A127:D128" firstHeaderRow="1" firstDataRow="1" firstDataCol="3" rowPageCount="1" colPageCount="1"/>
  <pivotFields count="27">
    <pivotField axis="axisRow" dataField="1" outline="0" showAll="0" defaultSubtotal="0">
      <items count="729">
        <item x="228"/>
        <item x="229"/>
        <item x="230"/>
        <item x="231"/>
        <item x="232"/>
        <item x="233"/>
        <item x="234"/>
        <item x="235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m="1" x="712"/>
        <item m="1" x="720"/>
        <item m="1" x="721"/>
        <item m="1" x="722"/>
        <item m="1" x="724"/>
        <item x="474"/>
        <item x="475"/>
        <item x="476"/>
        <item x="477"/>
        <item x="47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m="1" x="713"/>
        <item m="1" x="714"/>
        <item m="1" x="715"/>
        <item m="1" x="716"/>
        <item m="1" x="723"/>
        <item x="480"/>
        <item x="481"/>
        <item x="482"/>
        <item x="483"/>
        <item x="100"/>
        <item x="101"/>
        <item x="102"/>
        <item x="103"/>
        <item x="104"/>
        <item x="105"/>
        <item x="106"/>
        <item x="107"/>
        <item x="0"/>
        <item x="20"/>
        <item x="21"/>
        <item x="22"/>
        <item x="23"/>
        <item x="24"/>
        <item x="25"/>
        <item x="26"/>
        <item x="27"/>
        <item x="1"/>
        <item x="2"/>
        <item x="401"/>
        <item x="402"/>
        <item x="403"/>
        <item x="404"/>
        <item x="405"/>
        <item x="406"/>
        <item x="407"/>
        <item x="408"/>
        <item x="40"/>
        <item x="41"/>
        <item x="42"/>
        <item x="43"/>
        <item x="44"/>
        <item x="45"/>
        <item x="46"/>
        <item x="484"/>
        <item x="485"/>
        <item x="486"/>
        <item x="487"/>
        <item x="47"/>
        <item x="488"/>
        <item x="489"/>
        <item x="490"/>
        <item x="491"/>
        <item x="3"/>
        <item x="4"/>
        <item x="60"/>
        <item x="61"/>
        <item x="62"/>
        <item x="63"/>
        <item x="64"/>
        <item x="65"/>
        <item x="66"/>
        <item x="67"/>
        <item x="5"/>
        <item x="6"/>
        <item x="80"/>
        <item x="81"/>
        <item x="82"/>
        <item x="83"/>
        <item x="84"/>
        <item x="85"/>
        <item x="86"/>
        <item x="87"/>
        <item x="7"/>
        <item x="312"/>
        <item x="313"/>
        <item x="314"/>
        <item x="315"/>
        <item x="316"/>
        <item x="317"/>
        <item x="318"/>
        <item x="319"/>
        <item x="508"/>
        <item x="509"/>
        <item x="510"/>
        <item x="511"/>
        <item x="512"/>
        <item x="513"/>
        <item x="514"/>
        <item x="515"/>
        <item x="236"/>
        <item x="237"/>
        <item x="238"/>
        <item x="239"/>
        <item x="240"/>
        <item x="241"/>
        <item x="242"/>
        <item x="243"/>
        <item x="465"/>
        <item x="466"/>
        <item x="467"/>
        <item x="468"/>
        <item x="469"/>
        <item x="470"/>
        <item x="471"/>
        <item x="472"/>
        <item x="516"/>
        <item x="517"/>
        <item x="518"/>
        <item x="519"/>
        <item x="520"/>
        <item x="521"/>
        <item x="522"/>
        <item x="523"/>
        <item x="498"/>
        <item x="499"/>
        <item x="500"/>
        <item x="501"/>
        <item x="502"/>
        <item x="492"/>
        <item x="493"/>
        <item x="494"/>
        <item x="495"/>
        <item x="496"/>
        <item x="497"/>
        <item x="524"/>
        <item x="525"/>
        <item x="526"/>
        <item x="527"/>
        <item x="528"/>
        <item x="529"/>
        <item x="530"/>
        <item x="531"/>
        <item x="340"/>
        <item x="341"/>
        <item x="342"/>
        <item x="343"/>
        <item x="344"/>
        <item x="345"/>
        <item x="346"/>
        <item x="347"/>
        <item x="320"/>
        <item x="321"/>
        <item x="322"/>
        <item x="323"/>
        <item x="324"/>
        <item x="325"/>
        <item x="326"/>
        <item x="327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348"/>
        <item x="349"/>
        <item x="350"/>
        <item x="351"/>
        <item x="352"/>
        <item x="353"/>
        <item x="354"/>
        <item x="355"/>
        <item x="532"/>
        <item x="533"/>
        <item x="534"/>
        <item x="535"/>
        <item x="536"/>
        <item x="264"/>
        <item x="265"/>
        <item x="266"/>
        <item x="267"/>
        <item x="268"/>
        <item x="269"/>
        <item x="270"/>
        <item x="271"/>
        <item x="503"/>
        <item x="504"/>
        <item x="505"/>
        <item x="506"/>
        <item x="507"/>
        <item x="428"/>
        <item x="429"/>
        <item x="430"/>
        <item x="431"/>
        <item x="432"/>
        <item x="433"/>
        <item x="434"/>
        <item x="435"/>
        <item x="441"/>
        <item x="442"/>
        <item x="443"/>
        <item x="444"/>
        <item x="445"/>
        <item x="446"/>
        <item x="447"/>
        <item x="448"/>
        <item x="457"/>
        <item x="458"/>
        <item x="459"/>
        <item x="460"/>
        <item x="461"/>
        <item x="462"/>
        <item x="463"/>
        <item x="464"/>
        <item x="449"/>
        <item x="450"/>
        <item x="451"/>
        <item x="452"/>
        <item x="453"/>
        <item x="454"/>
        <item x="455"/>
        <item x="45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83"/>
        <item m="1" x="711"/>
        <item m="1" x="717"/>
        <item m="1" x="718"/>
        <item m="1" x="719"/>
        <item x="382"/>
        <item x="383"/>
        <item x="384"/>
        <item x="385"/>
        <item x="386"/>
        <item x="387"/>
        <item x="388"/>
        <item x="368"/>
        <item x="369"/>
        <item x="370"/>
        <item x="371"/>
        <item x="372"/>
        <item x="373"/>
        <item x="374"/>
        <item x="375"/>
        <item x="389"/>
        <item x="390"/>
        <item x="391"/>
        <item x="392"/>
        <item x="393"/>
        <item x="376"/>
        <item x="377"/>
        <item x="378"/>
        <item x="379"/>
        <item x="380"/>
        <item x="381"/>
        <item x="394"/>
        <item x="395"/>
        <item x="396"/>
        <item x="397"/>
        <item x="398"/>
        <item x="399"/>
        <item x="400"/>
        <item x="409"/>
        <item x="410"/>
        <item x="411"/>
        <item x="412"/>
        <item x="413"/>
        <item x="414"/>
        <item x="415"/>
        <item x="416"/>
        <item x="8"/>
        <item x="9"/>
        <item x="108"/>
        <item x="109"/>
        <item x="110"/>
        <item x="111"/>
        <item x="112"/>
        <item x="113"/>
        <item x="10"/>
        <item x="11"/>
        <item x="12"/>
        <item x="13"/>
        <item x="252"/>
        <item x="253"/>
        <item x="254"/>
        <item x="255"/>
        <item x="256"/>
        <item x="257"/>
        <item x="272"/>
        <item x="273"/>
        <item x="274"/>
        <item x="275"/>
        <item x="276"/>
        <item x="277"/>
        <item x="28"/>
        <item x="29"/>
        <item x="30"/>
        <item x="31"/>
        <item x="32"/>
        <item x="33"/>
        <item x="417"/>
        <item x="418"/>
        <item x="419"/>
        <item x="420"/>
        <item x="421"/>
        <item x="422"/>
        <item x="48"/>
        <item x="49"/>
        <item x="50"/>
        <item x="51"/>
        <item x="52"/>
        <item x="53"/>
        <item x="68"/>
        <item x="69"/>
        <item x="70"/>
        <item x="71"/>
        <item x="72"/>
        <item x="73"/>
        <item x="88"/>
        <item x="89"/>
        <item x="90"/>
        <item x="91"/>
        <item x="92"/>
        <item x="93"/>
        <item x="362"/>
        <item x="363"/>
        <item x="364"/>
        <item x="365"/>
        <item x="366"/>
        <item x="367"/>
        <item x="244"/>
        <item x="245"/>
        <item x="246"/>
        <item x="247"/>
        <item x="248"/>
        <item x="249"/>
        <item x="250"/>
        <item x="251"/>
        <item x="542"/>
        <item x="543"/>
        <item x="544"/>
        <item x="545"/>
        <item x="546"/>
        <item x="98"/>
        <item x="99"/>
        <item x="114"/>
        <item x="115"/>
        <item x="116"/>
        <item x="117"/>
        <item x="118"/>
        <item x="119"/>
        <item x="14"/>
        <item x="15"/>
        <item x="16"/>
        <item x="17"/>
        <item x="18"/>
        <item x="19"/>
        <item x="258"/>
        <item x="259"/>
        <item x="260"/>
        <item x="261"/>
        <item x="262"/>
        <item x="263"/>
        <item x="278"/>
        <item x="279"/>
        <item x="280"/>
        <item x="281"/>
        <item x="282"/>
        <item x="283"/>
        <item x="34"/>
        <item x="35"/>
        <item x="36"/>
        <item x="37"/>
        <item x="38"/>
        <item x="39"/>
        <item x="423"/>
        <item x="424"/>
        <item x="425"/>
        <item x="426"/>
        <item x="427"/>
        <item x="436"/>
        <item x="437"/>
        <item x="438"/>
        <item x="439"/>
        <item x="440"/>
        <item x="54"/>
        <item x="55"/>
        <item x="56"/>
        <item x="57"/>
        <item x="58"/>
        <item x="59"/>
        <item x="74"/>
        <item x="75"/>
        <item x="76"/>
        <item x="77"/>
        <item x="78"/>
        <item x="79"/>
        <item x="94"/>
        <item x="95"/>
        <item x="96"/>
        <item x="97"/>
        <item x="292"/>
        <item x="293"/>
        <item x="294"/>
        <item x="295"/>
        <item x="296"/>
        <item x="297"/>
        <item x="298"/>
        <item x="299"/>
        <item x="537"/>
        <item x="538"/>
        <item x="539"/>
        <item x="540"/>
        <item x="541"/>
        <item x="356"/>
        <item x="357"/>
        <item x="358"/>
        <item x="359"/>
        <item x="360"/>
        <item x="361"/>
        <item x="284"/>
        <item x="285"/>
        <item x="286"/>
        <item x="287"/>
        <item x="288"/>
        <item x="289"/>
        <item x="290"/>
        <item x="291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m="1" x="725"/>
        <item m="1" x="710"/>
        <item m="1" x="726"/>
        <item m="1" x="727"/>
        <item m="1" x="728"/>
        <item x="473"/>
        <item x="479"/>
        <item x="579"/>
        <item x="580"/>
        <item x="581"/>
        <item x="582"/>
        <item x="584"/>
        <item x="585"/>
        <item x="586"/>
        <item x="587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</items>
    </pivotField>
    <pivotField showAll="0"/>
    <pivotField showAll="0"/>
    <pivotField showAll="0"/>
    <pivotField showAll="0"/>
    <pivotField showAll="0"/>
    <pivotField axis="axisRow" outline="0" showAll="0" defaultSubtotal="0">
      <items count="19">
        <item m="1" x="11"/>
        <item x="7"/>
        <item x="3"/>
        <item m="1" x="17"/>
        <item x="8"/>
        <item m="1" x="16"/>
        <item x="1"/>
        <item m="1" x="14"/>
        <item x="5"/>
        <item m="1" x="15"/>
        <item x="2"/>
        <item m="1" x="18"/>
        <item x="4"/>
        <item x="0"/>
        <item m="1" x="12"/>
        <item m="1" x="13"/>
        <item x="10"/>
        <item x="6"/>
        <item x="9"/>
      </items>
    </pivotField>
    <pivotField showAll="0"/>
    <pivotField showAll="0"/>
    <pivotField showAll="0"/>
    <pivotField axis="axisPage" multipleItemSelectionAllowed="1" showAll="0">
      <items count="15">
        <item h="1" m="1" x="7"/>
        <item h="1" x="0"/>
        <item h="1" m="1" x="10"/>
        <item m="1" x="13"/>
        <item m="1" x="12"/>
        <item m="1" x="6"/>
        <item h="1" m="1" x="5"/>
        <item h="1" x="3"/>
        <item h="1" x="1"/>
        <item m="1" x="11"/>
        <item m="1" x="9"/>
        <item h="1" x="4"/>
        <item m="1" x="8"/>
        <item h="1" x="2"/>
        <item t="default"/>
      </items>
    </pivotField>
    <pivotField showAll="0"/>
    <pivotField showAll="0"/>
    <pivotField showAll="0"/>
    <pivotField axis="axisRow" showAll="0">
      <items count="164">
        <item m="1" x="161"/>
        <item m="1" x="156"/>
        <item m="1" x="157"/>
        <item m="1" x="158"/>
        <item m="1" x="160"/>
        <item x="46"/>
        <item x="51"/>
        <item x="54"/>
        <item m="1" x="159"/>
        <item m="1" x="152"/>
        <item x="0"/>
        <item m="1" x="162"/>
        <item m="1" x="153"/>
        <item m="1" x="154"/>
        <item m="1" x="151"/>
        <item m="1" x="121"/>
        <item m="1" x="126"/>
        <item m="1" x="144"/>
        <item m="1" x="155"/>
        <item m="1" x="116"/>
        <item x="49"/>
        <item x="53"/>
        <item m="1" x="150"/>
        <item x="56"/>
        <item m="1" x="141"/>
        <item m="1" x="147"/>
        <item m="1" x="142"/>
        <item m="1" x="127"/>
        <item m="1" x="148"/>
        <item x="57"/>
        <item m="1" x="124"/>
        <item m="1" x="149"/>
        <item m="1" x="125"/>
        <item m="1" x="130"/>
        <item m="1" x="131"/>
        <item m="1" x="137"/>
        <item x="59"/>
        <item m="1" x="117"/>
        <item m="1" x="90"/>
        <item x="50"/>
        <item m="1" x="146"/>
        <item m="1" x="145"/>
        <item m="1" x="129"/>
        <item m="1" x="143"/>
        <item x="39"/>
        <item m="1" x="138"/>
        <item x="11"/>
        <item x="1"/>
        <item x="21"/>
        <item x="23"/>
        <item x="3"/>
        <item x="5"/>
        <item x="7"/>
        <item x="9"/>
        <item x="12"/>
        <item x="2"/>
        <item m="1" x="139"/>
        <item m="1" x="140"/>
        <item x="4"/>
        <item x="6"/>
        <item x="8"/>
        <item x="10"/>
        <item m="1" x="136"/>
        <item x="22"/>
        <item x="24"/>
        <item m="1" x="132"/>
        <item m="1" x="122"/>
        <item m="1" x="134"/>
        <item m="1" x="133"/>
        <item m="1" x="135"/>
        <item m="1" x="120"/>
        <item m="1" x="109"/>
        <item m="1" x="128"/>
        <item m="1" x="123"/>
        <item x="18"/>
        <item m="1" x="119"/>
        <item x="40"/>
        <item x="47"/>
        <item x="41"/>
        <item m="1" x="118"/>
        <item x="55"/>
        <item m="1" x="113"/>
        <item m="1" x="115"/>
        <item m="1" x="114"/>
        <item m="1" x="112"/>
        <item m="1" x="91"/>
        <item m="1" x="105"/>
        <item x="44"/>
        <item x="45"/>
        <item m="1" x="106"/>
        <item m="1" x="111"/>
        <item x="43"/>
        <item m="1" x="108"/>
        <item m="1" x="110"/>
        <item x="42"/>
        <item m="1" x="100"/>
        <item m="1" x="101"/>
        <item x="48"/>
        <item m="1" x="92"/>
        <item m="1" x="103"/>
        <item x="15"/>
        <item m="1" x="107"/>
        <item m="1" x="89"/>
        <item x="14"/>
        <item x="19"/>
        <item m="1" x="104"/>
        <item m="1" x="93"/>
        <item m="1" x="83"/>
        <item m="1" x="62"/>
        <item m="1" x="88"/>
        <item m="1" x="94"/>
        <item m="1" x="102"/>
        <item x="20"/>
        <item m="1" x="84"/>
        <item m="1" x="82"/>
        <item x="60"/>
        <item m="1" x="85"/>
        <item m="1" x="99"/>
        <item m="1" x="98"/>
        <item m="1" x="95"/>
        <item m="1" x="87"/>
        <item m="1" x="97"/>
        <item m="1" x="96"/>
        <item m="1" x="75"/>
        <item x="52"/>
        <item m="1" x="86"/>
        <item m="1" x="73"/>
        <item m="1" x="81"/>
        <item m="1" x="68"/>
        <item m="1" x="76"/>
        <item m="1" x="80"/>
        <item m="1" x="70"/>
        <item m="1" x="79"/>
        <item m="1" x="78"/>
        <item x="16"/>
        <item x="33"/>
        <item x="36"/>
        <item x="30"/>
        <item m="1" x="71"/>
        <item x="31"/>
        <item m="1" x="77"/>
        <item m="1" x="74"/>
        <item m="1" x="72"/>
        <item m="1" x="67"/>
        <item x="32"/>
        <item x="25"/>
        <item m="1" x="69"/>
        <item m="1" x="63"/>
        <item x="13"/>
        <item m="1" x="65"/>
        <item m="1" x="66"/>
        <item x="34"/>
        <item x="28"/>
        <item x="29"/>
        <item x="37"/>
        <item x="17"/>
        <item x="35"/>
        <item x="26"/>
        <item x="27"/>
        <item m="1" x="64"/>
        <item x="38"/>
        <item m="1" x="61"/>
        <item x="5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6"/>
    <field x="0"/>
    <field x="14"/>
  </rowFields>
  <rowItems count="1">
    <i t="grand">
      <x/>
    </i>
  </rowItems>
  <colItems count="1">
    <i/>
  </colItems>
  <pageFields count="1">
    <pageField fld="10" hier="-1"/>
  </pageFields>
  <dataFields count="1">
    <dataField name="Testes QTD" fld="0" subtotal="count" baseField="0" baseItem="0"/>
  </dataFields>
  <formats count="5">
    <format dxfId="69">
      <pivotArea outline="0" collapsedLevelsAreSubtotals="1" fieldPosition="0"/>
    </format>
    <format dxfId="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">
      <pivotArea dataOnly="0" labelOnly="1" outline="0" fieldPosition="0">
        <references count="1">
          <reference field="10" count="0"/>
        </references>
      </pivotArea>
    </format>
    <format dxfId="66">
      <pivotArea dataOnly="0" labelOnly="1" outline="0" fieldPosition="0">
        <references count="1">
          <reference field="10" count="0"/>
        </references>
      </pivotArea>
    </format>
    <format dxfId="65">
      <pivotArea dataOnly="0" labelOnly="1" outline="0" fieldPosition="0">
        <references count="1">
          <reference field="10" count="0"/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D7CD6-AE8A-4B95-B9C5-D3F9F0207F74}" name="KeyuserPrecedente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sponsável">
  <location ref="F85:J89" firstHeaderRow="1" firstDataRow="1" firstDataCol="4" rowPageCount="2" colPageCount="1"/>
  <pivotFields count="27">
    <pivotField axis="axisRow" dataField="1" outline="0" showAll="0" defaultSubtotal="0">
      <items count="729">
        <item x="228"/>
        <item x="229"/>
        <item x="230"/>
        <item x="231"/>
        <item x="232"/>
        <item x="233"/>
        <item x="234"/>
        <item x="235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m="1" x="712"/>
        <item m="1" x="720"/>
        <item m="1" x="721"/>
        <item m="1" x="722"/>
        <item m="1" x="724"/>
        <item x="474"/>
        <item x="475"/>
        <item x="476"/>
        <item x="477"/>
        <item x="47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m="1" x="713"/>
        <item m="1" x="714"/>
        <item m="1" x="715"/>
        <item m="1" x="716"/>
        <item m="1" x="723"/>
        <item x="480"/>
        <item x="481"/>
        <item x="482"/>
        <item x="483"/>
        <item x="100"/>
        <item x="101"/>
        <item x="102"/>
        <item x="103"/>
        <item x="104"/>
        <item x="105"/>
        <item x="106"/>
        <item x="107"/>
        <item x="0"/>
        <item x="20"/>
        <item x="21"/>
        <item x="22"/>
        <item x="23"/>
        <item x="24"/>
        <item x="25"/>
        <item x="26"/>
        <item x="27"/>
        <item x="1"/>
        <item x="2"/>
        <item x="401"/>
        <item x="402"/>
        <item x="403"/>
        <item x="404"/>
        <item x="405"/>
        <item x="406"/>
        <item x="407"/>
        <item x="408"/>
        <item x="40"/>
        <item x="41"/>
        <item x="42"/>
        <item x="43"/>
        <item x="44"/>
        <item x="45"/>
        <item x="46"/>
        <item x="484"/>
        <item x="485"/>
        <item x="486"/>
        <item x="487"/>
        <item x="47"/>
        <item x="488"/>
        <item x="489"/>
        <item x="490"/>
        <item x="491"/>
        <item x="3"/>
        <item x="4"/>
        <item x="60"/>
        <item x="61"/>
        <item x="62"/>
        <item x="63"/>
        <item x="64"/>
        <item x="65"/>
        <item x="66"/>
        <item x="67"/>
        <item x="5"/>
        <item x="6"/>
        <item x="80"/>
        <item x="81"/>
        <item x="82"/>
        <item x="83"/>
        <item x="84"/>
        <item x="85"/>
        <item x="86"/>
        <item x="87"/>
        <item x="7"/>
        <item x="312"/>
        <item x="313"/>
        <item x="314"/>
        <item x="315"/>
        <item x="316"/>
        <item x="317"/>
        <item x="318"/>
        <item x="319"/>
        <item x="508"/>
        <item x="509"/>
        <item x="510"/>
        <item x="511"/>
        <item x="512"/>
        <item x="513"/>
        <item x="514"/>
        <item x="515"/>
        <item x="236"/>
        <item x="237"/>
        <item x="238"/>
        <item x="239"/>
        <item x="240"/>
        <item x="241"/>
        <item x="242"/>
        <item x="243"/>
        <item x="465"/>
        <item x="466"/>
        <item x="467"/>
        <item x="468"/>
        <item x="469"/>
        <item x="470"/>
        <item x="471"/>
        <item x="472"/>
        <item x="516"/>
        <item x="517"/>
        <item x="518"/>
        <item x="519"/>
        <item x="520"/>
        <item x="521"/>
        <item x="522"/>
        <item x="523"/>
        <item x="498"/>
        <item x="499"/>
        <item x="500"/>
        <item x="501"/>
        <item x="502"/>
        <item x="492"/>
        <item x="493"/>
        <item x="494"/>
        <item x="495"/>
        <item x="496"/>
        <item x="497"/>
        <item x="524"/>
        <item x="525"/>
        <item x="526"/>
        <item x="527"/>
        <item x="528"/>
        <item x="529"/>
        <item x="530"/>
        <item x="531"/>
        <item x="340"/>
        <item x="341"/>
        <item x="342"/>
        <item x="343"/>
        <item x="344"/>
        <item x="345"/>
        <item x="346"/>
        <item x="347"/>
        <item x="320"/>
        <item x="321"/>
        <item x="322"/>
        <item x="323"/>
        <item x="324"/>
        <item x="325"/>
        <item x="326"/>
        <item x="327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348"/>
        <item x="349"/>
        <item x="350"/>
        <item x="351"/>
        <item x="352"/>
        <item x="353"/>
        <item x="354"/>
        <item x="355"/>
        <item x="532"/>
        <item x="533"/>
        <item x="534"/>
        <item x="535"/>
        <item x="536"/>
        <item x="264"/>
        <item x="265"/>
        <item x="266"/>
        <item x="267"/>
        <item x="268"/>
        <item x="269"/>
        <item x="270"/>
        <item x="271"/>
        <item x="503"/>
        <item x="504"/>
        <item x="505"/>
        <item x="506"/>
        <item x="507"/>
        <item x="428"/>
        <item x="429"/>
        <item x="430"/>
        <item x="431"/>
        <item x="432"/>
        <item x="433"/>
        <item x="434"/>
        <item x="435"/>
        <item x="441"/>
        <item x="442"/>
        <item x="443"/>
        <item x="444"/>
        <item x="445"/>
        <item x="446"/>
        <item x="447"/>
        <item x="448"/>
        <item x="457"/>
        <item x="458"/>
        <item x="459"/>
        <item x="460"/>
        <item x="461"/>
        <item x="462"/>
        <item x="463"/>
        <item x="464"/>
        <item x="449"/>
        <item x="450"/>
        <item x="451"/>
        <item x="452"/>
        <item x="453"/>
        <item x="454"/>
        <item x="455"/>
        <item x="45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83"/>
        <item m="1" x="711"/>
        <item m="1" x="717"/>
        <item m="1" x="718"/>
        <item m="1" x="719"/>
        <item x="382"/>
        <item x="383"/>
        <item x="384"/>
        <item x="385"/>
        <item x="386"/>
        <item x="387"/>
        <item x="388"/>
        <item x="368"/>
        <item x="369"/>
        <item x="370"/>
        <item x="371"/>
        <item x="372"/>
        <item x="373"/>
        <item x="374"/>
        <item x="375"/>
        <item x="389"/>
        <item x="390"/>
        <item x="391"/>
        <item x="392"/>
        <item x="393"/>
        <item x="376"/>
        <item x="377"/>
        <item x="378"/>
        <item x="379"/>
        <item x="380"/>
        <item x="381"/>
        <item x="394"/>
        <item x="395"/>
        <item x="396"/>
        <item x="397"/>
        <item x="398"/>
        <item x="399"/>
        <item x="400"/>
        <item x="409"/>
        <item x="410"/>
        <item x="411"/>
        <item x="412"/>
        <item x="413"/>
        <item x="414"/>
        <item x="415"/>
        <item x="416"/>
        <item x="8"/>
        <item x="9"/>
        <item x="108"/>
        <item x="109"/>
        <item x="110"/>
        <item x="111"/>
        <item x="112"/>
        <item x="113"/>
        <item x="10"/>
        <item x="11"/>
        <item x="12"/>
        <item x="13"/>
        <item x="252"/>
        <item x="253"/>
        <item x="254"/>
        <item x="255"/>
        <item x="256"/>
        <item x="257"/>
        <item x="272"/>
        <item x="273"/>
        <item x="274"/>
        <item x="275"/>
        <item x="276"/>
        <item x="277"/>
        <item x="28"/>
        <item x="29"/>
        <item x="30"/>
        <item x="31"/>
        <item x="32"/>
        <item x="33"/>
        <item x="417"/>
        <item x="418"/>
        <item x="419"/>
        <item x="420"/>
        <item x="421"/>
        <item x="422"/>
        <item x="48"/>
        <item x="49"/>
        <item x="50"/>
        <item x="51"/>
        <item x="52"/>
        <item x="53"/>
        <item x="68"/>
        <item x="69"/>
        <item x="70"/>
        <item x="71"/>
        <item x="72"/>
        <item x="73"/>
        <item x="88"/>
        <item x="89"/>
        <item x="90"/>
        <item x="91"/>
        <item x="92"/>
        <item x="93"/>
        <item x="362"/>
        <item x="363"/>
        <item x="364"/>
        <item x="365"/>
        <item x="366"/>
        <item x="367"/>
        <item x="244"/>
        <item x="245"/>
        <item x="246"/>
        <item x="247"/>
        <item x="248"/>
        <item x="249"/>
        <item x="250"/>
        <item x="251"/>
        <item x="542"/>
        <item x="543"/>
        <item x="544"/>
        <item x="545"/>
        <item x="546"/>
        <item x="98"/>
        <item x="99"/>
        <item x="114"/>
        <item x="115"/>
        <item x="116"/>
        <item x="117"/>
        <item x="118"/>
        <item x="119"/>
        <item x="14"/>
        <item x="15"/>
        <item x="16"/>
        <item x="17"/>
        <item x="18"/>
        <item x="19"/>
        <item x="258"/>
        <item x="259"/>
        <item x="260"/>
        <item x="261"/>
        <item x="262"/>
        <item x="263"/>
        <item x="278"/>
        <item x="279"/>
        <item x="280"/>
        <item x="281"/>
        <item x="282"/>
        <item x="283"/>
        <item x="34"/>
        <item x="35"/>
        <item x="36"/>
        <item x="37"/>
        <item x="38"/>
        <item x="39"/>
        <item x="423"/>
        <item x="424"/>
        <item x="425"/>
        <item x="426"/>
        <item x="427"/>
        <item x="436"/>
        <item x="437"/>
        <item x="438"/>
        <item x="439"/>
        <item x="440"/>
        <item x="54"/>
        <item x="55"/>
        <item x="56"/>
        <item x="57"/>
        <item x="58"/>
        <item x="59"/>
        <item x="74"/>
        <item x="75"/>
        <item x="76"/>
        <item x="77"/>
        <item x="78"/>
        <item x="79"/>
        <item x="94"/>
        <item x="95"/>
        <item x="96"/>
        <item x="97"/>
        <item x="292"/>
        <item x="293"/>
        <item x="294"/>
        <item x="295"/>
        <item x="296"/>
        <item x="297"/>
        <item x="298"/>
        <item x="299"/>
        <item x="537"/>
        <item x="538"/>
        <item x="539"/>
        <item x="540"/>
        <item x="541"/>
        <item x="356"/>
        <item x="357"/>
        <item x="358"/>
        <item x="359"/>
        <item x="360"/>
        <item x="361"/>
        <item x="284"/>
        <item x="285"/>
        <item x="286"/>
        <item x="287"/>
        <item x="288"/>
        <item x="289"/>
        <item x="290"/>
        <item x="291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m="1" x="725"/>
        <item m="1" x="710"/>
        <item m="1" x="726"/>
        <item m="1" x="727"/>
        <item m="1" x="728"/>
        <item x="473"/>
        <item x="479"/>
        <item x="579"/>
        <item x="580"/>
        <item x="581"/>
        <item x="582"/>
        <item x="584"/>
        <item x="585"/>
        <item x="586"/>
        <item x="587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</items>
    </pivotField>
    <pivotField axis="axisPage" showAll="0">
      <items count="6">
        <item x="0"/>
        <item x="2"/>
        <item x="1"/>
        <item m="1" x="4"/>
        <item m="1" x="3"/>
        <item t="default"/>
      </items>
    </pivotField>
    <pivotField axis="axisRow" showAll="0">
      <items count="100">
        <item x="18"/>
        <item x="19"/>
        <item x="20"/>
        <item x="24"/>
        <item m="1" x="92"/>
        <item m="1" x="93"/>
        <item x="70"/>
        <item x="71"/>
        <item x="72"/>
        <item x="42"/>
        <item x="43"/>
        <item x="44"/>
        <item x="45"/>
        <item x="62"/>
        <item x="76"/>
        <item x="78"/>
        <item x="77"/>
        <item x="47"/>
        <item x="49"/>
        <item x="48"/>
        <item x="31"/>
        <item x="52"/>
        <item x="53"/>
        <item x="54"/>
        <item x="79"/>
        <item x="32"/>
        <item x="61"/>
        <item x="83"/>
        <item m="1" x="95"/>
        <item m="1" x="96"/>
        <item m="1" x="97"/>
        <item x="39"/>
        <item x="38"/>
        <item x="40"/>
        <item x="41"/>
        <item x="50"/>
        <item x="51"/>
        <item x="69"/>
        <item x="27"/>
        <item x="29"/>
        <item x="28"/>
        <item x="73"/>
        <item x="56"/>
        <item x="57"/>
        <item x="58"/>
        <item x="80"/>
        <item x="82"/>
        <item x="46"/>
        <item x="81"/>
        <item x="75"/>
        <item x="21"/>
        <item x="23"/>
        <item x="22"/>
        <item x="37"/>
        <item x="35"/>
        <item x="36"/>
        <item x="30"/>
        <item x="34"/>
        <item x="63"/>
        <item x="60"/>
        <item x="59"/>
        <item x="15"/>
        <item x="16"/>
        <item x="17"/>
        <item x="9"/>
        <item x="10"/>
        <item x="11"/>
        <item x="12"/>
        <item x="13"/>
        <item x="14"/>
        <item x="6"/>
        <item x="7"/>
        <item x="8"/>
        <item x="0"/>
        <item x="1"/>
        <item x="2"/>
        <item x="3"/>
        <item x="4"/>
        <item x="5"/>
        <item x="33"/>
        <item x="84"/>
        <item x="90"/>
        <item x="86"/>
        <item x="85"/>
        <item x="91"/>
        <item x="87"/>
        <item x="89"/>
        <item x="88"/>
        <item x="55"/>
        <item x="74"/>
        <item x="66"/>
        <item x="68"/>
        <item x="64"/>
        <item x="25"/>
        <item m="1" x="98"/>
        <item x="65"/>
        <item x="67"/>
        <item m="1" x="94"/>
        <item x="26"/>
        <item t="default"/>
      </items>
    </pivotField>
    <pivotField axis="axisRow" outline="0" showAll="0" defaultSubtotal="0">
      <items count="53">
        <item x="12"/>
        <item x="9"/>
        <item x="29"/>
        <item x="14"/>
        <item x="31"/>
        <item x="13"/>
        <item x="15"/>
        <item x="0"/>
        <item x="26"/>
        <item x="25"/>
        <item x="17"/>
        <item x="21"/>
        <item x="34"/>
        <item x="16"/>
        <item x="40"/>
        <item x="32"/>
        <item x="2"/>
        <item x="24"/>
        <item x="10"/>
        <item x="18"/>
        <item m="1" x="52"/>
        <item x="3"/>
        <item x="33"/>
        <item x="5"/>
        <item x="6"/>
        <item x="7"/>
        <item x="1"/>
        <item x="4"/>
        <item x="8"/>
        <item x="38"/>
        <item x="20"/>
        <item x="27"/>
        <item x="39"/>
        <item x="28"/>
        <item x="22"/>
        <item x="37"/>
        <item x="30"/>
        <item x="11"/>
        <item x="23"/>
        <item x="35"/>
        <item x="36"/>
        <item m="1" x="51"/>
        <item x="41"/>
        <item x="42"/>
        <item x="43"/>
        <item x="44"/>
        <item x="45"/>
        <item x="46"/>
        <item x="47"/>
        <item x="48"/>
        <item x="49"/>
        <item x="50"/>
        <item x="19"/>
      </items>
    </pivotField>
    <pivotField showAll="0"/>
    <pivotField showAll="0"/>
    <pivotField axis="axisRow" outline="0" showAll="0" sortType="descending" defaultSubtotal="0">
      <items count="19">
        <item sd="0" m="1" x="11"/>
        <item sd="0" x="7"/>
        <item x="3"/>
        <item m="1" x="17"/>
        <item sd="0" x="8"/>
        <item m="1" x="16"/>
        <item x="1"/>
        <item m="1" x="14"/>
        <item x="5"/>
        <item m="1" x="15"/>
        <item x="2"/>
        <item m="1" x="18"/>
        <item x="4"/>
        <item x="0"/>
        <item m="1" x="12"/>
        <item m="1" x="13"/>
        <item sd="0" x="10"/>
        <item sd="0" x="6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15">
        <item h="1" m="1" x="7"/>
        <item h="1" x="0"/>
        <item h="1" m="1" x="10"/>
        <item m="1" x="13"/>
        <item m="1" x="12"/>
        <item h="1" m="1" x="6"/>
        <item h="1" m="1" x="5"/>
        <item h="1" x="3"/>
        <item h="1" x="1"/>
        <item m="1" x="11"/>
        <item m="1" x="9"/>
        <item x="4"/>
        <item h="1" m="1" x="8"/>
        <item h="1" x="2"/>
        <item t="default"/>
      </items>
    </pivotField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6"/>
    <field x="0"/>
    <field x="3"/>
    <field x="2"/>
  </rowFields>
  <rowItems count="4">
    <i>
      <x v="8"/>
      <x v="422"/>
      <x v="23"/>
      <x v="46"/>
    </i>
    <i>
      <x v="12"/>
      <x v="421"/>
      <x v="27"/>
      <x v="46"/>
    </i>
    <i>
      <x v="10"/>
      <x v="424"/>
      <x v="25"/>
      <x v="46"/>
    </i>
    <i t="grand">
      <x/>
    </i>
  </rowItems>
  <colItems count="1">
    <i/>
  </colItems>
  <pageFields count="2">
    <pageField fld="10" hier="-1"/>
    <pageField fld="1" item="0" hier="-1"/>
  </pageFields>
  <dataFields count="1">
    <dataField name="Testes QTD" fld="0" subtotal="count" baseField="0" baseItem="0"/>
  </dataFields>
  <formats count="7">
    <format dxfId="76">
      <pivotArea outline="0" collapsedLevelsAreSubtotals="1" fieldPosition="0"/>
    </format>
    <format dxfId="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">
      <pivotArea dataOnly="0" labelOnly="1" outline="0" fieldPosition="0">
        <references count="2">
          <reference field="1" count="1" selected="0">
            <x v="0"/>
          </reference>
          <reference field="10" count="0"/>
        </references>
      </pivotArea>
    </format>
    <format dxfId="73">
      <pivotArea dataOnly="0" labelOnly="1" outline="0" fieldPosition="0">
        <references count="2">
          <reference field="1" count="1" selected="0">
            <x v="0"/>
          </reference>
          <reference field="10" count="0"/>
        </references>
      </pivotArea>
    </format>
    <format dxfId="72">
      <pivotArea dataOnly="0" labelOnly="1" outline="0" fieldPosition="0">
        <references count="2">
          <reference field="1" count="1" selected="0">
            <x v="0"/>
          </reference>
          <reference field="10" count="0"/>
        </references>
      </pivotArea>
    </format>
    <format dxfId="71">
      <pivotArea dataOnly="0" labelOnly="1" outline="0" fieldPosition="0">
        <references count="2">
          <reference field="1" count="1" selected="0">
            <x v="0"/>
          </reference>
          <reference field="10" count="0"/>
        </references>
      </pivotArea>
    </format>
    <format dxfId="70">
      <pivotArea dataOnly="0" labelOnly="1" outline="0" fieldPosition="0">
        <references count="2">
          <reference field="1" count="1" selected="0">
            <x v="0"/>
          </reference>
          <reference field="10" count="0"/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FFC22-1F2C-42A6-B179-EB23A9827117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sponsável">
  <location ref="H22:K26" firstHeaderRow="1" firstDataRow="1" firstDataCol="3" rowPageCount="1" colPageCount="1"/>
  <pivotFields count="27">
    <pivotField axis="axisRow" dataField="1" outline="0" showAll="0" defaultSubtotal="0">
      <items count="729">
        <item x="228"/>
        <item x="229"/>
        <item x="230"/>
        <item x="231"/>
        <item x="232"/>
        <item x="233"/>
        <item x="234"/>
        <item x="235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m="1" x="712"/>
        <item m="1" x="720"/>
        <item m="1" x="721"/>
        <item m="1" x="722"/>
        <item m="1" x="724"/>
        <item x="474"/>
        <item x="475"/>
        <item x="476"/>
        <item x="477"/>
        <item x="47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m="1" x="713"/>
        <item m="1" x="714"/>
        <item m="1" x="715"/>
        <item m="1" x="716"/>
        <item m="1" x="723"/>
        <item x="480"/>
        <item x="481"/>
        <item x="482"/>
        <item x="483"/>
        <item x="100"/>
        <item x="101"/>
        <item x="102"/>
        <item x="103"/>
        <item x="104"/>
        <item x="105"/>
        <item x="106"/>
        <item x="107"/>
        <item x="0"/>
        <item x="20"/>
        <item x="21"/>
        <item x="22"/>
        <item x="23"/>
        <item x="24"/>
        <item x="25"/>
        <item x="26"/>
        <item x="27"/>
        <item x="1"/>
        <item x="2"/>
        <item x="401"/>
        <item x="402"/>
        <item x="403"/>
        <item x="404"/>
        <item x="405"/>
        <item x="406"/>
        <item x="407"/>
        <item x="408"/>
        <item x="40"/>
        <item x="41"/>
        <item x="42"/>
        <item x="43"/>
        <item x="44"/>
        <item x="45"/>
        <item x="46"/>
        <item x="484"/>
        <item x="485"/>
        <item x="486"/>
        <item x="487"/>
        <item x="47"/>
        <item x="488"/>
        <item x="489"/>
        <item x="490"/>
        <item x="491"/>
        <item x="3"/>
        <item x="4"/>
        <item x="60"/>
        <item x="61"/>
        <item x="62"/>
        <item x="63"/>
        <item x="64"/>
        <item x="65"/>
        <item x="66"/>
        <item x="67"/>
        <item x="5"/>
        <item x="6"/>
        <item x="80"/>
        <item x="81"/>
        <item x="82"/>
        <item x="83"/>
        <item x="84"/>
        <item x="85"/>
        <item x="86"/>
        <item x="87"/>
        <item x="7"/>
        <item x="312"/>
        <item x="313"/>
        <item x="314"/>
        <item x="315"/>
        <item x="316"/>
        <item x="317"/>
        <item x="318"/>
        <item x="319"/>
        <item x="508"/>
        <item x="509"/>
        <item x="510"/>
        <item x="511"/>
        <item x="512"/>
        <item x="513"/>
        <item x="514"/>
        <item x="515"/>
        <item x="236"/>
        <item x="237"/>
        <item x="238"/>
        <item x="239"/>
        <item x="240"/>
        <item x="241"/>
        <item x="242"/>
        <item x="243"/>
        <item x="465"/>
        <item x="466"/>
        <item x="467"/>
        <item x="468"/>
        <item x="469"/>
        <item x="470"/>
        <item x="471"/>
        <item x="472"/>
        <item x="516"/>
        <item x="517"/>
        <item x="518"/>
        <item x="519"/>
        <item x="520"/>
        <item x="521"/>
        <item x="522"/>
        <item x="523"/>
        <item x="498"/>
        <item x="499"/>
        <item x="500"/>
        <item x="501"/>
        <item x="502"/>
        <item x="492"/>
        <item x="493"/>
        <item x="494"/>
        <item x="495"/>
        <item x="496"/>
        <item x="497"/>
        <item x="524"/>
        <item x="525"/>
        <item x="526"/>
        <item x="527"/>
        <item x="528"/>
        <item x="529"/>
        <item x="530"/>
        <item x="531"/>
        <item x="340"/>
        <item x="341"/>
        <item x="342"/>
        <item x="343"/>
        <item x="344"/>
        <item x="345"/>
        <item x="346"/>
        <item x="347"/>
        <item x="320"/>
        <item x="321"/>
        <item x="322"/>
        <item x="323"/>
        <item x="324"/>
        <item x="325"/>
        <item x="326"/>
        <item x="327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348"/>
        <item x="349"/>
        <item x="350"/>
        <item x="351"/>
        <item x="352"/>
        <item x="353"/>
        <item x="354"/>
        <item x="355"/>
        <item x="532"/>
        <item x="533"/>
        <item x="534"/>
        <item x="535"/>
        <item x="536"/>
        <item x="264"/>
        <item x="265"/>
        <item x="266"/>
        <item x="267"/>
        <item x="268"/>
        <item x="269"/>
        <item x="270"/>
        <item x="271"/>
        <item x="503"/>
        <item x="504"/>
        <item x="505"/>
        <item x="506"/>
        <item x="507"/>
        <item x="428"/>
        <item x="429"/>
        <item x="430"/>
        <item x="431"/>
        <item x="432"/>
        <item x="433"/>
        <item x="434"/>
        <item x="435"/>
        <item x="441"/>
        <item x="442"/>
        <item x="443"/>
        <item x="444"/>
        <item x="445"/>
        <item x="446"/>
        <item x="447"/>
        <item x="448"/>
        <item x="457"/>
        <item x="458"/>
        <item x="459"/>
        <item x="460"/>
        <item x="461"/>
        <item x="462"/>
        <item x="463"/>
        <item x="464"/>
        <item x="449"/>
        <item x="450"/>
        <item x="451"/>
        <item x="452"/>
        <item x="453"/>
        <item x="454"/>
        <item x="455"/>
        <item x="45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83"/>
        <item m="1" x="711"/>
        <item m="1" x="717"/>
        <item m="1" x="718"/>
        <item m="1" x="719"/>
        <item x="382"/>
        <item x="383"/>
        <item x="384"/>
        <item x="385"/>
        <item x="386"/>
        <item x="387"/>
        <item x="388"/>
        <item x="368"/>
        <item x="369"/>
        <item x="370"/>
        <item x="371"/>
        <item x="372"/>
        <item x="373"/>
        <item x="374"/>
        <item x="375"/>
        <item x="389"/>
        <item x="390"/>
        <item x="391"/>
        <item x="392"/>
        <item x="393"/>
        <item x="376"/>
        <item x="377"/>
        <item x="378"/>
        <item x="379"/>
        <item x="380"/>
        <item x="381"/>
        <item x="394"/>
        <item x="395"/>
        <item x="396"/>
        <item x="397"/>
        <item x="398"/>
        <item x="399"/>
        <item x="400"/>
        <item x="409"/>
        <item x="410"/>
        <item x="411"/>
        <item x="412"/>
        <item x="413"/>
        <item x="414"/>
        <item x="415"/>
        <item x="416"/>
        <item x="8"/>
        <item x="9"/>
        <item x="108"/>
        <item x="109"/>
        <item x="110"/>
        <item x="111"/>
        <item x="112"/>
        <item x="113"/>
        <item x="10"/>
        <item x="11"/>
        <item x="12"/>
        <item x="13"/>
        <item x="252"/>
        <item x="253"/>
        <item x="254"/>
        <item x="255"/>
        <item x="256"/>
        <item x="257"/>
        <item x="272"/>
        <item x="273"/>
        <item x="274"/>
        <item x="275"/>
        <item x="276"/>
        <item x="277"/>
        <item x="28"/>
        <item x="29"/>
        <item x="30"/>
        <item x="31"/>
        <item x="32"/>
        <item x="33"/>
        <item x="417"/>
        <item x="418"/>
        <item x="419"/>
        <item x="420"/>
        <item x="421"/>
        <item x="422"/>
        <item x="48"/>
        <item x="49"/>
        <item x="50"/>
        <item x="51"/>
        <item x="52"/>
        <item x="53"/>
        <item x="68"/>
        <item x="69"/>
        <item x="70"/>
        <item x="71"/>
        <item x="72"/>
        <item x="73"/>
        <item x="88"/>
        <item x="89"/>
        <item x="90"/>
        <item x="91"/>
        <item x="92"/>
        <item x="93"/>
        <item x="362"/>
        <item x="363"/>
        <item x="364"/>
        <item x="365"/>
        <item x="366"/>
        <item x="367"/>
        <item x="244"/>
        <item x="245"/>
        <item x="246"/>
        <item x="247"/>
        <item x="248"/>
        <item x="249"/>
        <item x="250"/>
        <item x="251"/>
        <item x="542"/>
        <item x="543"/>
        <item x="544"/>
        <item x="545"/>
        <item x="546"/>
        <item x="98"/>
        <item x="99"/>
        <item x="114"/>
        <item x="115"/>
        <item x="116"/>
        <item x="117"/>
        <item x="118"/>
        <item x="119"/>
        <item x="14"/>
        <item x="15"/>
        <item x="16"/>
        <item x="17"/>
        <item x="18"/>
        <item x="19"/>
        <item x="258"/>
        <item x="259"/>
        <item x="260"/>
        <item x="261"/>
        <item x="262"/>
        <item x="263"/>
        <item x="278"/>
        <item x="279"/>
        <item x="280"/>
        <item x="281"/>
        <item x="282"/>
        <item x="283"/>
        <item x="34"/>
        <item x="35"/>
        <item x="36"/>
        <item x="37"/>
        <item x="38"/>
        <item x="39"/>
        <item x="423"/>
        <item x="424"/>
        <item x="425"/>
        <item x="426"/>
        <item x="427"/>
        <item x="436"/>
        <item x="437"/>
        <item x="438"/>
        <item x="439"/>
        <item x="440"/>
        <item x="54"/>
        <item x="55"/>
        <item x="56"/>
        <item x="57"/>
        <item x="58"/>
        <item x="59"/>
        <item x="74"/>
        <item x="75"/>
        <item x="76"/>
        <item x="77"/>
        <item x="78"/>
        <item x="79"/>
        <item x="94"/>
        <item x="95"/>
        <item x="96"/>
        <item x="97"/>
        <item x="292"/>
        <item x="293"/>
        <item x="294"/>
        <item x="295"/>
        <item x="296"/>
        <item x="297"/>
        <item x="298"/>
        <item x="299"/>
        <item x="537"/>
        <item x="538"/>
        <item x="539"/>
        <item x="540"/>
        <item x="541"/>
        <item x="356"/>
        <item x="357"/>
        <item x="358"/>
        <item x="359"/>
        <item x="360"/>
        <item x="361"/>
        <item x="284"/>
        <item x="285"/>
        <item x="286"/>
        <item x="287"/>
        <item x="288"/>
        <item x="289"/>
        <item x="290"/>
        <item x="291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m="1" x="725"/>
        <item m="1" x="710"/>
        <item m="1" x="726"/>
        <item m="1" x="727"/>
        <item m="1" x="728"/>
        <item x="473"/>
        <item x="479"/>
        <item x="579"/>
        <item x="580"/>
        <item x="581"/>
        <item x="582"/>
        <item x="584"/>
        <item x="585"/>
        <item x="586"/>
        <item x="587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</items>
    </pivotField>
    <pivotField multipleItemSelectionAllowed="1" showAll="0"/>
    <pivotField showAll="0"/>
    <pivotField outline="0" showAll="0" defaultSubtotal="0"/>
    <pivotField showAll="0"/>
    <pivotField axis="axisRow" outline="0" showAll="0" defaultSubtotal="0">
      <items count="51">
        <item x="42"/>
        <item x="12"/>
        <item x="9"/>
        <item x="29"/>
        <item x="14"/>
        <item x="31"/>
        <item x="13"/>
        <item x="15"/>
        <item x="46"/>
        <item x="0"/>
        <item x="41"/>
        <item x="47"/>
        <item x="49"/>
        <item x="48"/>
        <item x="50"/>
        <item x="26"/>
        <item x="25"/>
        <item x="17"/>
        <item x="19"/>
        <item x="21"/>
        <item x="34"/>
        <item x="16"/>
        <item x="40"/>
        <item x="32"/>
        <item x="43"/>
        <item x="2"/>
        <item x="24"/>
        <item x="10"/>
        <item x="18"/>
        <item x="45"/>
        <item x="44"/>
        <item x="3"/>
        <item x="33"/>
        <item x="5"/>
        <item sd="0" x="8"/>
        <item sd="0" x="6"/>
        <item x="7"/>
        <item x="1"/>
        <item x="4"/>
        <item x="38"/>
        <item x="20"/>
        <item x="27"/>
        <item sd="0" x="39"/>
        <item x="28"/>
        <item x="22"/>
        <item x="37"/>
        <item x="30"/>
        <item x="11"/>
        <item x="23"/>
        <item x="35"/>
        <item x="36"/>
      </items>
    </pivotField>
    <pivotField outline="0" showAll="0" defaultSubtotal="0"/>
    <pivotField showAll="0"/>
    <pivotField showAll="0"/>
    <pivotField showAll="0"/>
    <pivotField axis="axisPage" multipleItemSelectionAllowed="1" showAll="0">
      <items count="15">
        <item m="1" x="7"/>
        <item m="1" x="8"/>
        <item m="1" x="12"/>
        <item h="1" x="4"/>
        <item m="1" x="11"/>
        <item x="3"/>
        <item h="1" x="0"/>
        <item m="1" x="9"/>
        <item h="1" m="1" x="5"/>
        <item m="1" x="13"/>
        <item x="1"/>
        <item h="1" x="2"/>
        <item h="1" m="1" x="6"/>
        <item m="1" x="1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7"/>
        <item x="3"/>
        <item x="6"/>
        <item x="1"/>
        <item x="5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0"/>
    <field x="16"/>
  </rowFields>
  <rowItems count="4">
    <i>
      <x v="31"/>
      <x v="420"/>
      <x v="5"/>
    </i>
    <i>
      <x v="35"/>
    </i>
    <i>
      <x v="42"/>
    </i>
    <i t="grand">
      <x/>
    </i>
  </rowItems>
  <colItems count="1">
    <i/>
  </colItems>
  <pageFields count="1">
    <pageField fld="10" hier="-1"/>
  </pageFields>
  <dataFields count="1">
    <dataField name="Contagem de ID" fld="0" subtotal="count" baseField="0" baseItem="0"/>
  </dataFields>
  <formats count="5">
    <format dxfId="81">
      <pivotArea outline="0" collapsedLevelsAreSubtotals="1" fieldPosition="0"/>
    </format>
    <format dxfId="80">
      <pivotArea dataOnly="0" labelOnly="1" outline="0" fieldPosition="0">
        <references count="1">
          <reference field="10" count="0"/>
        </references>
      </pivotArea>
    </format>
    <format dxfId="79">
      <pivotArea dataOnly="0" labelOnly="1" outline="0" fieldPosition="0">
        <references count="1">
          <reference field="10" count="0"/>
        </references>
      </pivotArea>
    </format>
    <format dxfId="78">
      <pivotArea dataOnly="0" labelOnly="1" outline="0" fieldPosition="0">
        <references count="1">
          <reference field="10" count="0"/>
        </references>
      </pivotArea>
    </format>
    <format dxfId="77">
      <pivotArea dataOnly="0" labelOnly="1" outline="0" fieldPosition="0">
        <references count="1">
          <reference field="10" count="0"/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6BDB9-D378-4AEF-B1DB-287AC6F67516}" name="Tabela dinâmica2" cacheId="4" applyNumberFormats="0" applyBorderFormats="0" applyFontFormats="0" applyPatternFormats="0" applyAlignmentFormats="0" applyWidthHeightFormats="1" dataCaption="Valores" updatedVersion="8" minRefreshableVersion="3" preserveFormatting="0" itemPrintTitles="1" createdVersion="8" indent="0" outline="1" outlineData="1" multipleFieldFilters="0" rowHeaderCaption="Responsável">
  <location ref="A140:C141" firstHeaderRow="1" firstDataRow="1" firstDataCol="2" rowPageCount="1" colPageCount="1"/>
  <pivotFields count="27">
    <pivotField dataField="1" showAll="0"/>
    <pivotField showAll="0"/>
    <pivotField showAll="0"/>
    <pivotField showAll="0"/>
    <pivotField showAll="0"/>
    <pivotField showAll="0"/>
    <pivotField axis="axisRow" outline="0" showAll="0" defaultSubtotal="0">
      <items count="19">
        <item m="1" x="11"/>
        <item x="7"/>
        <item x="3"/>
        <item m="1" x="17"/>
        <item x="8"/>
        <item m="1" x="16"/>
        <item x="1"/>
        <item m="1" x="14"/>
        <item x="5"/>
        <item m="1" x="15"/>
        <item x="2"/>
        <item m="1" x="18"/>
        <item x="4"/>
        <item x="0"/>
        <item m="1" x="12"/>
        <item m="1" x="13"/>
        <item x="10"/>
        <item x="6"/>
        <item x="9"/>
      </items>
    </pivotField>
    <pivotField showAll="0"/>
    <pivotField showAll="0"/>
    <pivotField showAll="0"/>
    <pivotField axis="axisPage" multipleItemSelectionAllowed="1" showAll="0">
      <items count="15">
        <item m="1" x="7"/>
        <item h="1" x="0"/>
        <item h="1" m="1" x="10"/>
        <item m="1" x="13"/>
        <item m="1" x="12"/>
        <item h="1" m="1" x="6"/>
        <item h="1" m="1" x="5"/>
        <item h="1" x="3"/>
        <item h="1" x="1"/>
        <item h="1" m="1" x="11"/>
        <item m="1" x="9"/>
        <item h="1" x="4"/>
        <item h="1" m="1" x="8"/>
        <item h="1" x="2"/>
        <item t="default"/>
      </items>
    </pivotField>
    <pivotField showAll="0"/>
    <pivotField showAll="0"/>
    <pivotField showAll="0"/>
    <pivotField axis="axisRow" showAll="0">
      <items count="164">
        <item m="1" x="161"/>
        <item m="1" x="156"/>
        <item m="1" x="157"/>
        <item m="1" x="158"/>
        <item m="1" x="160"/>
        <item x="46"/>
        <item x="51"/>
        <item x="54"/>
        <item m="1" x="159"/>
        <item m="1" x="152"/>
        <item x="0"/>
        <item m="1" x="162"/>
        <item m="1" x="153"/>
        <item m="1" x="154"/>
        <item m="1" x="151"/>
        <item m="1" x="121"/>
        <item m="1" x="126"/>
        <item m="1" x="144"/>
        <item m="1" x="155"/>
        <item m="1" x="116"/>
        <item x="49"/>
        <item x="53"/>
        <item m="1" x="150"/>
        <item x="56"/>
        <item m="1" x="141"/>
        <item m="1" x="147"/>
        <item m="1" x="142"/>
        <item m="1" x="127"/>
        <item m="1" x="148"/>
        <item x="57"/>
        <item m="1" x="124"/>
        <item m="1" x="149"/>
        <item m="1" x="125"/>
        <item m="1" x="130"/>
        <item m="1" x="131"/>
        <item m="1" x="137"/>
        <item x="59"/>
        <item m="1" x="117"/>
        <item m="1" x="90"/>
        <item x="50"/>
        <item m="1" x="146"/>
        <item m="1" x="145"/>
        <item m="1" x="129"/>
        <item m="1" x="143"/>
        <item x="39"/>
        <item m="1" x="138"/>
        <item x="11"/>
        <item x="1"/>
        <item x="21"/>
        <item x="23"/>
        <item x="3"/>
        <item x="5"/>
        <item x="7"/>
        <item x="9"/>
        <item x="12"/>
        <item x="2"/>
        <item m="1" x="139"/>
        <item m="1" x="140"/>
        <item x="4"/>
        <item x="6"/>
        <item x="8"/>
        <item x="10"/>
        <item m="1" x="136"/>
        <item x="22"/>
        <item x="24"/>
        <item m="1" x="132"/>
        <item m="1" x="122"/>
        <item m="1" x="134"/>
        <item m="1" x="133"/>
        <item m="1" x="135"/>
        <item m="1" x="120"/>
        <item m="1" x="109"/>
        <item m="1" x="128"/>
        <item m="1" x="123"/>
        <item x="18"/>
        <item m="1" x="119"/>
        <item x="40"/>
        <item x="47"/>
        <item x="41"/>
        <item m="1" x="118"/>
        <item x="55"/>
        <item m="1" x="113"/>
        <item m="1" x="115"/>
        <item m="1" x="114"/>
        <item m="1" x="112"/>
        <item m="1" x="91"/>
        <item m="1" x="105"/>
        <item x="44"/>
        <item x="45"/>
        <item m="1" x="106"/>
        <item m="1" x="111"/>
        <item x="43"/>
        <item m="1" x="108"/>
        <item m="1" x="110"/>
        <item x="42"/>
        <item m="1" x="100"/>
        <item m="1" x="101"/>
        <item x="48"/>
        <item m="1" x="92"/>
        <item m="1" x="103"/>
        <item x="15"/>
        <item m="1" x="107"/>
        <item m="1" x="89"/>
        <item x="14"/>
        <item x="19"/>
        <item m="1" x="104"/>
        <item m="1" x="93"/>
        <item m="1" x="83"/>
        <item m="1" x="62"/>
        <item m="1" x="88"/>
        <item m="1" x="94"/>
        <item m="1" x="102"/>
        <item x="20"/>
        <item m="1" x="84"/>
        <item m="1" x="82"/>
        <item x="60"/>
        <item m="1" x="85"/>
        <item m="1" x="99"/>
        <item m="1" x="98"/>
        <item m="1" x="95"/>
        <item m="1" x="87"/>
        <item m="1" x="97"/>
        <item m="1" x="96"/>
        <item m="1" x="75"/>
        <item x="52"/>
        <item m="1" x="86"/>
        <item m="1" x="73"/>
        <item m="1" x="81"/>
        <item m="1" x="68"/>
        <item m="1" x="76"/>
        <item m="1" x="80"/>
        <item m="1" x="70"/>
        <item m="1" x="79"/>
        <item m="1" x="78"/>
        <item x="16"/>
        <item x="33"/>
        <item x="36"/>
        <item x="30"/>
        <item m="1" x="71"/>
        <item x="31"/>
        <item m="1" x="77"/>
        <item m="1" x="74"/>
        <item m="1" x="72"/>
        <item m="1" x="67"/>
        <item x="32"/>
        <item x="25"/>
        <item m="1" x="69"/>
        <item m="1" x="63"/>
        <item x="13"/>
        <item m="1" x="65"/>
        <item m="1" x="66"/>
        <item x="34"/>
        <item x="28"/>
        <item x="29"/>
        <item x="37"/>
        <item x="17"/>
        <item x="35"/>
        <item x="26"/>
        <item x="27"/>
        <item m="1" x="64"/>
        <item x="38"/>
        <item m="1" x="61"/>
        <item x="5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14"/>
  </rowFields>
  <rowItems count="1">
    <i t="grand">
      <x/>
    </i>
  </rowItems>
  <colItems count="1">
    <i/>
  </colItems>
  <pageFields count="1">
    <pageField fld="10" hier="-1"/>
  </pageFields>
  <dataFields count="1">
    <dataField name="Testes QTD" fld="0" subtotal="count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B7DF4-2FC5-4D01-B15D-A9739D0B41F9}" name="Tabela dinâmica7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3:G66" firstHeaderRow="1" firstDataRow="1" firstDataCol="1" rowPageCount="1" colPageCount="1"/>
  <pivotFields count="12">
    <pivotField dataField="1" showAll="0"/>
    <pivotField showAll="0"/>
    <pivotField axis="axisRow" showAll="0">
      <items count="22">
        <item x="4"/>
        <item x="6"/>
        <item x="1"/>
        <item x="0"/>
        <item x="15"/>
        <item x="16"/>
        <item x="14"/>
        <item x="11"/>
        <item x="3"/>
        <item x="8"/>
        <item x="5"/>
        <item x="9"/>
        <item x="10"/>
        <item x="2"/>
        <item x="7"/>
        <item x="12"/>
        <item x="13"/>
        <item m="1" x="20"/>
        <item x="17"/>
        <item x="18"/>
        <item x="19"/>
        <item t="default"/>
      </items>
    </pivotField>
    <pivotField axis="axisRow" showAll="0" sortType="descending">
      <items count="13">
        <item m="1" x="10"/>
        <item x="5"/>
        <item x="3"/>
        <item x="7"/>
        <item sd="0" x="0"/>
        <item sd="0" x="1"/>
        <item sd="0" x="2"/>
        <item x="6"/>
        <item x="8"/>
        <item m="1" x="11"/>
        <item m="1"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9">
        <item h="1" x="3"/>
        <item h="1" m="1" x="6"/>
        <item h="1" x="0"/>
        <item h="1" x="5"/>
        <item m="1" x="7"/>
        <item x="4"/>
        <item h="1" x="1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2">
    <field x="3"/>
    <field x="2"/>
  </rowFields>
  <rowItems count="13">
    <i>
      <x v="8"/>
    </i>
    <i r="1">
      <x v="4"/>
    </i>
    <i r="1">
      <x v="6"/>
    </i>
    <i r="1">
      <x v="18"/>
    </i>
    <i r="1">
      <x v="19"/>
    </i>
    <i r="1">
      <x v="20"/>
    </i>
    <i>
      <x v="7"/>
    </i>
    <i r="1">
      <x v="9"/>
    </i>
    <i>
      <x v="3"/>
    </i>
    <i r="1">
      <x v="12"/>
    </i>
    <i>
      <x v="2"/>
    </i>
    <i r="1">
      <x v="5"/>
    </i>
    <i t="grand">
      <x/>
    </i>
  </rowItems>
  <colItems count="1">
    <i/>
  </colItems>
  <pageFields count="1">
    <pageField fld="6" hier="-1"/>
  </pageFields>
  <dataFields count="1">
    <dataField name="Contagem de ID" fld="0" subtotal="count" baseField="0" baseItem="0"/>
  </dataFields>
  <formats count="1">
    <format dxfId="47">
      <pivotArea dataOnly="0" labelOnly="1" outline="0" fieldPosition="0">
        <references count="1">
          <reference field="6" count="0"/>
        </references>
      </pivotArea>
    </format>
  </formats>
  <conditionalFormats count="1">
    <conditionalFormat priority="3">
      <pivotAreas count="9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4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EAD3F-1FB4-4926-8DB9-3BA8D9F5BA4A}" name="Tabela dinâ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3:D60" firstHeaderRow="1" firstDataRow="1" firstDataCol="3" rowPageCount="1" colPageCount="1"/>
  <pivotFields count="12">
    <pivotField axis="axisRow" dataField="1" outline="0" showAll="0" defaultSubtotal="0">
      <items count="254">
        <item m="1" x="253"/>
        <item x="55"/>
        <item x="56"/>
        <item x="57"/>
        <item x="58"/>
        <item x="59"/>
        <item x="60"/>
        <item x="61"/>
        <item x="62"/>
        <item x="63"/>
        <item x="64"/>
        <item x="65"/>
        <item x="11"/>
        <item x="12"/>
        <item x="13"/>
        <item x="14"/>
        <item x="15"/>
        <item x="16"/>
        <item x="17"/>
        <item x="18"/>
        <item x="19"/>
        <item x="20"/>
        <item x="21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x="8"/>
        <item x="9"/>
        <item x="10"/>
        <item x="0"/>
        <item x="1"/>
        <item x="2"/>
        <item x="3"/>
        <item x="4"/>
        <item x="5"/>
        <item x="6"/>
        <item x="7"/>
        <item m="1" x="220"/>
        <item m="1" x="221"/>
        <item m="1" x="222"/>
        <item m="1" x="223"/>
        <item m="1" x="224"/>
        <item m="1" x="225"/>
        <item m="1" x="226"/>
        <item m="1" x="227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34"/>
        <item m="1" x="235"/>
        <item m="1" x="236"/>
        <item m="1" x="237"/>
        <item m="1" x="186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x="33"/>
        <item x="34"/>
        <item x="35"/>
        <item x="36"/>
        <item x="37"/>
        <item x="38"/>
        <item x="39"/>
        <item x="40"/>
        <item x="41"/>
        <item x="42"/>
        <item x="43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228"/>
        <item m="1" x="229"/>
        <item m="1" x="230"/>
        <item m="1" x="231"/>
        <item m="1" x="232"/>
        <item m="1" x="233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38"/>
        <item m="1" x="239"/>
        <item m="1" x="240"/>
        <item m="1" x="241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</items>
    </pivotField>
    <pivotField axis="axisRow" outline="0" showAll="0" defaultSubtotal="0">
      <items count="25">
        <item x="5"/>
        <item x="1"/>
        <item x="4"/>
        <item x="8"/>
        <item x="0"/>
        <item x="12"/>
        <item m="1" x="23"/>
        <item x="17"/>
        <item x="7"/>
        <item x="3"/>
        <item m="1" x="22"/>
        <item x="11"/>
        <item x="10"/>
        <item x="2"/>
        <item x="14"/>
        <item m="1" x="18"/>
        <item x="16"/>
        <item m="1" x="19"/>
        <item m="1" x="20"/>
        <item m="1" x="21"/>
        <item x="9"/>
        <item m="1" x="24"/>
        <item x="6"/>
        <item x="13"/>
        <item x="15"/>
      </items>
    </pivotField>
    <pivotField axis="axisRow" showAll="0">
      <items count="22">
        <item x="4"/>
        <item x="6"/>
        <item x="1"/>
        <item x="0"/>
        <item x="15"/>
        <item x="16"/>
        <item x="14"/>
        <item x="11"/>
        <item x="3"/>
        <item x="8"/>
        <item x="5"/>
        <item x="9"/>
        <item x="10"/>
        <item x="2"/>
        <item x="7"/>
        <item x="12"/>
        <item x="13"/>
        <item m="1" x="20"/>
        <item x="17"/>
        <item x="18"/>
        <item x="19"/>
        <item t="default"/>
      </items>
    </pivotField>
    <pivotField axis="axisRow" showAll="0" sortType="descending">
      <items count="13">
        <item m="1" x="10"/>
        <item x="5"/>
        <item x="3"/>
        <item x="7"/>
        <item sd="0" x="0"/>
        <item sd="0" x="1"/>
        <item sd="0" x="2"/>
        <item x="6"/>
        <item sd="0" x="8"/>
        <item m="1" x="11"/>
        <item m="1"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9">
        <item h="1" x="3"/>
        <item h="1" m="1" x="6"/>
        <item h="1" x="0"/>
        <item x="5"/>
        <item m="1" x="7"/>
        <item h="1" x="4"/>
        <item h="1" x="1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4">
    <field x="3"/>
    <field x="0"/>
    <field x="1"/>
    <field x="2"/>
  </rowFields>
  <rowItems count="7">
    <i>
      <x v="3"/>
    </i>
    <i r="1">
      <x v="198"/>
      <x v="8"/>
      <x v="12"/>
    </i>
    <i r="1">
      <x v="220"/>
      <x v="20"/>
      <x v="12"/>
    </i>
    <i r="1">
      <x v="231"/>
      <x v="12"/>
      <x v="12"/>
    </i>
    <i>
      <x v="2"/>
    </i>
    <i r="1">
      <x v="246"/>
      <x v="7"/>
      <x v="16"/>
    </i>
    <i t="grand">
      <x/>
    </i>
  </rowItems>
  <colItems count="1">
    <i/>
  </colItems>
  <pageFields count="1">
    <pageField fld="6" hier="-1"/>
  </pageFields>
  <dataFields count="1">
    <dataField name="Contagem de ID" fld="0" subtotal="count" baseField="0" baseItem="0"/>
  </dataFields>
  <formats count="1">
    <format dxfId="48">
      <pivotArea dataOnly="0" labelOnly="1" outline="0" fieldPosition="0">
        <references count="1">
          <reference field="6" count="0"/>
        </references>
      </pivotArea>
    </format>
  </formats>
  <conditionalFormats count="1">
    <conditionalFormat priority="4">
      <pivotAreas count="9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4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0708F-E7C0-42F7-950E-D7B8F01797FF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sponsável">
  <location ref="F16:H23" firstHeaderRow="0" firstDataRow="1" firstDataCol="1"/>
  <pivotFields count="12"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0"/>
        <item m="1" x="7"/>
        <item x="5"/>
        <item x="3"/>
        <item m="1" x="6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2"/>
    </i>
    <i>
      <x v="3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estes QTD" fld="0" subtotal="count" baseField="0" baseItem="0"/>
    <dataField name="Testes %" fld="0" subtotal="count" showDataAs="percentOfTotal" baseField="6" baseItem="0" numFmtId="165"/>
  </dataFields>
  <formats count="1">
    <format dxfId="49">
      <pivotArea dataOnly="0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4CB3A-CE25-414D-8E32-B9B9166109D7}" name="Tabela dinâmica9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93:J97" firstHeaderRow="1" firstDataRow="1" firstDataCol="4" rowPageCount="1" colPageCount="1"/>
  <pivotFields count="12">
    <pivotField axis="axisRow" dataField="1" outline="0" showAll="0" defaultSubtotal="0">
      <items count="254">
        <item m="1" x="253"/>
        <item x="55"/>
        <item x="56"/>
        <item x="57"/>
        <item x="58"/>
        <item x="59"/>
        <item x="60"/>
        <item x="61"/>
        <item x="62"/>
        <item x="63"/>
        <item x="64"/>
        <item x="65"/>
        <item x="11"/>
        <item x="12"/>
        <item x="13"/>
        <item x="14"/>
        <item x="15"/>
        <item x="16"/>
        <item x="17"/>
        <item x="18"/>
        <item x="19"/>
        <item x="20"/>
        <item x="21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x="8"/>
        <item x="9"/>
        <item x="10"/>
        <item x="0"/>
        <item x="1"/>
        <item x="2"/>
        <item x="3"/>
        <item x="4"/>
        <item x="5"/>
        <item x="6"/>
        <item x="7"/>
        <item m="1" x="220"/>
        <item m="1" x="221"/>
        <item m="1" x="222"/>
        <item m="1" x="223"/>
        <item m="1" x="224"/>
        <item m="1" x="225"/>
        <item m="1" x="226"/>
        <item m="1" x="227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34"/>
        <item m="1" x="235"/>
        <item m="1" x="236"/>
        <item m="1" x="237"/>
        <item m="1" x="186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x="33"/>
        <item x="34"/>
        <item x="35"/>
        <item x="36"/>
        <item x="37"/>
        <item x="38"/>
        <item x="39"/>
        <item x="40"/>
        <item x="41"/>
        <item x="42"/>
        <item x="43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228"/>
        <item m="1" x="229"/>
        <item m="1" x="230"/>
        <item m="1" x="231"/>
        <item m="1" x="232"/>
        <item m="1" x="233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38"/>
        <item m="1" x="239"/>
        <item m="1" x="240"/>
        <item m="1" x="241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</items>
    </pivotField>
    <pivotField axis="axisRow" outline="0" showAll="0" defaultSubtotal="0">
      <items count="25">
        <item x="5"/>
        <item x="1"/>
        <item x="4"/>
        <item x="8"/>
        <item x="0"/>
        <item x="12"/>
        <item m="1" x="23"/>
        <item x="17"/>
        <item x="7"/>
        <item x="3"/>
        <item m="1" x="22"/>
        <item x="11"/>
        <item x="10"/>
        <item x="2"/>
        <item x="14"/>
        <item m="1" x="18"/>
        <item x="16"/>
        <item m="1" x="19"/>
        <item m="1" x="20"/>
        <item m="1" x="21"/>
        <item x="9"/>
        <item m="1" x="24"/>
        <item x="6"/>
        <item x="13"/>
        <item x="15"/>
      </items>
    </pivotField>
    <pivotField outline="0" showAll="0" defaultSubtotal="0"/>
    <pivotField axis="axisRow" showAll="0" sortType="descending">
      <items count="13">
        <item sd="0" m="1" x="10"/>
        <item x="5"/>
        <item sd="0" x="3"/>
        <item sd="0" x="7"/>
        <item sd="0" x="0"/>
        <item sd="0" x="1"/>
        <item x="2"/>
        <item sd="0" x="6"/>
        <item sd="0" x="8"/>
        <item m="1" x="11"/>
        <item m="1"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9">
        <item x="3"/>
        <item h="1" m="1" x="6"/>
        <item h="1" x="0"/>
        <item h="1" x="5"/>
        <item m="1" x="7"/>
        <item h="1" x="4"/>
        <item h="1" x="1"/>
        <item h="1" x="2"/>
        <item t="default"/>
      </items>
    </pivotField>
    <pivotField showAll="0"/>
    <pivotField showAll="0"/>
    <pivotField showAll="0"/>
    <pivotField axis="axisRow" outline="0" showAll="0" defaultSubtotal="0">
      <items count="42">
        <item m="1" x="35"/>
        <item m="1" x="33"/>
        <item m="1" x="41"/>
        <item m="1" x="38"/>
        <item m="1" x="40"/>
        <item m="1" x="34"/>
        <item m="1" x="36"/>
        <item m="1" x="39"/>
        <item x="0"/>
        <item m="1" x="37"/>
        <item m="1" x="31"/>
        <item m="1" x="32"/>
        <item m="1" x="28"/>
        <item m="1" x="29"/>
        <item m="1" x="30"/>
        <item x="1"/>
        <item x="3"/>
        <item m="1" x="25"/>
        <item x="4"/>
        <item x="6"/>
        <item x="7"/>
        <item x="8"/>
        <item m="1" x="26"/>
        <item m="1" x="27"/>
        <item x="10"/>
        <item x="12"/>
        <item x="13"/>
        <item x="14"/>
        <item x="17"/>
        <item x="18"/>
        <item x="21"/>
        <item x="19"/>
        <item x="2"/>
        <item x="11"/>
        <item x="20"/>
        <item x="5"/>
        <item x="16"/>
        <item m="1" x="24"/>
        <item m="1" x="22"/>
        <item m="1" x="23"/>
        <item x="9"/>
        <item x="15"/>
      </items>
    </pivotField>
    <pivotField showAll="0"/>
  </pivotFields>
  <rowFields count="4">
    <field x="0"/>
    <field x="1"/>
    <field x="10"/>
    <field x="3"/>
  </rowFields>
  <rowItems count="4">
    <i>
      <x v="184"/>
      <x v="22"/>
      <x v="33"/>
      <x v="1"/>
    </i>
    <i>
      <x v="228"/>
      <x v="12"/>
      <x v="36"/>
      <x v="1"/>
    </i>
    <i>
      <x v="236"/>
      <x v="5"/>
      <x v="34"/>
      <x v="1"/>
    </i>
    <i t="grand">
      <x/>
    </i>
  </rowItems>
  <colItems count="1">
    <i/>
  </colItems>
  <pageFields count="1">
    <pageField fld="6" hier="-1"/>
  </pageFields>
  <dataFields count="1">
    <dataField name="Contagem de ID" fld="0" subtotal="count" baseField="0" baseItem="0"/>
  </dataFields>
  <formats count="2">
    <format dxfId="51">
      <pivotArea dataOnly="0" labelOnly="1" outline="0" fieldPosition="0">
        <references count="1">
          <reference field="6" count="0"/>
        </references>
      </pivotArea>
    </format>
    <format dxfId="50">
      <pivotArea dataOnly="0" labelOnly="1" fieldPosition="0">
        <references count="2">
          <reference field="0" count="2">
            <x v="14"/>
            <x v="82"/>
          </reference>
          <reference field="3" count="1" selected="0">
            <x v="6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9029F-5D5B-42E1-B2AE-A990E1FDB4BF}" name="Tabela dinâ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2:H34" firstHeaderRow="1" firstDataRow="1" firstDataCol="2" rowPageCount="1" colPageCount="1"/>
  <pivotFields count="12">
    <pivotField axis="axisRow" dataField="1" outline="0" showAll="0" defaultSubtotal="0">
      <items count="254">
        <item m="1" x="253"/>
        <item x="55"/>
        <item x="56"/>
        <item x="57"/>
        <item x="58"/>
        <item x="59"/>
        <item x="60"/>
        <item x="61"/>
        <item x="62"/>
        <item x="63"/>
        <item x="64"/>
        <item x="65"/>
        <item x="11"/>
        <item x="12"/>
        <item x="13"/>
        <item x="14"/>
        <item x="15"/>
        <item x="16"/>
        <item x="17"/>
        <item x="18"/>
        <item x="19"/>
        <item x="20"/>
        <item x="21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x="8"/>
        <item x="9"/>
        <item x="10"/>
        <item x="0"/>
        <item x="1"/>
        <item x="2"/>
        <item x="3"/>
        <item x="4"/>
        <item x="5"/>
        <item x="6"/>
        <item x="7"/>
        <item m="1" x="220"/>
        <item m="1" x="221"/>
        <item m="1" x="222"/>
        <item m="1" x="223"/>
        <item m="1" x="224"/>
        <item m="1" x="225"/>
        <item m="1" x="226"/>
        <item m="1" x="227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34"/>
        <item m="1" x="235"/>
        <item m="1" x="236"/>
        <item m="1" x="237"/>
        <item m="1" x="186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x="33"/>
        <item x="34"/>
        <item x="35"/>
        <item x="36"/>
        <item x="37"/>
        <item x="38"/>
        <item x="39"/>
        <item x="40"/>
        <item x="41"/>
        <item x="42"/>
        <item x="43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228"/>
        <item m="1" x="229"/>
        <item m="1" x="230"/>
        <item m="1" x="231"/>
        <item m="1" x="232"/>
        <item m="1" x="233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38"/>
        <item m="1" x="239"/>
        <item m="1" x="240"/>
        <item m="1" x="241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</items>
    </pivotField>
    <pivotField axis="axisRow" outline="0" showAll="0" defaultSubtotal="0">
      <items count="25">
        <item x="5"/>
        <item x="1"/>
        <item x="4"/>
        <item x="8"/>
        <item x="0"/>
        <item x="12"/>
        <item m="1" x="23"/>
        <item x="17"/>
        <item x="7"/>
        <item x="3"/>
        <item m="1" x="22"/>
        <item x="11"/>
        <item x="10"/>
        <item x="2"/>
        <item x="14"/>
        <item m="1" x="18"/>
        <item x="16"/>
        <item m="1" x="19"/>
        <item m="1" x="20"/>
        <item m="1" x="21"/>
        <item x="9"/>
        <item m="1" x="24"/>
        <item x="6"/>
        <item x="13"/>
        <item x="15"/>
      </items>
    </pivotField>
    <pivotField axis="axisRow" showAll="0">
      <items count="22">
        <item x="4"/>
        <item x="6"/>
        <item x="1"/>
        <item x="0"/>
        <item x="15"/>
        <item x="16"/>
        <item x="14"/>
        <item x="11"/>
        <item x="3"/>
        <item x="8"/>
        <item x="5"/>
        <item sd="0" x="9"/>
        <item x="10"/>
        <item x="2"/>
        <item x="7"/>
        <item x="12"/>
        <item x="13"/>
        <item m="1" x="20"/>
        <item x="17"/>
        <item x="18"/>
        <item x="19"/>
        <item t="default"/>
      </items>
    </pivotField>
    <pivotField axis="axisRow" showAll="0" sortType="descending">
      <items count="13">
        <item m="1" x="10"/>
        <item sd="0" x="5"/>
        <item x="3"/>
        <item x="7"/>
        <item sd="0" x="0"/>
        <item sd="0" x="1"/>
        <item sd="0" x="2"/>
        <item x="6"/>
        <item sd="0" x="8"/>
        <item m="1" x="11"/>
        <item m="1"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9">
        <item h="1" x="3"/>
        <item h="1" m="1" x="6"/>
        <item h="1" x="0"/>
        <item h="1" x="5"/>
        <item m="1" x="7"/>
        <item h="1" x="4"/>
        <item x="1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4">
    <field x="2"/>
    <field x="1"/>
    <field x="3"/>
    <field x="0"/>
  </rowFields>
  <rowItems count="2">
    <i>
      <x v="11"/>
    </i>
    <i t="grand">
      <x/>
    </i>
  </rowItems>
  <colItems count="1">
    <i/>
  </colItems>
  <pageFields count="1">
    <pageField fld="6" hier="-1"/>
  </pageFields>
  <dataFields count="1">
    <dataField name="Contagem de ID" fld="0" subtotal="count" baseField="0" baseItem="0"/>
  </dataFields>
  <formats count="1">
    <format dxfId="52">
      <pivotArea dataOnly="0" labelOnly="1" outline="0" fieldPosition="0">
        <references count="1">
          <reference field="6" count="0"/>
        </references>
      </pivotArea>
    </format>
  </formats>
  <conditionalFormats count="1">
    <conditionalFormat priority="1">
      <pivotAreas count="9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4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419FC-6ED1-4696-85DA-BE24E15BFE5D}" name="Tabela dinâmica8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3:C98" firstHeaderRow="1" firstDataRow="1" firstDataCol="2" rowPageCount="1" colPageCount="1"/>
  <pivotFields count="12">
    <pivotField axis="axisRow" dataField="1" outline="0" showAll="0" defaultSubtotal="0">
      <items count="254">
        <item m="1" x="253"/>
        <item x="55"/>
        <item x="56"/>
        <item x="57"/>
        <item x="58"/>
        <item x="59"/>
        <item x="60"/>
        <item x="61"/>
        <item x="62"/>
        <item x="63"/>
        <item x="64"/>
        <item x="65"/>
        <item x="11"/>
        <item x="12"/>
        <item x="13"/>
        <item x="14"/>
        <item x="15"/>
        <item x="16"/>
        <item x="17"/>
        <item x="18"/>
        <item x="19"/>
        <item x="20"/>
        <item x="21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x="8"/>
        <item x="9"/>
        <item x="10"/>
        <item x="0"/>
        <item x="1"/>
        <item x="2"/>
        <item x="3"/>
        <item x="4"/>
        <item x="5"/>
        <item x="6"/>
        <item x="7"/>
        <item m="1" x="220"/>
        <item m="1" x="221"/>
        <item m="1" x="222"/>
        <item m="1" x="223"/>
        <item m="1" x="224"/>
        <item m="1" x="225"/>
        <item m="1" x="226"/>
        <item m="1" x="227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34"/>
        <item m="1" x="235"/>
        <item m="1" x="236"/>
        <item m="1" x="237"/>
        <item m="1" x="186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x="33"/>
        <item x="34"/>
        <item x="35"/>
        <item x="36"/>
        <item x="37"/>
        <item x="38"/>
        <item x="39"/>
        <item x="40"/>
        <item x="41"/>
        <item x="42"/>
        <item x="43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228"/>
        <item m="1" x="229"/>
        <item m="1" x="230"/>
        <item m="1" x="231"/>
        <item m="1" x="232"/>
        <item m="1" x="233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38"/>
        <item m="1" x="239"/>
        <item m="1" x="240"/>
        <item m="1" x="241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</items>
    </pivotField>
    <pivotField showAll="0"/>
    <pivotField axis="axisRow" showAll="0">
      <items count="22">
        <item x="4"/>
        <item x="6"/>
        <item x="1"/>
        <item x="0"/>
        <item x="15"/>
        <item x="16"/>
        <item x="14"/>
        <item x="11"/>
        <item x="3"/>
        <item x="8"/>
        <item x="5"/>
        <item x="9"/>
        <item x="10"/>
        <item x="2"/>
        <item x="7"/>
        <item x="12"/>
        <item x="13"/>
        <item m="1" x="20"/>
        <item x="17"/>
        <item x="18"/>
        <item x="19"/>
        <item t="default"/>
      </items>
    </pivotField>
    <pivotField axis="axisRow" showAll="0">
      <items count="13">
        <item sd="0" m="1" x="10"/>
        <item x="5"/>
        <item sd="0" x="3"/>
        <item sd="0" x="7"/>
        <item x="0"/>
        <item x="1"/>
        <item sd="0" x="2"/>
        <item sd="0" x="6"/>
        <item sd="0" x="8"/>
        <item m="1" x="11"/>
        <item m="1" x="9"/>
        <item x="4"/>
        <item t="default"/>
      </items>
    </pivotField>
    <pivotField showAll="0"/>
    <pivotField showAll="0"/>
    <pivotField axis="axisPage" multipleItemSelectionAllowed="1" showAll="0">
      <items count="9">
        <item x="3"/>
        <item m="1" x="6"/>
        <item h="1" x="0"/>
        <item h="1" x="5"/>
        <item m="1" x="7"/>
        <item h="1" x="4"/>
        <item h="1" x="1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3">
    <field x="3"/>
    <field x="0"/>
    <field x="2"/>
  </rowFields>
  <rowItems count="5">
    <i>
      <x v="1"/>
    </i>
    <i r="1">
      <x v="184"/>
      <x v="14"/>
    </i>
    <i r="1">
      <x v="228"/>
      <x v="14"/>
    </i>
    <i r="1">
      <x v="236"/>
      <x v="14"/>
    </i>
    <i t="grand">
      <x/>
    </i>
  </rowItems>
  <colItems count="1">
    <i/>
  </colItems>
  <pageFields count="1">
    <pageField fld="6" hier="-1"/>
  </pageFields>
  <dataFields count="1">
    <dataField name="Contagem de ID" fld="0" subtotal="count" baseField="0" baseItem="0"/>
  </dataFields>
  <formats count="1">
    <format dxfId="53">
      <pivotArea dataOnly="0" labelOnly="1" outline="0" fieldPosition="0">
        <references count="1">
          <reference field="6" count="0"/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5DB53-BF1A-4507-A48A-1EBE180F081F}" name="Tabela1" displayName="Tabela1" ref="A1:T87" totalsRowShown="0">
  <autoFilter ref="A1:T87" xr:uid="{D735DB53-BF1A-4507-A48A-1EBE180F081F}"/>
  <tableColumns count="20">
    <tableColumn id="1" xr3:uid="{24BAB36F-DB8B-48F9-AB1F-78E37562E906}" name="Tipo"/>
    <tableColumn id="2" xr3:uid="{EB3BE754-EBD5-48B4-996B-4E984906AE86}" name="Cenário"/>
    <tableColumn id="3" xr3:uid="{8D0BEA16-8D30-478C-844A-9DAA816727ED}" name="Processo de Negócio"/>
    <tableColumn id="4" xr3:uid="{4D864129-6B42-4938-B781-504441007DA7}" name="Tipo OV"/>
    <tableColumn id="5" xr3:uid="{80CCD3A1-7EE0-4D61-82F0-104FA6FAADBA}" name="Cenário de teste"/>
    <tableColumn id="6" xr3:uid="{0C413E28-880A-47E9-BAD2-36FE1F98AFA0}" name="Usina"/>
    <tableColumn id="7" xr3:uid="{DB4F82B8-347A-4B20-BC9C-AAEAB3CCE4F2}" name="Cliente"/>
    <tableColumn id="8" xr3:uid="{F84DC19F-6C75-43FF-8FE2-46553EBF657C}" name="Material"/>
    <tableColumn id="9" xr3:uid="{02C2D6E2-1B69-430E-BD0C-C8BA99E6BA94}" name="OV Referência"/>
    <tableColumn id="10" xr3:uid="{56464F86-F833-480F-8A46-ECCEA917C5E0}" name="J1BTax"/>
    <tableColumn id="11" xr3:uid="{3B066A90-4773-4FC5-9029-473A41CC8CC3}" name="CFOP"/>
    <tableColumn id="12" xr3:uid="{48ECF8E0-5423-424B-B397-4688C6F62AAA}" name="OV no BEC"/>
    <tableColumn id="13" xr3:uid="{1EEF5273-F741-4EB2-B04F-D1A13D532CAA}" name="Val. Fiscal"/>
    <tableColumn id="14" xr3:uid="{187496DF-FD1B-44CA-8C85-CC466652CBDC}" name="Remessa"/>
    <tableColumn id="15" xr3:uid="{82E47CC0-CB47-4CE7-89E2-BBDED213934E}" name="Fatura"/>
    <tableColumn id="16" xr3:uid="{519982DA-8E87-4554-84CF-2106D5877160}" name="NF - DocNum"/>
    <tableColumn id="17" xr3:uid="{17977299-8DE5-408A-8EFD-C40C3694B132}" name="Val. Contabil"/>
    <tableColumn id="18" xr3:uid="{C207E704-7E0C-4E38-8709-8F6FBD2266CC}" name="Val. Tax SAP"/>
    <tableColumn id="19" xr3:uid="{D3163B30-C94F-4409-BD57-7A5294DE215F}" name="Val. Tax One"/>
    <tableColumn id="20" xr3:uid="{7DF763D3-6186-40EA-A475-C465F170D59D}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60FF3-EA12-4B55-9D17-0AF58E6F7297}" name="Tabela2" displayName="Tabela2" ref="A1:U22" totalsRowShown="0">
  <tableColumns count="21">
    <tableColumn id="1" xr3:uid="{FA660635-D653-4280-80DA-69BA5C1849C4}" name="Tipo"/>
    <tableColumn id="2" xr3:uid="{29E4AB59-C963-4AC6-B13E-0B42426635C2}" name="Cenário"/>
    <tableColumn id="3" xr3:uid="{1E212F68-3A29-4575-8FFF-6279566C25DF}" name="Processo de Negócio"/>
    <tableColumn id="4" xr3:uid="{E7B6019B-C29C-4A28-91C9-C9891EBDD789}" name="Tipo OV"/>
    <tableColumn id="21" xr3:uid="{6898A409-5E3C-40E9-AE10-3E9D5AA4CE95}" name="Coluna1" dataDxfId="143">
      <calculatedColumnFormula>Tabela2[[#This Row],[Processo de Negócio]]&amp;" ("&amp;Tabela2[[#This Row],[Tipo OV]]&amp;")"</calculatedColumnFormula>
    </tableColumn>
    <tableColumn id="5" xr3:uid="{4E9BC1DC-48D3-4A00-981E-3DFD7021EECC}" name="Cenário de teste"/>
    <tableColumn id="6" xr3:uid="{FA4A2515-87F3-4CB5-9250-5852E87B5039}" name="Usina"/>
    <tableColumn id="7" xr3:uid="{017A4688-19EE-4D65-96EC-519CDA3CF45D}" name="Cliente"/>
    <tableColumn id="8" xr3:uid="{10D92F7C-55CC-40E4-9759-C519983BA55F}" name="Material"/>
    <tableColumn id="9" xr3:uid="{35F5EAC0-6042-4DC1-83DD-8490A711F202}" name="OV Referência"/>
    <tableColumn id="10" xr3:uid="{B6CEDE34-FEB1-4EC8-9603-F15F54463F3D}" name="J1BTax"/>
    <tableColumn id="11" xr3:uid="{8997EFBB-F33F-421F-B718-03F355157956}" name="CFOP"/>
    <tableColumn id="12" xr3:uid="{CD6A1D7A-8EA8-45A1-B966-3A4F61B0566D}" name="OV no BEC"/>
    <tableColumn id="13" xr3:uid="{18761ECE-19AF-48A8-8347-FB1FEC66AAE8}" name="Val. Fiscal"/>
    <tableColumn id="14" xr3:uid="{41598443-CAD0-48B9-8A29-65295849C13E}" name="Remessa"/>
    <tableColumn id="15" xr3:uid="{F34150AB-BE43-42A9-A79D-8A65B8991612}" name="Fatura"/>
    <tableColumn id="16" xr3:uid="{165032BE-A23A-46C4-A4AD-0CEEE43E4D6F}" name="NF - DocNum"/>
    <tableColumn id="17" xr3:uid="{C69EA245-9FF4-4ED8-BDEC-AAF5CFB95D75}" name="Val. Contabil"/>
    <tableColumn id="18" xr3:uid="{CF46BECB-4605-4E43-8F4B-3CE0959FA2E4}" name="Val. Tax SAP"/>
    <tableColumn id="19" xr3:uid="{207B1B9F-586C-44F4-9B92-7EC087BEC56C}" name="Val. Tax One"/>
    <tableColumn id="20" xr3:uid="{98D5B1D2-E17C-4B6E-98C5-EB0F5CD79DFE}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876BE0-B5C3-4079-9AD5-B0F9C626BD09}" name="Tabela49" displayName="Tabela49" ref="A1:AA127" totalsRowShown="0">
  <autoFilter ref="A1:AA127" xr:uid="{0A876BE0-B5C3-4079-9AD5-B0F9C626BD09}">
    <filterColumn colId="10">
      <filters>
        <filter val="Keyuser - Aguardando tarefa precedente"/>
      </filters>
    </filterColumn>
  </autoFilter>
  <tableColumns count="27">
    <tableColumn id="1" xr3:uid="{4FBDD99B-385A-4BBA-8BC0-0D19FDEBA840}" name="ID" dataDxfId="142">
      <calculatedColumnFormula>IF(Tabela49[[#This Row],[Cenário]]&lt;&gt;"","TNV-"&amp;MID(Tabela49[[#This Row],[Cenário]],1,4)&amp;"_"&amp;ROW(),"")</calculatedColumnFormula>
    </tableColumn>
    <tableColumn id="15" xr3:uid="{442471BC-F4BE-44DC-9E15-B263C43FBD7C}" name="Liberado para Testes?"/>
    <tableColumn id="8" xr3:uid="{91C0495B-EFB0-49C9-B6D8-E4C35524BC23}" name="Cenário" dataDxfId="141"/>
    <tableColumn id="9" xr3:uid="{268CAD0D-D920-468D-ACBD-09D97921D875}" name="Tarefa" dataDxfId="140"/>
    <tableColumn id="2" xr3:uid="{6A1E95C2-4F2F-4CCC-B4B2-7A811874A504}" name="Sequência"/>
    <tableColumn id="4" xr3:uid="{5523CE07-0FA3-43DD-988B-CA733D727391}" name="Descrição"/>
    <tableColumn id="5" xr3:uid="{949EC9B4-B73C-4DDC-9C0A-888EA4A0F715}" name="Responsável"/>
    <tableColumn id="7" xr3:uid="{2EB46FF7-B161-4809-89D4-493E7F0F47DB}" name="BEC (Pedido/Docnum)" dataDxfId="139"/>
    <tableColumn id="6" xr3:uid="{5468F798-AB07-4A20-85C0-B221674D4449}" name="Doc Ref BEP" dataDxfId="138"/>
    <tableColumn id="17" xr3:uid="{84679B0D-B028-46E0-96DA-9B22F4438766}" name="Conferência Elo" dataDxfId="137"/>
    <tableColumn id="3" xr3:uid="{4DC09226-05F3-4813-BDF0-01BD95F8B8EA}" name="Status" dataDxfId="136"/>
    <tableColumn id="10" xr3:uid="{D4A8A0BE-EABD-4072-B280-1F82073D7A8C}" name="Dt Inicial" dataDxfId="135"/>
    <tableColumn id="11" xr3:uid="{D08BFE14-0E51-4E0E-9A54-8CB110D57331}" name="Tempo Previsto" dataDxfId="134"/>
    <tableColumn id="12" xr3:uid="{97ABC017-8700-490C-A729-9C5A5989C7D4}" name="Dt Conclusão" dataDxfId="133"/>
    <tableColumn id="14" xr3:uid="{C6A3BD89-7A6C-41EE-A8D2-453B91FF580A}" name="Observação" dataDxfId="132"/>
    <tableColumn id="13" xr3:uid="{FCA8D763-950D-40EC-B009-A886637F83D3}" name="ID Tarefa Precedente" dataDxfId="131"/>
    <tableColumn id="16" xr3:uid="{18436530-3D28-404B-B088-8F13F0F9A485}" name="Tarefas por Cenário" dataDxfId="130"/>
    <tableColumn id="18" xr3:uid="{4495E984-394A-492A-8E9D-41A37841D5F5}" name="Tarefas Concluídas" dataDxfId="129"/>
    <tableColumn id="19" xr3:uid="{CC45354E-E699-4034-BA7F-EC6D3BBEF28E}" name="Cenário Concluído" dataDxfId="128"/>
    <tableColumn id="24" xr3:uid="{E6344B40-9A62-4126-85F1-698FB55CD014}" name="Elo - Em correção " dataDxfId="127"/>
    <tableColumn id="23" xr3:uid="{62687EDE-F5A8-4A5B-ABE1-D35C8ACBED53}" name="Keyuser - Aguardando tarefa precedente" dataDxfId="126"/>
    <tableColumn id="22" xr3:uid="{79E18244-C7AB-4AFD-A186-81BFD6C7FF00}" name="Não liberado  para testes" dataDxfId="125"/>
    <tableColumn id="25" xr3:uid="{F25EC778-0508-4D59-BCE2-4C31D73175D8}" name="Em correção?" dataDxfId="124"/>
    <tableColumn id="26" xr3:uid="{DDACC45B-73B0-4741-9380-E08AA3C42F40}" name="Precedentes?" dataDxfId="123"/>
    <tableColumn id="27" xr3:uid="{E97D311C-D1D4-440F-8413-467149903660}" name="Bloqueado?" dataDxfId="122"/>
    <tableColumn id="20" xr3:uid="{7692B288-C0E9-43F0-9026-E59EE79C93A1}" name="Dias em pendente Keyuser" dataDxfId="121"/>
    <tableColumn id="21" xr3:uid="{2CFC2C1E-999F-48B3-AF3A-A722245C67E9}" name="Impedindo processeguir?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A403D0-8458-4915-AE9C-C9F8E71C833E}" name="Tabela4" displayName="Tabela4" ref="A1:AA638" totalsRowShown="0">
  <autoFilter ref="A1:AA638" xr:uid="{B5A403D0-8458-4915-AE9C-C9F8E71C833E}"/>
  <tableColumns count="27">
    <tableColumn id="1" xr3:uid="{E086E1B6-C898-46EF-80E7-19A1E83159F3}" name="ID" dataDxfId="104">
      <calculatedColumnFormula>"OUT-"&amp;IFERROR(MID(Tabela4[[#This Row],[Cenário]],SEARCH("(",Tabela4[[#This Row],[Cenário]])+1,SEARCH(")",Tabela4[[#This Row],[Cenário]])-SEARCH("(",Tabela4[[#This Row],[Cenário]])-1),"")&amp;"_"&amp;ROW()</calculatedColumnFormula>
    </tableColumn>
    <tableColumn id="15" xr3:uid="{8A54E46A-30B0-4E2D-B3C0-27B00B47DFE2}" name="Liberado para Testes?"/>
    <tableColumn id="8" xr3:uid="{C088B2EE-C0E9-4DB4-9A9E-C74BB089C554}" name="Cenário" dataDxfId="103"/>
    <tableColumn id="9" xr3:uid="{F2F44997-5804-48BC-9BBD-BFDF892E8084}" name="Tarefa" dataDxfId="102"/>
    <tableColumn id="2" xr3:uid="{EBE99153-6F49-4C52-BD03-35099412A2F7}" name="Sequência"/>
    <tableColumn id="4" xr3:uid="{D370C3A1-11AD-40CA-8034-59C909CDDF44}" name="Descrição"/>
    <tableColumn id="5" xr3:uid="{14F0B7DF-E86C-45B4-8D2D-95E5579210A3}" name="Responsável"/>
    <tableColumn id="7" xr3:uid="{42096E3A-5B2F-4942-BA59-5F66E339DE84}" name="DOC BEC" dataDxfId="101"/>
    <tableColumn id="6" xr3:uid="{B4FDA88A-1EB3-4581-BB9D-EE6868D2F14F}" name="Doc Ref BEP" dataDxfId="100"/>
    <tableColumn id="17" xr3:uid="{7E51DEEB-34DA-44EC-A488-45B771716872}" name="Conferência Elo" dataDxfId="99"/>
    <tableColumn id="3" xr3:uid="{D63797DD-6B58-414C-B80D-8447B3177222}" name="Status" dataDxfId="98"/>
    <tableColumn id="10" xr3:uid="{A047A250-87C6-4336-A83C-BE5324D23C43}" name="Dt Inicial" dataDxfId="97"/>
    <tableColumn id="11" xr3:uid="{0AA3189A-78F1-4EBC-8715-E1DD35B9E11F}" name="Tempo Previsto" dataDxfId="96"/>
    <tableColumn id="12" xr3:uid="{75CD77EB-95B9-4B49-8EF3-85C8A45DF8C5}" name="Dt Conclusão" dataDxfId="95"/>
    <tableColumn id="14" xr3:uid="{4D1595E9-33DC-4B04-B1EE-29D2C248D516}" name="Observação" dataDxfId="94"/>
    <tableColumn id="13" xr3:uid="{CFEBEF11-F4B3-4515-AD89-B89F922ED968}" name="ID Tarefa Precedente" dataDxfId="93"/>
    <tableColumn id="16" xr3:uid="{4886AA92-572D-459F-A675-009A210A343F}" name="Tarefas por Cenário" dataDxfId="92">
      <calculatedColumnFormula>COUNTIF(Tabela4[[#All],[Cenário]],Tabela4[[#This Row],[Cenário]])</calculatedColumnFormula>
    </tableColumn>
    <tableColumn id="18" xr3:uid="{284552FA-8496-4B55-9ACD-BEA8D33BC5B0}" name="Tarefas Concluídas" dataDxfId="91">
      <calculatedColumnFormula>COUNTIFS(Tabela4[[#All],[Cenário]],Tabela4[[#This Row],[Cenário]],Tabela4[[#All],[Status]],"Keyuser - Concluído ")</calculatedColumnFormula>
    </tableColumn>
    <tableColumn id="19" xr3:uid="{A63FD362-33B0-47F3-AF90-DD76AF75CABD}" name="Cenário Concluído" dataDxfId="90">
      <calculatedColumnFormula>IF(Tabela4[[#This Row],[Tarefas por Cenário]]-Tabela4[[#This Row],[Tarefas Concluídas]]&gt;0,"Não","Sim")</calculatedColumnFormula>
    </tableColumn>
    <tableColumn id="24" xr3:uid="{13E9A476-73F9-469E-AA31-D8C056901C99}" name="Elo - Em correção " dataDxfId="89">
      <calculatedColumnFormula>COUNTIFS(Tabela4[[#All],[Cenário]],Tabela4[[#This Row],[Cenário]],Tabela4[[#All],[Status]],Tabela4[[#Headers],[Elo - Em correção ]])</calculatedColumnFormula>
    </tableColumn>
    <tableColumn id="23" xr3:uid="{04745CE4-8298-4FEA-B6FD-ABEEB8BAE068}" name="Keyuser - Aguardando tarefa precedente" dataDxfId="88">
      <calculatedColumnFormula>COUNTIFS(Tabela4[[#All],[Cenário]],Tabela4[[#This Row],[Cenário]],Tabela4[[#All],[Status]],Tabela4[[#Headers],[Keyuser - Aguardando tarefa precedente]])</calculatedColumnFormula>
    </tableColumn>
    <tableColumn id="22" xr3:uid="{E4DE65A1-0E76-4210-A555-D6084DEDFACD}" name="Não liberado  para testes" dataDxfId="87">
      <calculatedColumnFormula>COUNTIFS(Tabela4[[#All],[Cenário]],Tabela4[[#This Row],[Cenário]],Tabela4[[#All],[Status]],Tabela4[[#Headers],[Não liberado  para testes]])</calculatedColumnFormula>
    </tableColumn>
    <tableColumn id="25" xr3:uid="{EEC1E12B-9C98-401F-B3D7-3EEA3720DD8C}" name="Em correção?" dataDxfId="86">
      <calculatedColumnFormula>IF(Tabela4[[#This Row],[Elo - Em correção ]]&gt;0,"Sim","Não")</calculatedColumnFormula>
    </tableColumn>
    <tableColumn id="26" xr3:uid="{D0A9D5D2-39BB-4A4C-83B6-27EDBC1A9673}" name="Precedentes?" dataDxfId="85">
      <calculatedColumnFormula>IF(Tabela4[[#This Row],[Keyuser - Aguardando tarefa precedente]]&gt;0,"Sim","Não")</calculatedColumnFormula>
    </tableColumn>
    <tableColumn id="27" xr3:uid="{12D7B035-9C07-4F25-ABA9-A3ECE28D4225}" name="Bloqueado?" dataDxfId="84">
      <calculatedColumnFormula>IF(Tabela4[[#This Row],[Não liberado  para testes]]&gt;0,"Sim","Não")</calculatedColumnFormula>
    </tableColumn>
    <tableColumn id="20" xr3:uid="{C93CD91B-658C-4DD3-9E0A-8D30F94FE5FF}" name="Dias em pendente Keyuser" dataDxfId="83">
      <calculatedColumnFormula>IF(Tabela4[[#This Row],[Status]]="Keyuser - Pendente",NETWORKDAYS(Tabela4[[#This Row],[Dt Inicial]],TODAY()),"")</calculatedColumnFormula>
    </tableColumn>
    <tableColumn id="21" xr3:uid="{7AC5B946-58D6-45F2-AE6F-811E714A051D}" name="Impedindo processeguir?" dataDxfId="82">
      <calculatedColumnFormula>AND(Tabela4[[#This Row],[Status]]="Keyuser - Aguardando tarefa precedente",K1="Keyuser - Concluído 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85E56E-1539-4E49-B5DE-4A1E13E26BF6}" name="Tabela3" displayName="Tabela3" ref="A1:L155" totalsRowShown="0">
  <autoFilter ref="A1:L155" xr:uid="{E585E56E-1539-4E49-B5DE-4A1E13E26BF6}"/>
  <tableColumns count="12">
    <tableColumn id="11" xr3:uid="{573F032A-AA1D-42D0-A6BA-8C4B791B9DAC}" name="ID" dataDxfId="61">
      <calculatedColumnFormula>"INB-"&amp;MID(Tabela3[[#This Row],[Cenário]],1,2)&amp;"_"&amp;ROW()</calculatedColumnFormula>
    </tableColumn>
    <tableColumn id="9" xr3:uid="{CF460B50-1E73-4352-865D-FC936EBDBF23}" name="Cenário"/>
    <tableColumn id="13" xr3:uid="{DBB6D090-E390-4FAB-8B44-A1ADE649E8D6}" name="Tarefa" dataDxfId="60"/>
    <tableColumn id="14" xr3:uid="{151B5325-AFAC-42AD-AC52-6705EF0CFBE2}" name="Responsável" dataDxfId="59"/>
    <tableColumn id="15" xr3:uid="{F7C249E3-594A-4760-B8D2-E2B31C074E9D}" name="Nr Documento SAP" dataDxfId="58"/>
    <tableColumn id="1" xr3:uid="{03646E45-CD68-4B81-8D0D-B77B98CAFE41}" name="Doc Ref BEP" dataDxfId="57"/>
    <tableColumn id="7" xr3:uid="{DD32929D-0B53-46B5-B0AE-8A645081681A}" name="Status"/>
    <tableColumn id="3" xr3:uid="{1008FA89-77FD-4DA0-9BEE-B1404D187935}" name="Dt Inicial" dataDxfId="56"/>
    <tableColumn id="5" xr3:uid="{56D1183F-8A0E-4B29-86F9-4436A09BB648}" name="Tempo Previsto" dataDxfId="55"/>
    <tableColumn id="10" xr3:uid="{1D09FF7B-7B73-4E89-BBBC-49C9E4B569F4}" name="Dt Conclusão" dataDxfId="54"/>
    <tableColumn id="2" xr3:uid="{D0AD956B-F612-4E74-AE50-069349CD054F}" name="Observação"/>
    <tableColumn id="6" xr3:uid="{0A421940-3267-48B4-AEF4-E893683753CE}" name="ID Tarefa Preced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4D948A-A207-43E5-AC14-0B07FA8D16C2}" name="Tabela6" displayName="Tabela6" ref="A4:K35" totalsRowShown="0" headerRowDxfId="46" dataDxfId="45">
  <autoFilter ref="A4:K35" xr:uid="{124D948A-A207-43E5-AC14-0B07FA8D16C2}"/>
  <tableColumns count="11">
    <tableColumn id="8" xr3:uid="{5F3FC9ED-26C0-4A3F-A1EA-E32494B7F554}" name="ID Teste" dataDxfId="44"/>
    <tableColumn id="9" xr3:uid="{FCA3C798-01E6-4458-9F3D-078F5431F0F0}" name="ID Elo"/>
    <tableColumn id="11" xr3:uid="{A2ADF491-E6B7-4313-99F9-1D4A70308672}" name="Retorno ELO"/>
    <tableColumn id="12" xr3:uid="{C5467EFD-B75B-42CB-98D1-20C5FD36656F}" name="Dt Problema"/>
    <tableColumn id="7" xr3:uid="{CF244C34-6225-46F9-A024-1F4D901B27CB}" name="Status Teste" dataDxfId="43">
      <calculatedColumnFormula array="1">_xlfn.XLOOKUP(Tabela6[[#This Row],[ID Teste]],Tabela4[[#All],[ID]],Tabela4[[#All],[Status]]," ")</calculatedColumnFormula>
    </tableColumn>
    <tableColumn id="3" xr3:uid="{3709DBF5-CD32-47A4-9AFB-C7398ECD7191}" name="Processo" dataDxfId="42">
      <calculatedColumnFormula array="1">_xlfn.XLOOKUP(Tabela6[[#This Row],[ID Teste]],Tabela4[[#All],[ID]],Tabela4[[#All],[Cenário]]," ")</calculatedColumnFormula>
    </tableColumn>
    <tableColumn id="4" xr3:uid="{B2CB125A-4C62-4A8B-A71E-BA8E06385E85}" name="Descrição do Problema" dataDxfId="41">
      <calculatedColumnFormula array="1">_xlfn.XLOOKUP(Tabela6[[#This Row],[ID Teste]],Tabela4[[#All],[ID]],Tabela4[[#All],[Observação]]," ")</calculatedColumnFormula>
    </tableColumn>
    <tableColumn id="5" xr3:uid="{743651E2-3AB2-43C4-BFDA-447F15CAF75F}" name="Aberto por" dataDxfId="40">
      <calculatedColumnFormula array="1">_xlfn.XLOOKUP(Tabela6[[#This Row],[ID Teste]],Tabela4[[#All],[ID]],Tabela4[[#All],[Responsável]]," ")</calculatedColumnFormula>
    </tableColumn>
    <tableColumn id="1" xr3:uid="{E8BE6B4E-0F2C-4D05-8866-5E1920FCC0E3}" name="Coluna1" dataDxfId="39"/>
    <tableColumn id="2" xr3:uid="{090D1334-99F1-4035-A24E-D8D842F0E8F9}" name="Solução" dataDxfId="38"/>
    <tableColumn id="6" xr3:uid="{20DDF9D7-4A81-477D-B080-89E09027C969}" name="DT Solução" dataDxfId="3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8E04B6-B27F-4772-A63D-9F75C6B14F0E}" name="Tabela5" displayName="Tabela5" ref="E1:K41" totalsRowShown="0" dataDxfId="36">
  <autoFilter ref="E1:K41" xr:uid="{038E04B6-B27F-4772-A63D-9F75C6B14F0E}"/>
  <tableColumns count="7">
    <tableColumn id="3" xr3:uid="{BBD5F225-6635-4911-9928-1739D82D4250}" name="Inbound/Outbound/Acompanhamento" dataDxfId="35"/>
    <tableColumn id="2" xr3:uid="{809DA388-C0A2-43AD-AE29-B048E991BDD2}" name="DEPARTAMENTO" dataDxfId="34"/>
    <tableColumn id="5" xr3:uid="{2B677DF1-DD30-45D1-B11C-D85D60318896}" name="KEY USER" dataDxfId="33"/>
    <tableColumn id="1" xr3:uid="{4C219BA6-915A-4C4D-89F1-C8B1174C9413}" name="Responsável" dataDxfId="32"/>
    <tableColumn id="4" xr3:uid="{50B1A007-155D-41A2-BF30-235D8B5525DE}" name="Reunião Op1" dataDxfId="31"/>
    <tableColumn id="6" xr3:uid="{0220370A-B118-45FB-A55D-5AD45D6B0569}" name="Reunião Op2" dataDxfId="30"/>
    <tableColumn id="7" xr3:uid="{236D7EF5-F6DA-4BA8-8E98-6F6DCB168E04}" name="Reunião de Trabalho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D99572-32F2-4DE5-96F9-4228D5955B7F}" name="Tabela68" displayName="Tabela68" ref="A4:H33" totalsRowShown="0" headerRowDxfId="28" dataDxfId="27">
  <tableColumns count="8">
    <tableColumn id="8" xr3:uid="{775825FD-9B44-44A5-A335-F120F9209EF5}" name="ID Teste" dataDxfId="26">
      <calculatedColumnFormula>"INB-"&amp;MID(Tabela3[[#This Row],[Cenário]],1,2)&amp;"_"&amp;ROW()</calculatedColumnFormula>
    </tableColumn>
    <tableColumn id="9" xr3:uid="{4D87FB40-D23A-48E0-8840-BF77CE980F6C}" name="ID Elo" dataDxfId="25"/>
    <tableColumn id="11" xr3:uid="{994CD7C6-E229-4C32-B22A-A5238FA9191E}" name="Retorno ELO" dataDxfId="24"/>
    <tableColumn id="12" xr3:uid="{46BA3A4E-35E0-4371-9725-890DFBC6AFCC}" name="Dt Problema" dataDxfId="23"/>
    <tableColumn id="7" xr3:uid="{8AEB1830-00AE-410D-9967-B0BD4B9A25E2}" name="Status Teste" dataDxfId="22">
      <calculatedColumnFormula array="1">_xlfn.XLOOKUP(Tabela68[[#This Row],[ID Teste]],Tabela3[[#All],[ID]],Tabela3[[#All],[Status]],"")</calculatedColumnFormula>
    </tableColumn>
    <tableColumn id="3" xr3:uid="{DE437474-23C7-4A79-9799-01E87AA0D98C}" name="Processo" dataDxfId="21">
      <calculatedColumnFormula array="1">_xlfn.XLOOKUP(Tabela68[[#This Row],[ID Teste]],Tabela3[[#All],[ID]],Tabela3[[#All],[Cenário]],"")</calculatedColumnFormula>
    </tableColumn>
    <tableColumn id="4" xr3:uid="{D6A5E800-8DEB-47CD-9B6E-F015A41BF555}" name="Descrição do Problema" dataDxfId="20">
      <calculatedColumnFormula array="1">_xlfn.XLOOKUP(Tabela68[[#This Row],[ID Teste]],Tabela3[[#All],[ID]],Tabela3[[#All],[Observação]],"")</calculatedColumnFormula>
    </tableColumn>
    <tableColumn id="5" xr3:uid="{59FA67DC-BC6F-493A-A58B-8A2DA531A105}" name="Aberto por" dataDxfId="19">
      <calculatedColumnFormula array="1">_xlfn.XLOOKUP(Tabela68[[#This Row],[ID Teste]],Tabela3[[#All],[ID]],Tabela3[[#All],[Responsável]],"")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mailto:francisco.netto@bpbioenergy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francisco.netto@bpbioenergy.com" TargetMode="External"/><Relationship Id="rId1" Type="http://schemas.openxmlformats.org/officeDocument/2006/relationships/hyperlink" Target="mailto:francisco.netto@bpbioenergy.com" TargetMode="External"/><Relationship Id="rId6" Type="http://schemas.openxmlformats.org/officeDocument/2006/relationships/hyperlink" Target="mailto:francisco.netto@bpbioenergy.com" TargetMode="External"/><Relationship Id="rId5" Type="http://schemas.openxmlformats.org/officeDocument/2006/relationships/hyperlink" Target="mailto:francisco.netto@bpbioenergy.com" TargetMode="External"/><Relationship Id="rId4" Type="http://schemas.openxmlformats.org/officeDocument/2006/relationships/hyperlink" Target="mailto:francisco.netto@bpbioenergy.com" TargetMode="External"/><Relationship Id="rId9" Type="http://schemas.microsoft.com/office/2019/04/relationships/namedSheetView" Target="../namedSheetViews/namedSheetView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Relationship Id="rId9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7E8F-AD35-4602-A449-56D96BE29942}">
  <sheetPr codeName="Planilha1">
    <tabColor theme="5"/>
  </sheetPr>
  <dimension ref="A1:T87"/>
  <sheetViews>
    <sheetView topLeftCell="A64" zoomScaleNormal="100" workbookViewId="0">
      <selection activeCell="C2" sqref="C2:C7"/>
    </sheetView>
  </sheetViews>
  <sheetFormatPr defaultRowHeight="15" x14ac:dyDescent="0.25"/>
  <cols>
    <col min="1" max="1" width="7.5703125" bestFit="1" customWidth="1"/>
    <col min="2" max="2" width="8.42578125" bestFit="1" customWidth="1"/>
    <col min="3" max="3" width="41.5703125" bestFit="1" customWidth="1"/>
    <col min="4" max="4" width="7.5703125" bestFit="1" customWidth="1"/>
    <col min="5" max="5" width="74.5703125" bestFit="1" customWidth="1"/>
    <col min="6" max="6" width="12.42578125" bestFit="1" customWidth="1"/>
    <col min="7" max="7" width="9" bestFit="1" customWidth="1"/>
    <col min="8" max="8" width="8.42578125" bestFit="1" customWidth="1"/>
    <col min="9" max="9" width="14" bestFit="1" customWidth="1"/>
    <col min="10" max="10" width="45.42578125" bestFit="1" customWidth="1"/>
    <col min="11" max="11" width="8.5703125" bestFit="1" customWidth="1"/>
    <col min="12" max="12" width="12.42578125" bestFit="1" customWidth="1"/>
    <col min="13" max="13" width="10" bestFit="1" customWidth="1"/>
    <col min="14" max="14" width="11.42578125" bestFit="1" customWidth="1"/>
    <col min="15" max="15" width="17.5703125" bestFit="1" customWidth="1"/>
    <col min="16" max="16" width="21.42578125" bestFit="1" customWidth="1"/>
    <col min="17" max="17" width="24.42578125" bestFit="1" customWidth="1"/>
    <col min="18" max="19" width="11.5703125" bestFit="1" customWidth="1"/>
    <col min="20" max="20" width="158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1</v>
      </c>
      <c r="B2" t="s">
        <v>20</v>
      </c>
      <c r="C2" t="s">
        <v>21</v>
      </c>
      <c r="D2" t="s">
        <v>22</v>
      </c>
      <c r="E2" t="s">
        <v>23</v>
      </c>
    </row>
    <row r="3" spans="1:20" x14ac:dyDescent="0.25">
      <c r="A3" t="s">
        <v>24</v>
      </c>
      <c r="B3" t="s">
        <v>20</v>
      </c>
      <c r="C3" t="s">
        <v>21</v>
      </c>
      <c r="D3" t="s">
        <v>25</v>
      </c>
      <c r="E3" t="s">
        <v>26</v>
      </c>
    </row>
    <row r="4" spans="1:20" x14ac:dyDescent="0.25">
      <c r="A4" t="s">
        <v>24</v>
      </c>
      <c r="B4" t="s">
        <v>20</v>
      </c>
      <c r="C4" t="s">
        <v>21</v>
      </c>
      <c r="D4" t="s">
        <v>27</v>
      </c>
      <c r="E4" t="s">
        <v>28</v>
      </c>
    </row>
    <row r="5" spans="1:20" x14ac:dyDescent="0.25">
      <c r="A5" t="s">
        <v>1</v>
      </c>
      <c r="B5" t="s">
        <v>29</v>
      </c>
      <c r="C5" t="s">
        <v>30</v>
      </c>
      <c r="D5" t="s">
        <v>22</v>
      </c>
      <c r="E5" t="s">
        <v>31</v>
      </c>
    </row>
    <row r="6" spans="1:20" x14ac:dyDescent="0.25">
      <c r="A6" t="s">
        <v>24</v>
      </c>
      <c r="B6" t="s">
        <v>29</v>
      </c>
      <c r="C6" t="s">
        <v>30</v>
      </c>
      <c r="D6" t="s">
        <v>25</v>
      </c>
      <c r="E6" t="s">
        <v>32</v>
      </c>
    </row>
    <row r="7" spans="1:20" x14ac:dyDescent="0.25">
      <c r="A7" t="s">
        <v>24</v>
      </c>
      <c r="B7" t="s">
        <v>29</v>
      </c>
      <c r="C7" t="s">
        <v>30</v>
      </c>
      <c r="D7" t="s">
        <v>27</v>
      </c>
      <c r="E7" t="s">
        <v>33</v>
      </c>
    </row>
    <row r="8" spans="1:20" x14ac:dyDescent="0.25">
      <c r="A8" t="s">
        <v>1</v>
      </c>
      <c r="B8" t="s">
        <v>34</v>
      </c>
      <c r="C8" t="s">
        <v>35</v>
      </c>
      <c r="D8" t="s">
        <v>22</v>
      </c>
      <c r="E8" t="s">
        <v>36</v>
      </c>
    </row>
    <row r="9" spans="1:20" x14ac:dyDescent="0.25">
      <c r="A9" t="s">
        <v>24</v>
      </c>
      <c r="B9" t="s">
        <v>34</v>
      </c>
      <c r="C9" t="s">
        <v>37</v>
      </c>
      <c r="D9" t="s">
        <v>25</v>
      </c>
      <c r="E9" t="s">
        <v>38</v>
      </c>
    </row>
    <row r="10" spans="1:20" x14ac:dyDescent="0.25">
      <c r="A10" t="s">
        <v>24</v>
      </c>
      <c r="B10" t="s">
        <v>34</v>
      </c>
      <c r="C10" t="s">
        <v>37</v>
      </c>
      <c r="D10" t="s">
        <v>27</v>
      </c>
      <c r="E10" t="s">
        <v>39</v>
      </c>
    </row>
    <row r="11" spans="1:20" x14ac:dyDescent="0.25">
      <c r="A11" t="s">
        <v>1</v>
      </c>
      <c r="B11" t="s">
        <v>40</v>
      </c>
      <c r="C11" t="s">
        <v>41</v>
      </c>
      <c r="D11" t="s">
        <v>22</v>
      </c>
      <c r="E11" t="s">
        <v>42</v>
      </c>
    </row>
    <row r="12" spans="1:20" x14ac:dyDescent="0.25">
      <c r="A12" t="s">
        <v>24</v>
      </c>
      <c r="B12" t="s">
        <v>40</v>
      </c>
      <c r="C12" t="s">
        <v>37</v>
      </c>
      <c r="D12" t="s">
        <v>25</v>
      </c>
      <c r="E12" t="s">
        <v>38</v>
      </c>
    </row>
    <row r="13" spans="1:20" x14ac:dyDescent="0.25">
      <c r="A13" t="s">
        <v>24</v>
      </c>
      <c r="B13" t="s">
        <v>40</v>
      </c>
      <c r="C13" t="s">
        <v>37</v>
      </c>
      <c r="D13" t="s">
        <v>27</v>
      </c>
      <c r="E13" t="s">
        <v>39</v>
      </c>
    </row>
    <row r="14" spans="1:20" x14ac:dyDescent="0.25">
      <c r="A14" t="s">
        <v>1</v>
      </c>
      <c r="B14" t="s">
        <v>43</v>
      </c>
      <c r="C14" t="s">
        <v>44</v>
      </c>
      <c r="D14" t="s">
        <v>22</v>
      </c>
      <c r="E14" t="s">
        <v>45</v>
      </c>
    </row>
    <row r="15" spans="1:20" x14ac:dyDescent="0.25">
      <c r="A15" t="s">
        <v>24</v>
      </c>
      <c r="B15" t="s">
        <v>43</v>
      </c>
      <c r="C15" t="s">
        <v>37</v>
      </c>
      <c r="D15" t="s">
        <v>25</v>
      </c>
      <c r="E15" t="s">
        <v>38</v>
      </c>
    </row>
    <row r="16" spans="1:20" x14ac:dyDescent="0.25">
      <c r="A16" t="s">
        <v>24</v>
      </c>
      <c r="B16" t="s">
        <v>43</v>
      </c>
      <c r="C16" t="s">
        <v>37</v>
      </c>
      <c r="D16" t="s">
        <v>27</v>
      </c>
      <c r="E16" t="s">
        <v>39</v>
      </c>
    </row>
    <row r="17" spans="1:5" x14ac:dyDescent="0.25">
      <c r="A17" t="s">
        <v>1</v>
      </c>
      <c r="B17" t="s">
        <v>46</v>
      </c>
      <c r="C17" t="s">
        <v>47</v>
      </c>
      <c r="D17" t="s">
        <v>22</v>
      </c>
      <c r="E17" t="s">
        <v>48</v>
      </c>
    </row>
    <row r="18" spans="1:5" x14ac:dyDescent="0.25">
      <c r="A18" t="s">
        <v>24</v>
      </c>
      <c r="B18" t="s">
        <v>46</v>
      </c>
      <c r="C18" t="s">
        <v>37</v>
      </c>
      <c r="D18" t="s">
        <v>25</v>
      </c>
      <c r="E18" t="s">
        <v>38</v>
      </c>
    </row>
    <row r="19" spans="1:5" x14ac:dyDescent="0.25">
      <c r="A19" t="s">
        <v>24</v>
      </c>
      <c r="B19" t="s">
        <v>46</v>
      </c>
      <c r="C19" t="s">
        <v>37</v>
      </c>
      <c r="D19" t="s">
        <v>27</v>
      </c>
      <c r="E19" t="s">
        <v>39</v>
      </c>
    </row>
    <row r="20" spans="1:5" x14ac:dyDescent="0.25">
      <c r="A20" t="s">
        <v>1</v>
      </c>
      <c r="B20" t="s">
        <v>49</v>
      </c>
      <c r="C20" t="s">
        <v>50</v>
      </c>
      <c r="D20" t="s">
        <v>51</v>
      </c>
      <c r="E20" t="s">
        <v>52</v>
      </c>
    </row>
    <row r="21" spans="1:5" x14ac:dyDescent="0.25">
      <c r="A21" t="s">
        <v>24</v>
      </c>
      <c r="B21" t="s">
        <v>49</v>
      </c>
      <c r="C21" t="s">
        <v>50</v>
      </c>
      <c r="D21" t="s">
        <v>53</v>
      </c>
      <c r="E21" t="s">
        <v>54</v>
      </c>
    </row>
    <row r="22" spans="1:5" x14ac:dyDescent="0.25">
      <c r="A22" t="s">
        <v>24</v>
      </c>
      <c r="B22" t="s">
        <v>49</v>
      </c>
      <c r="C22" t="s">
        <v>55</v>
      </c>
      <c r="D22" t="s">
        <v>56</v>
      </c>
      <c r="E22" t="s">
        <v>57</v>
      </c>
    </row>
    <row r="23" spans="1:5" x14ac:dyDescent="0.25">
      <c r="A23" t="s">
        <v>1</v>
      </c>
      <c r="B23" t="s">
        <v>58</v>
      </c>
      <c r="C23" t="s">
        <v>59</v>
      </c>
      <c r="D23" t="s">
        <v>60</v>
      </c>
      <c r="E23" t="s">
        <v>61</v>
      </c>
    </row>
    <row r="24" spans="1:5" x14ac:dyDescent="0.25">
      <c r="A24" t="s">
        <v>24</v>
      </c>
      <c r="B24" t="s">
        <v>58</v>
      </c>
      <c r="C24" t="s">
        <v>59</v>
      </c>
      <c r="D24" t="s">
        <v>62</v>
      </c>
      <c r="E24" t="s">
        <v>63</v>
      </c>
    </row>
    <row r="25" spans="1:5" x14ac:dyDescent="0.25">
      <c r="A25" t="s">
        <v>24</v>
      </c>
      <c r="B25" t="s">
        <v>58</v>
      </c>
      <c r="C25" t="s">
        <v>59</v>
      </c>
      <c r="D25" t="s">
        <v>64</v>
      </c>
      <c r="E25" t="s">
        <v>65</v>
      </c>
    </row>
    <row r="26" spans="1:5" x14ac:dyDescent="0.25">
      <c r="A26" t="s">
        <v>1</v>
      </c>
      <c r="B26" t="s">
        <v>66</v>
      </c>
      <c r="C26" t="s">
        <v>67</v>
      </c>
      <c r="D26" t="s">
        <v>51</v>
      </c>
      <c r="E26" t="s">
        <v>68</v>
      </c>
    </row>
    <row r="27" spans="1:5" x14ac:dyDescent="0.25">
      <c r="A27" t="s">
        <v>24</v>
      </c>
      <c r="B27" t="s">
        <v>66</v>
      </c>
      <c r="C27" t="s">
        <v>67</v>
      </c>
      <c r="D27" t="s">
        <v>53</v>
      </c>
      <c r="E27" t="s">
        <v>69</v>
      </c>
    </row>
    <row r="28" spans="1:5" x14ac:dyDescent="0.25">
      <c r="A28" t="s">
        <v>24</v>
      </c>
      <c r="B28" t="s">
        <v>66</v>
      </c>
      <c r="C28" t="s">
        <v>67</v>
      </c>
      <c r="D28" t="s">
        <v>56</v>
      </c>
      <c r="E28" t="s">
        <v>70</v>
      </c>
    </row>
    <row r="29" spans="1:5" x14ac:dyDescent="0.25">
      <c r="A29" t="s">
        <v>1</v>
      </c>
      <c r="B29" t="s">
        <v>71</v>
      </c>
      <c r="C29" t="s">
        <v>72</v>
      </c>
      <c r="D29" t="s">
        <v>73</v>
      </c>
      <c r="E29" t="s">
        <v>74</v>
      </c>
    </row>
    <row r="30" spans="1:5" x14ac:dyDescent="0.25">
      <c r="A30" t="s">
        <v>24</v>
      </c>
      <c r="B30" t="s">
        <v>71</v>
      </c>
      <c r="C30" t="s">
        <v>72</v>
      </c>
      <c r="D30" t="s">
        <v>75</v>
      </c>
      <c r="E30" t="s">
        <v>76</v>
      </c>
    </row>
    <row r="31" spans="1:5" x14ac:dyDescent="0.25">
      <c r="A31" t="s">
        <v>24</v>
      </c>
      <c r="B31" t="s">
        <v>71</v>
      </c>
      <c r="C31" t="s">
        <v>72</v>
      </c>
      <c r="D31" t="s">
        <v>77</v>
      </c>
      <c r="E31" t="s">
        <v>78</v>
      </c>
    </row>
    <row r="32" spans="1:5" x14ac:dyDescent="0.25">
      <c r="A32" t="s">
        <v>1</v>
      </c>
      <c r="B32" t="s">
        <v>79</v>
      </c>
      <c r="C32" t="s">
        <v>80</v>
      </c>
      <c r="D32" t="s">
        <v>81</v>
      </c>
      <c r="E32" t="s">
        <v>82</v>
      </c>
    </row>
    <row r="33" spans="1:5" x14ac:dyDescent="0.25">
      <c r="A33" t="s">
        <v>24</v>
      </c>
      <c r="B33" t="s">
        <v>79</v>
      </c>
      <c r="C33" t="s">
        <v>80</v>
      </c>
      <c r="D33" t="s">
        <v>27</v>
      </c>
      <c r="E33" t="s">
        <v>83</v>
      </c>
    </row>
    <row r="34" spans="1:5" x14ac:dyDescent="0.25">
      <c r="A34" t="s">
        <v>24</v>
      </c>
      <c r="B34" t="s">
        <v>79</v>
      </c>
      <c r="C34" t="s">
        <v>80</v>
      </c>
      <c r="D34" t="s">
        <v>25</v>
      </c>
      <c r="E34" t="s">
        <v>84</v>
      </c>
    </row>
    <row r="35" spans="1:5" x14ac:dyDescent="0.25">
      <c r="A35" t="s">
        <v>1</v>
      </c>
      <c r="B35" t="s">
        <v>85</v>
      </c>
      <c r="C35" t="s">
        <v>86</v>
      </c>
      <c r="D35" t="s">
        <v>87</v>
      </c>
      <c r="E35" t="s">
        <v>86</v>
      </c>
    </row>
    <row r="36" spans="1:5" x14ac:dyDescent="0.25">
      <c r="A36" t="s">
        <v>1</v>
      </c>
      <c r="B36" t="s">
        <v>88</v>
      </c>
      <c r="C36" t="s">
        <v>89</v>
      </c>
      <c r="D36" t="s">
        <v>90</v>
      </c>
      <c r="E36" t="s">
        <v>89</v>
      </c>
    </row>
    <row r="37" spans="1:5" x14ac:dyDescent="0.25">
      <c r="A37" t="s">
        <v>1</v>
      </c>
      <c r="B37" t="s">
        <v>91</v>
      </c>
      <c r="C37" t="s">
        <v>92</v>
      </c>
      <c r="D37" t="s">
        <v>90</v>
      </c>
      <c r="E37" t="s">
        <v>92</v>
      </c>
    </row>
    <row r="38" spans="1:5" x14ac:dyDescent="0.25">
      <c r="A38" t="s">
        <v>1</v>
      </c>
      <c r="B38" t="s">
        <v>93</v>
      </c>
      <c r="C38" t="s">
        <v>86</v>
      </c>
      <c r="D38" t="s">
        <v>87</v>
      </c>
      <c r="E38" t="s">
        <v>86</v>
      </c>
    </row>
    <row r="39" spans="1:5" x14ac:dyDescent="0.25">
      <c r="A39" t="s">
        <v>1</v>
      </c>
      <c r="B39" t="s">
        <v>94</v>
      </c>
      <c r="C39" t="s">
        <v>95</v>
      </c>
      <c r="D39" t="s">
        <v>96</v>
      </c>
      <c r="E39" t="s">
        <v>95</v>
      </c>
    </row>
    <row r="40" spans="1:5" x14ac:dyDescent="0.25">
      <c r="A40" t="s">
        <v>1</v>
      </c>
      <c r="B40" t="s">
        <v>97</v>
      </c>
      <c r="C40" t="s">
        <v>98</v>
      </c>
      <c r="D40" t="s">
        <v>99</v>
      </c>
      <c r="E40" t="s">
        <v>100</v>
      </c>
    </row>
    <row r="41" spans="1:5" x14ac:dyDescent="0.25">
      <c r="A41" t="s">
        <v>24</v>
      </c>
      <c r="B41" t="s">
        <v>97</v>
      </c>
      <c r="C41" t="s">
        <v>98</v>
      </c>
      <c r="D41" t="s">
        <v>27</v>
      </c>
      <c r="E41" t="s">
        <v>101</v>
      </c>
    </row>
    <row r="42" spans="1:5" x14ac:dyDescent="0.25">
      <c r="A42" t="s">
        <v>24</v>
      </c>
      <c r="B42" t="s">
        <v>97</v>
      </c>
      <c r="C42" t="s">
        <v>98</v>
      </c>
      <c r="D42" t="s">
        <v>25</v>
      </c>
      <c r="E42" t="s">
        <v>102</v>
      </c>
    </row>
    <row r="43" spans="1:5" x14ac:dyDescent="0.25">
      <c r="A43" t="s">
        <v>1</v>
      </c>
      <c r="B43" t="s">
        <v>103</v>
      </c>
      <c r="C43" t="s">
        <v>104</v>
      </c>
      <c r="D43" t="s">
        <v>105</v>
      </c>
      <c r="E43" t="s">
        <v>106</v>
      </c>
    </row>
    <row r="44" spans="1:5" x14ac:dyDescent="0.25">
      <c r="A44" t="s">
        <v>24</v>
      </c>
      <c r="B44" t="s">
        <v>103</v>
      </c>
      <c r="C44" t="s">
        <v>104</v>
      </c>
      <c r="E44" t="s">
        <v>107</v>
      </c>
    </row>
    <row r="45" spans="1:5" x14ac:dyDescent="0.25">
      <c r="A45" t="s">
        <v>24</v>
      </c>
      <c r="B45" t="s">
        <v>103</v>
      </c>
      <c r="C45" t="s">
        <v>104</v>
      </c>
      <c r="E45" t="s">
        <v>108</v>
      </c>
    </row>
    <row r="46" spans="1:5" x14ac:dyDescent="0.25">
      <c r="A46" t="s">
        <v>1</v>
      </c>
      <c r="B46" t="s">
        <v>109</v>
      </c>
      <c r="C46" t="s">
        <v>110</v>
      </c>
      <c r="D46" t="s">
        <v>22</v>
      </c>
      <c r="E46" t="s">
        <v>111</v>
      </c>
    </row>
    <row r="47" spans="1:5" x14ac:dyDescent="0.25">
      <c r="A47" t="s">
        <v>24</v>
      </c>
      <c r="B47" t="s">
        <v>109</v>
      </c>
      <c r="C47" t="s">
        <v>110</v>
      </c>
      <c r="E47" t="s">
        <v>112</v>
      </c>
    </row>
    <row r="48" spans="1:5" x14ac:dyDescent="0.25">
      <c r="A48" t="s">
        <v>24</v>
      </c>
      <c r="B48" t="s">
        <v>109</v>
      </c>
      <c r="C48" t="s">
        <v>110</v>
      </c>
      <c r="E48" t="s">
        <v>113</v>
      </c>
    </row>
    <row r="49" spans="1:5" x14ac:dyDescent="0.25">
      <c r="A49" t="s">
        <v>1</v>
      </c>
      <c r="B49" t="s">
        <v>114</v>
      </c>
      <c r="C49" t="s">
        <v>115</v>
      </c>
      <c r="D49" t="s">
        <v>116</v>
      </c>
      <c r="E49" t="s">
        <v>115</v>
      </c>
    </row>
    <row r="50" spans="1:5" x14ac:dyDescent="0.25">
      <c r="A50" t="s">
        <v>1</v>
      </c>
      <c r="B50" t="s">
        <v>114</v>
      </c>
      <c r="C50" t="s">
        <v>117</v>
      </c>
      <c r="D50" t="s">
        <v>118</v>
      </c>
      <c r="E50" t="s">
        <v>117</v>
      </c>
    </row>
    <row r="51" spans="1:5" x14ac:dyDescent="0.25">
      <c r="A51" t="s">
        <v>24</v>
      </c>
      <c r="B51" t="s">
        <v>114</v>
      </c>
      <c r="C51" t="s">
        <v>117</v>
      </c>
      <c r="D51" t="s">
        <v>119</v>
      </c>
      <c r="E51" t="s">
        <v>120</v>
      </c>
    </row>
    <row r="52" spans="1:5" x14ac:dyDescent="0.25">
      <c r="A52" t="s">
        <v>24</v>
      </c>
      <c r="B52" t="s">
        <v>114</v>
      </c>
      <c r="C52" t="s">
        <v>117</v>
      </c>
      <c r="D52" t="s">
        <v>121</v>
      </c>
      <c r="E52" t="s">
        <v>122</v>
      </c>
    </row>
    <row r="53" spans="1:5" x14ac:dyDescent="0.25">
      <c r="A53" t="s">
        <v>1</v>
      </c>
      <c r="B53" t="s">
        <v>123</v>
      </c>
      <c r="C53" t="s">
        <v>124</v>
      </c>
      <c r="D53" t="s">
        <v>125</v>
      </c>
      <c r="E53" t="s">
        <v>126</v>
      </c>
    </row>
    <row r="54" spans="1:5" x14ac:dyDescent="0.25">
      <c r="A54" t="s">
        <v>1</v>
      </c>
      <c r="B54" t="s">
        <v>123</v>
      </c>
      <c r="C54" t="s">
        <v>127</v>
      </c>
      <c r="D54" t="s">
        <v>128</v>
      </c>
      <c r="E54" t="s">
        <v>127</v>
      </c>
    </row>
    <row r="55" spans="1:5" x14ac:dyDescent="0.25">
      <c r="A55" t="s">
        <v>24</v>
      </c>
      <c r="B55" t="s">
        <v>123</v>
      </c>
      <c r="C55" t="s">
        <v>127</v>
      </c>
      <c r="D55" t="s">
        <v>129</v>
      </c>
      <c r="E55" t="s">
        <v>130</v>
      </c>
    </row>
    <row r="56" spans="1:5" x14ac:dyDescent="0.25">
      <c r="A56" t="s">
        <v>24</v>
      </c>
      <c r="B56" t="s">
        <v>123</v>
      </c>
      <c r="C56" t="s">
        <v>127</v>
      </c>
      <c r="D56" t="s">
        <v>131</v>
      </c>
      <c r="E56" t="s">
        <v>132</v>
      </c>
    </row>
    <row r="57" spans="1:5" x14ac:dyDescent="0.25">
      <c r="A57" t="s">
        <v>1</v>
      </c>
      <c r="B57" t="s">
        <v>133</v>
      </c>
      <c r="C57" t="s">
        <v>134</v>
      </c>
      <c r="D57" t="s">
        <v>135</v>
      </c>
      <c r="E57" t="s">
        <v>134</v>
      </c>
    </row>
    <row r="58" spans="1:5" x14ac:dyDescent="0.25">
      <c r="A58" t="s">
        <v>1</v>
      </c>
      <c r="B58" t="s">
        <v>133</v>
      </c>
      <c r="C58" t="s">
        <v>136</v>
      </c>
      <c r="D58" t="s">
        <v>137</v>
      </c>
      <c r="E58" t="s">
        <v>136</v>
      </c>
    </row>
    <row r="59" spans="1:5" x14ac:dyDescent="0.25">
      <c r="A59" t="s">
        <v>24</v>
      </c>
      <c r="B59" t="s">
        <v>133</v>
      </c>
      <c r="C59" t="s">
        <v>136</v>
      </c>
      <c r="D59" t="s">
        <v>138</v>
      </c>
      <c r="E59" t="s">
        <v>139</v>
      </c>
    </row>
    <row r="60" spans="1:5" x14ac:dyDescent="0.25">
      <c r="A60" t="s">
        <v>24</v>
      </c>
      <c r="B60" t="s">
        <v>133</v>
      </c>
      <c r="C60" t="s">
        <v>136</v>
      </c>
      <c r="D60" t="s">
        <v>140</v>
      </c>
      <c r="E60" t="s">
        <v>141</v>
      </c>
    </row>
    <row r="61" spans="1:5" x14ac:dyDescent="0.25">
      <c r="A61" t="s">
        <v>1</v>
      </c>
      <c r="B61" t="s">
        <v>142</v>
      </c>
      <c r="C61" t="s">
        <v>143</v>
      </c>
      <c r="D61" t="s">
        <v>144</v>
      </c>
      <c r="E61" t="s">
        <v>143</v>
      </c>
    </row>
    <row r="62" spans="1:5" x14ac:dyDescent="0.25">
      <c r="A62" t="s">
        <v>24</v>
      </c>
      <c r="B62" t="s">
        <v>142</v>
      </c>
      <c r="C62" t="s">
        <v>143</v>
      </c>
      <c r="D62" t="s">
        <v>145</v>
      </c>
      <c r="E62" t="s">
        <v>146</v>
      </c>
    </row>
    <row r="63" spans="1:5" x14ac:dyDescent="0.25">
      <c r="A63" t="s">
        <v>1</v>
      </c>
      <c r="B63" t="s">
        <v>142</v>
      </c>
      <c r="C63" t="s">
        <v>147</v>
      </c>
      <c r="D63" t="s">
        <v>148</v>
      </c>
      <c r="E63" t="s">
        <v>147</v>
      </c>
    </row>
    <row r="64" spans="1:5" x14ac:dyDescent="0.25">
      <c r="A64" t="s">
        <v>24</v>
      </c>
      <c r="B64" t="s">
        <v>142</v>
      </c>
      <c r="C64" t="s">
        <v>147</v>
      </c>
      <c r="D64" t="s">
        <v>149</v>
      </c>
      <c r="E64" t="s">
        <v>150</v>
      </c>
    </row>
    <row r="65" spans="1:5" x14ac:dyDescent="0.25">
      <c r="A65" t="s">
        <v>24</v>
      </c>
      <c r="B65" t="s">
        <v>142</v>
      </c>
      <c r="C65" t="s">
        <v>147</v>
      </c>
      <c r="D65" t="s">
        <v>151</v>
      </c>
      <c r="E65" t="s">
        <v>152</v>
      </c>
    </row>
    <row r="66" spans="1:5" x14ac:dyDescent="0.25">
      <c r="A66" t="s">
        <v>1</v>
      </c>
      <c r="B66" t="s">
        <v>153</v>
      </c>
      <c r="C66" t="s">
        <v>154</v>
      </c>
      <c r="D66" t="s">
        <v>22</v>
      </c>
      <c r="E66" t="s">
        <v>154</v>
      </c>
    </row>
    <row r="67" spans="1:5" x14ac:dyDescent="0.25">
      <c r="A67" t="s">
        <v>24</v>
      </c>
      <c r="B67" t="s">
        <v>153</v>
      </c>
      <c r="C67" t="s">
        <v>154</v>
      </c>
      <c r="D67" t="s">
        <v>25</v>
      </c>
      <c r="E67" t="s">
        <v>155</v>
      </c>
    </row>
    <row r="68" spans="1:5" x14ac:dyDescent="0.25">
      <c r="A68" t="s">
        <v>24</v>
      </c>
      <c r="B68" t="s">
        <v>153</v>
      </c>
      <c r="C68" t="s">
        <v>154</v>
      </c>
      <c r="D68" t="s">
        <v>27</v>
      </c>
      <c r="E68" t="s">
        <v>156</v>
      </c>
    </row>
    <row r="69" spans="1:5" x14ac:dyDescent="0.25">
      <c r="A69" t="s">
        <v>1</v>
      </c>
      <c r="B69" t="s">
        <v>157</v>
      </c>
      <c r="C69" t="s">
        <v>158</v>
      </c>
      <c r="D69" t="s">
        <v>159</v>
      </c>
      <c r="E69" t="s">
        <v>158</v>
      </c>
    </row>
    <row r="70" spans="1:5" x14ac:dyDescent="0.25">
      <c r="A70" t="s">
        <v>24</v>
      </c>
      <c r="B70" t="s">
        <v>157</v>
      </c>
      <c r="C70" t="s">
        <v>158</v>
      </c>
      <c r="D70" t="s">
        <v>25</v>
      </c>
      <c r="E70" t="s">
        <v>160</v>
      </c>
    </row>
    <row r="71" spans="1:5" x14ac:dyDescent="0.25">
      <c r="A71" t="s">
        <v>24</v>
      </c>
      <c r="B71" t="s">
        <v>157</v>
      </c>
      <c r="C71" t="s">
        <v>158</v>
      </c>
      <c r="D71" t="s">
        <v>27</v>
      </c>
      <c r="E71" t="s">
        <v>161</v>
      </c>
    </row>
    <row r="72" spans="1:5" x14ac:dyDescent="0.25">
      <c r="A72" t="s">
        <v>1</v>
      </c>
      <c r="B72" t="s">
        <v>162</v>
      </c>
      <c r="C72" t="s">
        <v>163</v>
      </c>
      <c r="D72">
        <v>0</v>
      </c>
      <c r="E72" t="s">
        <v>163</v>
      </c>
    </row>
    <row r="73" spans="1:5" x14ac:dyDescent="0.25">
      <c r="A73" t="s">
        <v>24</v>
      </c>
      <c r="B73" t="s">
        <v>162</v>
      </c>
      <c r="C73" t="s">
        <v>163</v>
      </c>
      <c r="D73" t="s">
        <v>27</v>
      </c>
      <c r="E73" t="s">
        <v>164</v>
      </c>
    </row>
    <row r="74" spans="1:5" x14ac:dyDescent="0.25">
      <c r="A74" t="s">
        <v>1</v>
      </c>
      <c r="B74" t="s">
        <v>165</v>
      </c>
      <c r="C74" t="s">
        <v>166</v>
      </c>
      <c r="D74" t="s">
        <v>167</v>
      </c>
      <c r="E74" t="s">
        <v>166</v>
      </c>
    </row>
    <row r="75" spans="1:5" x14ac:dyDescent="0.25">
      <c r="A75" t="s">
        <v>24</v>
      </c>
      <c r="B75" t="s">
        <v>165</v>
      </c>
      <c r="C75" t="s">
        <v>166</v>
      </c>
      <c r="D75" t="s">
        <v>27</v>
      </c>
      <c r="E75" t="s">
        <v>164</v>
      </c>
    </row>
    <row r="76" spans="1:5" x14ac:dyDescent="0.25">
      <c r="A76" t="s">
        <v>1</v>
      </c>
      <c r="B76" t="s">
        <v>168</v>
      </c>
      <c r="C76" t="s">
        <v>169</v>
      </c>
      <c r="D76" t="s">
        <v>167</v>
      </c>
      <c r="E76" t="s">
        <v>169</v>
      </c>
    </row>
    <row r="77" spans="1:5" x14ac:dyDescent="0.25">
      <c r="A77" t="s">
        <v>24</v>
      </c>
      <c r="B77" t="s">
        <v>168</v>
      </c>
      <c r="C77" t="s">
        <v>169</v>
      </c>
      <c r="D77" t="s">
        <v>27</v>
      </c>
      <c r="E77" t="s">
        <v>164</v>
      </c>
    </row>
    <row r="78" spans="1:5" x14ac:dyDescent="0.25">
      <c r="A78" t="s">
        <v>1</v>
      </c>
      <c r="B78" t="s">
        <v>170</v>
      </c>
      <c r="C78" t="s">
        <v>171</v>
      </c>
      <c r="D78" t="s">
        <v>172</v>
      </c>
      <c r="E78" t="s">
        <v>171</v>
      </c>
    </row>
    <row r="79" spans="1:5" x14ac:dyDescent="0.25">
      <c r="A79" t="s">
        <v>1</v>
      </c>
      <c r="B79" t="s">
        <v>173</v>
      </c>
      <c r="C79" t="s">
        <v>174</v>
      </c>
      <c r="D79" t="s">
        <v>167</v>
      </c>
      <c r="E79" t="s">
        <v>174</v>
      </c>
    </row>
    <row r="80" spans="1:5" x14ac:dyDescent="0.25">
      <c r="A80" t="s">
        <v>1</v>
      </c>
      <c r="B80" t="s">
        <v>175</v>
      </c>
      <c r="C80" t="s">
        <v>176</v>
      </c>
      <c r="D80" t="s">
        <v>177</v>
      </c>
      <c r="E80" t="s">
        <v>176</v>
      </c>
    </row>
    <row r="81" spans="1:5" x14ac:dyDescent="0.25">
      <c r="A81" t="s">
        <v>1</v>
      </c>
      <c r="B81" t="s">
        <v>178</v>
      </c>
      <c r="C81" t="s">
        <v>179</v>
      </c>
      <c r="D81" t="s">
        <v>180</v>
      </c>
      <c r="E81" t="s">
        <v>179</v>
      </c>
    </row>
    <row r="82" spans="1:5" x14ac:dyDescent="0.25">
      <c r="A82" t="s">
        <v>1</v>
      </c>
      <c r="B82" t="s">
        <v>178</v>
      </c>
      <c r="C82" t="s">
        <v>179</v>
      </c>
      <c r="D82" t="s">
        <v>181</v>
      </c>
      <c r="E82" t="s">
        <v>179</v>
      </c>
    </row>
    <row r="83" spans="1:5" x14ac:dyDescent="0.25">
      <c r="A83" t="s">
        <v>1</v>
      </c>
      <c r="B83" t="s">
        <v>178</v>
      </c>
      <c r="C83" t="s">
        <v>179</v>
      </c>
      <c r="D83" t="s">
        <v>182</v>
      </c>
      <c r="E83" t="s">
        <v>179</v>
      </c>
    </row>
    <row r="84" spans="1:5" x14ac:dyDescent="0.25">
      <c r="A84" t="s">
        <v>1</v>
      </c>
      <c r="B84" t="s">
        <v>178</v>
      </c>
      <c r="C84" t="s">
        <v>179</v>
      </c>
      <c r="D84" t="s">
        <v>183</v>
      </c>
      <c r="E84" t="s">
        <v>179</v>
      </c>
    </row>
    <row r="85" spans="1:5" x14ac:dyDescent="0.25">
      <c r="A85" t="s">
        <v>1</v>
      </c>
      <c r="B85" t="s">
        <v>178</v>
      </c>
      <c r="C85" t="s">
        <v>179</v>
      </c>
      <c r="D85" t="s">
        <v>184</v>
      </c>
      <c r="E85" t="s">
        <v>179</v>
      </c>
    </row>
    <row r="86" spans="1:5" x14ac:dyDescent="0.25">
      <c r="A86" t="s">
        <v>1</v>
      </c>
      <c r="B86" t="s">
        <v>178</v>
      </c>
      <c r="C86" t="s">
        <v>179</v>
      </c>
      <c r="D86" t="s">
        <v>185</v>
      </c>
      <c r="E86" t="s">
        <v>179</v>
      </c>
    </row>
    <row r="87" spans="1:5" x14ac:dyDescent="0.25">
      <c r="A87" t="s">
        <v>1</v>
      </c>
      <c r="B87" t="s">
        <v>178</v>
      </c>
      <c r="C87" t="s">
        <v>179</v>
      </c>
      <c r="D87" t="s">
        <v>22</v>
      </c>
      <c r="E87" t="s">
        <v>179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0814-0FE2-45CF-9FDB-715E85DA2B14}">
  <sheetPr codeName="Planilha2">
    <tabColor theme="5"/>
  </sheetPr>
  <dimension ref="A1:U22"/>
  <sheetViews>
    <sheetView workbookViewId="0">
      <selection activeCell="F5" sqref="F5"/>
    </sheetView>
  </sheetViews>
  <sheetFormatPr defaultRowHeight="15" x14ac:dyDescent="0.25"/>
  <cols>
    <col min="2" max="2" width="10" customWidth="1"/>
    <col min="3" max="3" width="21.5703125" customWidth="1"/>
    <col min="4" max="4" width="10" customWidth="1"/>
    <col min="5" max="5" width="30.42578125" bestFit="1" customWidth="1"/>
    <col min="6" max="6" width="17.42578125" customWidth="1"/>
    <col min="9" max="9" width="10.42578125" customWidth="1"/>
    <col min="10" max="10" width="15.42578125" customWidth="1"/>
    <col min="13" max="14" width="12.42578125" customWidth="1"/>
    <col min="15" max="15" width="11.42578125" customWidth="1"/>
    <col min="17" max="17" width="14.5703125" customWidth="1"/>
    <col min="18" max="18" width="14.42578125" customWidth="1"/>
    <col min="19" max="19" width="13.5703125" customWidth="1"/>
    <col min="20" max="20" width="14" customWidth="1"/>
    <col min="21" max="21" width="13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186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1</v>
      </c>
      <c r="B2" t="s">
        <v>187</v>
      </c>
      <c r="C2" t="s">
        <v>188</v>
      </c>
      <c r="D2" t="s">
        <v>189</v>
      </c>
      <c r="E2" t="str">
        <f>Tabela2[[#This Row],[Processo de Negócio]]&amp;" ("&amp;Tabela2[[#This Row],[Tipo OV]]&amp;")"</f>
        <v>Venda Melaço (Y007)</v>
      </c>
      <c r="F2" t="s">
        <v>188</v>
      </c>
    </row>
    <row r="3" spans="1:21" x14ac:dyDescent="0.25">
      <c r="A3" t="s">
        <v>1</v>
      </c>
      <c r="B3" t="s">
        <v>190</v>
      </c>
      <c r="C3" t="s">
        <v>191</v>
      </c>
      <c r="D3" t="s">
        <v>22</v>
      </c>
      <c r="E3" t="str">
        <f>Tabela2[[#This Row],[Processo de Negócio]]&amp;" ("&amp;Tabela2[[#This Row],[Tipo OV]]&amp;")"</f>
        <v>Venda Agua Vapor (Y002)</v>
      </c>
      <c r="F3" t="s">
        <v>191</v>
      </c>
    </row>
    <row r="4" spans="1:21" x14ac:dyDescent="0.25">
      <c r="A4" t="s">
        <v>1</v>
      </c>
      <c r="B4" t="s">
        <v>192</v>
      </c>
      <c r="C4" t="s">
        <v>193</v>
      </c>
      <c r="D4" t="s">
        <v>194</v>
      </c>
      <c r="E4" t="str">
        <f>Tabela2[[#This Row],[Processo de Negócio]]&amp;" ("&amp;Tabela2[[#This Row],[Tipo OV]]&amp;")"</f>
        <v>Transferencia Matriz/Filial (PIMS)</v>
      </c>
      <c r="F4" t="s">
        <v>195</v>
      </c>
    </row>
    <row r="5" spans="1:21" x14ac:dyDescent="0.25">
      <c r="A5" t="s">
        <v>1</v>
      </c>
      <c r="B5" t="s">
        <v>196</v>
      </c>
      <c r="C5" t="s">
        <v>193</v>
      </c>
      <c r="D5" t="s">
        <v>194</v>
      </c>
      <c r="E5" t="str">
        <f>Tabela2[[#This Row],[Processo de Negócio]]&amp;" ("&amp;Tabela2[[#This Row],[Tipo OV]]&amp;")"</f>
        <v>Transferencia Matriz/Filial (PIMS)</v>
      </c>
      <c r="F5" t="s">
        <v>197</v>
      </c>
    </row>
    <row r="6" spans="1:21" x14ac:dyDescent="0.25">
      <c r="A6" t="s">
        <v>1</v>
      </c>
      <c r="B6" t="s">
        <v>198</v>
      </c>
      <c r="C6" t="s">
        <v>199</v>
      </c>
      <c r="D6" t="s">
        <v>200</v>
      </c>
      <c r="E6" t="str">
        <f>Tabela2[[#This Row],[Processo de Negócio]]&amp;" ("&amp;Tabela2[[#This Row],[Tipo OV]]&amp;")"</f>
        <v>Doação (Y013)</v>
      </c>
      <c r="F6" t="s">
        <v>199</v>
      </c>
    </row>
    <row r="7" spans="1:21" x14ac:dyDescent="0.25">
      <c r="A7" t="s">
        <v>1</v>
      </c>
      <c r="B7" t="s">
        <v>201</v>
      </c>
      <c r="C7" t="s">
        <v>202</v>
      </c>
      <c r="D7" t="s">
        <v>203</v>
      </c>
      <c r="E7" t="str">
        <f>Tabela2[[#This Row],[Processo de Negócio]]&amp;" ("&amp;Tabela2[[#This Row],[Tipo OV]]&amp;")"</f>
        <v>Doação com Movimentação (Y103)</v>
      </c>
      <c r="F7" t="s">
        <v>202</v>
      </c>
    </row>
    <row r="8" spans="1:21" x14ac:dyDescent="0.25">
      <c r="A8" t="s">
        <v>1</v>
      </c>
      <c r="B8" t="s">
        <v>204</v>
      </c>
      <c r="C8" t="s">
        <v>205</v>
      </c>
      <c r="D8" t="s">
        <v>206</v>
      </c>
      <c r="E8" t="str">
        <f>Tabela2[[#This Row],[Processo de Negócio]]&amp;" ("&amp;Tabela2[[#This Row],[Tipo OV]]&amp;")"</f>
        <v>Venda Ativo F.E (Y005)</v>
      </c>
      <c r="F8" t="s">
        <v>205</v>
      </c>
    </row>
    <row r="9" spans="1:21" x14ac:dyDescent="0.25">
      <c r="A9" t="s">
        <v>24</v>
      </c>
      <c r="B9" t="s">
        <v>204</v>
      </c>
      <c r="C9" t="s">
        <v>205</v>
      </c>
      <c r="D9" t="s">
        <v>27</v>
      </c>
      <c r="E9" t="str">
        <f>Tabela2[[#This Row],[Processo de Negócio]]&amp;" ("&amp;Tabela2[[#This Row],[Tipo OV]]&amp;")"</f>
        <v>Venda Ativo F.E (YRET)</v>
      </c>
      <c r="F9" t="s">
        <v>207</v>
      </c>
    </row>
    <row r="10" spans="1:21" x14ac:dyDescent="0.25">
      <c r="A10" t="s">
        <v>1</v>
      </c>
      <c r="B10" t="s">
        <v>208</v>
      </c>
      <c r="C10" t="s">
        <v>209</v>
      </c>
      <c r="D10" t="s">
        <v>189</v>
      </c>
      <c r="E10" t="str">
        <f>Tabela2[[#This Row],[Processo de Negócio]]&amp;" ("&amp;Tabela2[[#This Row],[Tipo OV]]&amp;")"</f>
        <v>Venda Sucata - Residuo (Y007)</v>
      </c>
      <c r="F10" t="s">
        <v>209</v>
      </c>
    </row>
    <row r="11" spans="1:21" x14ac:dyDescent="0.25">
      <c r="A11" t="s">
        <v>24</v>
      </c>
      <c r="B11" t="s">
        <v>208</v>
      </c>
      <c r="C11" t="s">
        <v>209</v>
      </c>
      <c r="D11" t="s">
        <v>210</v>
      </c>
      <c r="E11" t="str">
        <f>Tabela2[[#This Row],[Processo de Negócio]]&amp;" ("&amp;Tabela2[[#This Row],[Tipo OV]]&amp;")"</f>
        <v>Venda Sucata - Residuo (YRE8)</v>
      </c>
      <c r="F11" t="s">
        <v>211</v>
      </c>
    </row>
    <row r="12" spans="1:21" x14ac:dyDescent="0.25">
      <c r="A12" t="s">
        <v>24</v>
      </c>
      <c r="B12" t="s">
        <v>208</v>
      </c>
      <c r="C12" t="s">
        <v>209</v>
      </c>
      <c r="D12" t="s">
        <v>212</v>
      </c>
      <c r="E12" t="str">
        <f>Tabela2[[#This Row],[Processo de Negócio]]&amp;" ("&amp;Tabela2[[#This Row],[Tipo OV]]&amp;")"</f>
        <v>Venda Sucata - Residuo (YDE8)</v>
      </c>
      <c r="F12" t="s">
        <v>213</v>
      </c>
    </row>
    <row r="13" spans="1:21" x14ac:dyDescent="0.25">
      <c r="A13" t="s">
        <v>1</v>
      </c>
      <c r="B13" t="s">
        <v>214</v>
      </c>
      <c r="C13" t="s">
        <v>215</v>
      </c>
      <c r="D13" t="s">
        <v>216</v>
      </c>
      <c r="E13" t="str">
        <f>Tabela2[[#This Row],[Processo de Negócio]]&amp;" ("&amp;Tabela2[[#This Row],[Tipo OV]]&amp;")"</f>
        <v>Venda de Serviços  (Y017)</v>
      </c>
      <c r="F13" t="s">
        <v>215</v>
      </c>
    </row>
    <row r="14" spans="1:21" x14ac:dyDescent="0.25">
      <c r="A14" t="s">
        <v>1</v>
      </c>
      <c r="B14" t="s">
        <v>217</v>
      </c>
      <c r="C14" t="s">
        <v>218</v>
      </c>
      <c r="D14" t="s">
        <v>219</v>
      </c>
      <c r="E14" t="str">
        <f>Tabela2[[#This Row],[Processo de Negócio]]&amp;" ("&amp;Tabela2[[#This Row],[Tipo OV]]&amp;")"</f>
        <v>Peças.Aplicadas (Y066)</v>
      </c>
      <c r="F14" t="s">
        <v>218</v>
      </c>
    </row>
    <row r="15" spans="1:21" x14ac:dyDescent="0.25">
      <c r="A15" t="s">
        <v>1</v>
      </c>
      <c r="B15" t="s">
        <v>220</v>
      </c>
      <c r="C15" t="s">
        <v>221</v>
      </c>
      <c r="D15" t="s">
        <v>222</v>
      </c>
      <c r="E15" t="str">
        <f>Tabela2[[#This Row],[Processo de Negócio]]&amp;" ("&amp;Tabela2[[#This Row],[Tipo OV]]&amp;")"</f>
        <v>Remessa Conserto (YSCO)</v>
      </c>
      <c r="F15" t="s">
        <v>221</v>
      </c>
    </row>
    <row r="16" spans="1:21" x14ac:dyDescent="0.25">
      <c r="A16" t="s">
        <v>1</v>
      </c>
      <c r="B16" t="s">
        <v>223</v>
      </c>
      <c r="C16" t="s">
        <v>221</v>
      </c>
      <c r="D16" t="s">
        <v>224</v>
      </c>
      <c r="E16" t="str">
        <f>Tabela2[[#This Row],[Processo de Negócio]]&amp;" ("&amp;Tabela2[[#This Row],[Tipo OV]]&amp;")"</f>
        <v>Remessa Conserto (YRCO)</v>
      </c>
      <c r="F16" t="s">
        <v>221</v>
      </c>
    </row>
    <row r="17" spans="1:6" x14ac:dyDescent="0.25">
      <c r="A17" t="s">
        <v>1</v>
      </c>
      <c r="B17" t="s">
        <v>225</v>
      </c>
      <c r="C17" t="s">
        <v>226</v>
      </c>
      <c r="D17" t="s">
        <v>227</v>
      </c>
      <c r="E17" t="str">
        <f>Tabela2[[#This Row],[Processo de Negócio]]&amp;" ("&amp;Tabela2[[#This Row],[Tipo OV]]&amp;")"</f>
        <v>Repasse Óleo Diesel (Y601)</v>
      </c>
      <c r="F17" t="s">
        <v>226</v>
      </c>
    </row>
    <row r="18" spans="1:6" x14ac:dyDescent="0.25">
      <c r="A18" t="s">
        <v>1</v>
      </c>
      <c r="B18" t="s">
        <v>228</v>
      </c>
      <c r="C18" t="s">
        <v>229</v>
      </c>
      <c r="D18" t="s">
        <v>230</v>
      </c>
      <c r="E18" t="str">
        <f>Tabela2[[#This Row],[Processo de Negócio]]&amp;" ("&amp;Tabela2[[#This Row],[Tipo OV]]&amp;")"</f>
        <v>Venda Cana de Açucar (Y602)</v>
      </c>
      <c r="F18" t="s">
        <v>229</v>
      </c>
    </row>
    <row r="19" spans="1:6" x14ac:dyDescent="0.25">
      <c r="A19" t="s">
        <v>1</v>
      </c>
      <c r="B19" t="s">
        <v>231</v>
      </c>
      <c r="C19" t="s">
        <v>232</v>
      </c>
      <c r="D19" t="s">
        <v>233</v>
      </c>
      <c r="E19" t="str">
        <f>Tabela2[[#This Row],[Processo de Negócio]]&amp;" ("&amp;Tabela2[[#This Row],[Tipo OV]]&amp;")"</f>
        <v>Venda de Insumos (Y603)</v>
      </c>
      <c r="F19" t="s">
        <v>232</v>
      </c>
    </row>
    <row r="20" spans="1:6" x14ac:dyDescent="0.25">
      <c r="A20" t="s">
        <v>1</v>
      </c>
      <c r="B20" t="s">
        <v>234</v>
      </c>
      <c r="C20" t="s">
        <v>235</v>
      </c>
      <c r="D20" t="s">
        <v>236</v>
      </c>
      <c r="E20" t="str">
        <f>Tabela2[[#This Row],[Processo de Negócio]]&amp;" ("&amp;Tabela2[[#This Row],[Tipo OV]]&amp;")"</f>
        <v>Venda Combustivel Próprio (Y604)</v>
      </c>
      <c r="F20" t="s">
        <v>235</v>
      </c>
    </row>
    <row r="21" spans="1:6" x14ac:dyDescent="0.25">
      <c r="A21" t="s">
        <v>1</v>
      </c>
      <c r="B21" t="s">
        <v>237</v>
      </c>
      <c r="C21" t="s">
        <v>238</v>
      </c>
      <c r="D21" t="s">
        <v>239</v>
      </c>
      <c r="E21" t="str">
        <f>Tabela2[[#This Row],[Processo de Negócio]]&amp;" ("&amp;Tabela2[[#This Row],[Tipo OV]]&amp;")"</f>
        <v>Simples Remessa (Y803)</v>
      </c>
      <c r="F21" t="s">
        <v>240</v>
      </c>
    </row>
    <row r="22" spans="1:6" x14ac:dyDescent="0.25">
      <c r="A22" t="s">
        <v>1</v>
      </c>
      <c r="B22" t="s">
        <v>241</v>
      </c>
      <c r="C22" t="s">
        <v>242</v>
      </c>
      <c r="D22" t="s">
        <v>189</v>
      </c>
      <c r="E22" t="str">
        <f>Tabela2[[#This Row],[Processo de Negócio]]&amp;" ("&amp;Tabela2[[#This Row],[Tipo OV]]&amp;")"</f>
        <v>Inutilização (Y007)</v>
      </c>
      <c r="F22" t="s">
        <v>243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B34C-C820-42F5-8249-74C979A4A887}">
  <dimension ref="A1:AA142"/>
  <sheetViews>
    <sheetView workbookViewId="0">
      <selection activeCell="D21" sqref="D21"/>
    </sheetView>
  </sheetViews>
  <sheetFormatPr defaultRowHeight="15" customHeight="1" x14ac:dyDescent="0.25"/>
  <cols>
    <col min="1" max="1" width="12.28515625" customWidth="1"/>
    <col min="2" max="2" width="21.140625" hidden="1" customWidth="1"/>
    <col min="3" max="3" width="27.28515625" customWidth="1"/>
    <col min="4" max="4" width="46.42578125" customWidth="1"/>
    <col min="5" max="5" width="12.42578125" hidden="1" customWidth="1"/>
    <col min="6" max="6" width="11.28515625" hidden="1" customWidth="1"/>
    <col min="7" max="7" width="22.5703125" customWidth="1"/>
    <col min="8" max="8" width="18.5703125" style="85" customWidth="1"/>
    <col min="9" max="10" width="17.42578125" style="9" hidden="1" customWidth="1"/>
    <col min="11" max="11" width="26.85546875" style="9" customWidth="1"/>
    <col min="12" max="12" width="13.5703125" style="78" hidden="1" customWidth="1"/>
    <col min="13" max="13" width="20.5703125" style="9" hidden="1" customWidth="1"/>
    <col min="14" max="14" width="20.5703125" style="75" bestFit="1" customWidth="1"/>
    <col min="15" max="15" width="95.42578125" style="9" bestFit="1" customWidth="1"/>
    <col min="16" max="16" width="23" customWidth="1"/>
    <col min="17" max="17" width="18.5703125" customWidth="1"/>
    <col min="18" max="18" width="20.42578125" customWidth="1"/>
    <col min="19" max="19" width="16.5703125" customWidth="1"/>
    <col min="20" max="20" width="26.42578125" customWidth="1"/>
    <col min="21" max="21" width="27.42578125" customWidth="1"/>
    <col min="22" max="25" width="16.5703125" customWidth="1"/>
    <col min="26" max="26" width="34.42578125" customWidth="1"/>
    <col min="27" max="27" width="8.5703125" bestFit="1" customWidth="1"/>
  </cols>
  <sheetData>
    <row r="1" spans="1:27" x14ac:dyDescent="0.25">
      <c r="A1" t="s">
        <v>244</v>
      </c>
      <c r="B1" t="s">
        <v>245</v>
      </c>
      <c r="C1" t="s">
        <v>1</v>
      </c>
      <c r="D1" t="s">
        <v>24</v>
      </c>
      <c r="E1" t="s">
        <v>246</v>
      </c>
      <c r="F1" t="s">
        <v>247</v>
      </c>
      <c r="G1" t="s">
        <v>248</v>
      </c>
      <c r="H1" s="84" t="s">
        <v>249</v>
      </c>
      <c r="I1" s="12" t="s">
        <v>250</v>
      </c>
      <c r="J1" s="12" t="s">
        <v>251</v>
      </c>
      <c r="K1" s="6" t="s">
        <v>252</v>
      </c>
      <c r="L1" s="78" t="s">
        <v>253</v>
      </c>
      <c r="M1" s="9" t="s">
        <v>254</v>
      </c>
      <c r="N1" s="75" t="s">
        <v>255</v>
      </c>
      <c r="O1" s="8" t="s">
        <v>19</v>
      </c>
      <c r="P1" s="17" t="s">
        <v>256</v>
      </c>
      <c r="Q1" s="17" t="s">
        <v>257</v>
      </c>
      <c r="R1" s="17" t="s">
        <v>258</v>
      </c>
      <c r="S1" s="17" t="s">
        <v>259</v>
      </c>
      <c r="T1" s="17" t="s">
        <v>260</v>
      </c>
      <c r="U1" s="17" t="s">
        <v>261</v>
      </c>
      <c r="V1" s="17" t="s">
        <v>262</v>
      </c>
      <c r="W1" s="17" t="s">
        <v>263</v>
      </c>
      <c r="X1" s="17" t="s">
        <v>264</v>
      </c>
      <c r="Y1" s="17" t="s">
        <v>265</v>
      </c>
      <c r="Z1" s="17" t="s">
        <v>266</v>
      </c>
      <c r="AA1" s="17" t="s">
        <v>267</v>
      </c>
    </row>
    <row r="2" spans="1:27" hidden="1" x14ac:dyDescent="0.25">
      <c r="A2" t="str">
        <f>IF(Tabela49[[#This Row],[Cenário]]&lt;&gt;"","TNV-"&amp;MID(Tabela49[[#This Row],[Cenário]],1,4)&amp;"_"&amp;ROW(),"")</f>
        <v>TNV-CT01_2</v>
      </c>
      <c r="C2" t="s">
        <v>268</v>
      </c>
      <c r="D2" t="s">
        <v>269</v>
      </c>
      <c r="G2" t="s">
        <v>270</v>
      </c>
      <c r="H2" s="85">
        <v>4705847492</v>
      </c>
      <c r="K2" s="6" t="s">
        <v>271</v>
      </c>
      <c r="N2" s="78">
        <v>46001</v>
      </c>
      <c r="O2" s="31"/>
      <c r="P2" s="9"/>
      <c r="Q2" s="9"/>
    </row>
    <row r="3" spans="1:27" hidden="1" x14ac:dyDescent="0.25">
      <c r="A3" t="str">
        <f>IF(Tabela49[[#This Row],[Cenário]]&lt;&gt;"","TNV-"&amp;MID(Tabela49[[#This Row],[Cenário]],1,4)&amp;"_"&amp;ROW(),"")</f>
        <v>TNV-CT01_3</v>
      </c>
      <c r="C3" t="s">
        <v>268</v>
      </c>
      <c r="D3" t="s">
        <v>272</v>
      </c>
      <c r="G3" t="s">
        <v>270</v>
      </c>
      <c r="H3" s="85">
        <v>46482747</v>
      </c>
      <c r="K3" s="6" t="s">
        <v>271</v>
      </c>
      <c r="N3" s="78">
        <v>46001</v>
      </c>
      <c r="O3" s="31"/>
      <c r="P3" s="9"/>
      <c r="Q3" s="9"/>
    </row>
    <row r="4" spans="1:27" hidden="1" x14ac:dyDescent="0.25">
      <c r="A4" t="str">
        <f>IF(Tabela49[[#This Row],[Cenário]]&lt;&gt;"","TNV-"&amp;MID(Tabela49[[#This Row],[Cenário]],1,4)&amp;"_"&amp;ROW(),"")</f>
        <v>TNV-CT01_4</v>
      </c>
      <c r="C4" t="s">
        <v>268</v>
      </c>
      <c r="D4" t="s">
        <v>273</v>
      </c>
      <c r="G4" t="s">
        <v>274</v>
      </c>
      <c r="K4" s="6" t="s">
        <v>275</v>
      </c>
      <c r="N4" s="78"/>
      <c r="O4" s="31"/>
      <c r="P4" s="9"/>
      <c r="Q4" s="9"/>
    </row>
    <row r="5" spans="1:27" hidden="1" x14ac:dyDescent="0.25">
      <c r="A5" t="str">
        <f>IF(Tabela49[[#This Row],[Cenário]]&lt;&gt;"","TNV-"&amp;MID(Tabela49[[#This Row],[Cenário]],1,4)&amp;"_"&amp;ROW(),"")</f>
        <v>TNV-CT01_5</v>
      </c>
      <c r="C5" t="s">
        <v>268</v>
      </c>
      <c r="D5" t="s">
        <v>276</v>
      </c>
      <c r="G5" t="s">
        <v>277</v>
      </c>
      <c r="K5" s="6" t="s">
        <v>275</v>
      </c>
      <c r="N5" s="78"/>
      <c r="O5" s="31"/>
      <c r="P5" s="9"/>
      <c r="Q5" s="9"/>
    </row>
    <row r="6" spans="1:27" hidden="1" x14ac:dyDescent="0.25">
      <c r="A6" t="str">
        <f>IF(Tabela49[[#This Row],[Cenário]]&lt;&gt;"","TNV-"&amp;MID(Tabela49[[#This Row],[Cenário]],1,4)&amp;"_"&amp;ROW(),"")</f>
        <v>TNV-CT01_6</v>
      </c>
      <c r="C6" t="s">
        <v>268</v>
      </c>
      <c r="D6" t="s">
        <v>278</v>
      </c>
      <c r="G6" t="s">
        <v>279</v>
      </c>
      <c r="K6" s="6" t="s">
        <v>275</v>
      </c>
      <c r="N6" s="78"/>
      <c r="O6" s="31"/>
      <c r="P6" s="9"/>
      <c r="Q6" s="9"/>
    </row>
    <row r="7" spans="1:27" hidden="1" x14ac:dyDescent="0.25">
      <c r="A7" t="str">
        <f>IF(Tabela49[[#This Row],[Cenário]]&lt;&gt;"","TNV-"&amp;MID(Tabela49[[#This Row],[Cenário]],1,4)&amp;"_"&amp;ROW(),"")</f>
        <v>TNV-CT01_7</v>
      </c>
      <c r="C7" t="s">
        <v>268</v>
      </c>
      <c r="D7" t="s">
        <v>280</v>
      </c>
      <c r="G7" t="s">
        <v>281</v>
      </c>
      <c r="K7" s="6" t="s">
        <v>275</v>
      </c>
      <c r="N7" s="78"/>
      <c r="O7" s="31"/>
      <c r="P7" s="9"/>
      <c r="Q7" s="9"/>
    </row>
    <row r="8" spans="1:27" hidden="1" x14ac:dyDescent="0.25">
      <c r="A8" t="str">
        <f>IF(Tabela49[[#This Row],[Cenário]]&lt;&gt;"","TNV-"&amp;MID(Tabela49[[#This Row],[Cenário]],1,4)&amp;"_"&amp;ROW(),"")</f>
        <v>TNV-CT01_8</v>
      </c>
      <c r="C8" t="s">
        <v>268</v>
      </c>
      <c r="D8" t="s">
        <v>282</v>
      </c>
      <c r="G8" t="s">
        <v>283</v>
      </c>
      <c r="K8" s="6" t="s">
        <v>275</v>
      </c>
      <c r="N8" s="78"/>
      <c r="O8" s="31"/>
      <c r="P8" s="9"/>
      <c r="Q8" s="9"/>
    </row>
    <row r="9" spans="1:27" hidden="1" x14ac:dyDescent="0.25">
      <c r="A9" t="str">
        <f>IF(Tabela49[[#This Row],[Cenário]]&lt;&gt;"","TNV-"&amp;MID(Tabela49[[#This Row],[Cenário]],1,4)&amp;"_"&amp;ROW(),"")</f>
        <v>TNV-CT01_9</v>
      </c>
      <c r="C9" t="s">
        <v>268</v>
      </c>
      <c r="D9" t="s">
        <v>284</v>
      </c>
      <c r="G9" t="s">
        <v>285</v>
      </c>
      <c r="K9" s="6" t="s">
        <v>275</v>
      </c>
      <c r="N9" s="78"/>
      <c r="O9" s="31"/>
      <c r="P9" s="9"/>
      <c r="Q9" s="9"/>
    </row>
    <row r="10" spans="1:27" hidden="1" x14ac:dyDescent="0.25">
      <c r="A10" t="str">
        <f>IF(Tabela49[[#This Row],[Cenário]]&lt;&gt;"","TNV-"&amp;MID(Tabela49[[#This Row],[Cenário]],1,4)&amp;"_"&amp;ROW(),"")</f>
        <v>TNV-CT01_10</v>
      </c>
      <c r="C10" t="s">
        <v>268</v>
      </c>
      <c r="D10" t="s">
        <v>286</v>
      </c>
      <c r="G10" t="s">
        <v>287</v>
      </c>
      <c r="K10" s="6" t="s">
        <v>275</v>
      </c>
      <c r="N10" s="78"/>
      <c r="O10" s="31"/>
      <c r="P10" s="9"/>
      <c r="Q10" s="9"/>
    </row>
    <row r="11" spans="1:27" hidden="1" x14ac:dyDescent="0.25">
      <c r="A11" t="str">
        <f>IF(Tabela49[[#This Row],[Cenário]]&lt;&gt;"","TNV-"&amp;MID(Tabela49[[#This Row],[Cenário]],1,4)&amp;"_"&amp;ROW(),"")</f>
        <v>TNV-CT02_11</v>
      </c>
      <c r="C11" t="s">
        <v>288</v>
      </c>
      <c r="D11" t="s">
        <v>269</v>
      </c>
      <c r="G11" t="s">
        <v>270</v>
      </c>
      <c r="H11" s="85">
        <v>4501889037</v>
      </c>
      <c r="K11" s="6" t="s">
        <v>271</v>
      </c>
      <c r="N11" s="78">
        <v>46001</v>
      </c>
      <c r="O11" s="31"/>
      <c r="P11" s="9"/>
      <c r="Q11" s="9"/>
    </row>
    <row r="12" spans="1:27" hidden="1" x14ac:dyDescent="0.25">
      <c r="A12" t="str">
        <f>IF(Tabela49[[#This Row],[Cenário]]&lt;&gt;"","TNV-"&amp;MID(Tabela49[[#This Row],[Cenário]],1,4)&amp;"_"&amp;ROW(),"")</f>
        <v>TNV-CT02_12</v>
      </c>
      <c r="C12" t="s">
        <v>288</v>
      </c>
      <c r="D12" t="s">
        <v>272</v>
      </c>
      <c r="G12" t="s">
        <v>270</v>
      </c>
      <c r="H12" s="85">
        <v>46482744</v>
      </c>
      <c r="K12" s="6" t="s">
        <v>289</v>
      </c>
      <c r="N12" s="78"/>
      <c r="O12" s="31" t="s">
        <v>290</v>
      </c>
      <c r="P12" s="9"/>
      <c r="Q12" s="9"/>
    </row>
    <row r="13" spans="1:27" x14ac:dyDescent="0.25">
      <c r="A13" t="str">
        <f>IF(Tabela49[[#This Row],[Cenário]]&lt;&gt;"","TNV-"&amp;MID(Tabela49[[#This Row],[Cenário]],1,4)&amp;"_"&amp;ROW(),"")</f>
        <v>TNV-CT02_13</v>
      </c>
      <c r="C13" t="s">
        <v>288</v>
      </c>
      <c r="D13" t="s">
        <v>273</v>
      </c>
      <c r="G13" t="s">
        <v>274</v>
      </c>
      <c r="K13" s="6" t="s">
        <v>261</v>
      </c>
      <c r="N13" s="78"/>
      <c r="O13" s="31"/>
      <c r="P13" s="9"/>
      <c r="Q13" s="9"/>
    </row>
    <row r="14" spans="1:27" x14ac:dyDescent="0.25">
      <c r="A14" t="str">
        <f>IF(Tabela49[[#This Row],[Cenário]]&lt;&gt;"","TNV-"&amp;MID(Tabela49[[#This Row],[Cenário]],1,4)&amp;"_"&amp;ROW(),"")</f>
        <v>TNV-CT02_14</v>
      </c>
      <c r="C14" t="s">
        <v>288</v>
      </c>
      <c r="D14" t="s">
        <v>276</v>
      </c>
      <c r="G14" t="s">
        <v>277</v>
      </c>
      <c r="K14" s="6" t="s">
        <v>261</v>
      </c>
      <c r="N14" s="78"/>
      <c r="O14" s="31"/>
      <c r="P14" s="9"/>
      <c r="Q14" s="9"/>
    </row>
    <row r="15" spans="1:27" x14ac:dyDescent="0.25">
      <c r="A15" t="str">
        <f>IF(Tabela49[[#This Row],[Cenário]]&lt;&gt;"","TNV-"&amp;MID(Tabela49[[#This Row],[Cenário]],1,4)&amp;"_"&amp;ROW(),"")</f>
        <v>TNV-CT02_15</v>
      </c>
      <c r="C15" t="s">
        <v>288</v>
      </c>
      <c r="D15" t="s">
        <v>278</v>
      </c>
      <c r="G15" t="s">
        <v>279</v>
      </c>
      <c r="K15" s="6" t="s">
        <v>261</v>
      </c>
      <c r="N15" s="78"/>
      <c r="O15" s="31"/>
      <c r="P15" s="9"/>
      <c r="Q15" s="9"/>
    </row>
    <row r="16" spans="1:27" x14ac:dyDescent="0.25">
      <c r="A16" t="str">
        <f>IF(Tabela49[[#This Row],[Cenário]]&lt;&gt;"","TNV-"&amp;MID(Tabela49[[#This Row],[Cenário]],1,4)&amp;"_"&amp;ROW(),"")</f>
        <v>TNV-CT02_16</v>
      </c>
      <c r="C16" t="s">
        <v>288</v>
      </c>
      <c r="D16" t="s">
        <v>280</v>
      </c>
      <c r="G16" t="s">
        <v>281</v>
      </c>
      <c r="K16" s="6" t="s">
        <v>261</v>
      </c>
      <c r="N16" s="78"/>
      <c r="O16" s="31"/>
      <c r="P16" s="9"/>
      <c r="Q16" s="9"/>
    </row>
    <row r="17" spans="1:17" x14ac:dyDescent="0.25">
      <c r="A17" t="str">
        <f>IF(Tabela49[[#This Row],[Cenário]]&lt;&gt;"","TNV-"&amp;MID(Tabela49[[#This Row],[Cenário]],1,4)&amp;"_"&amp;ROW(),"")</f>
        <v>TNV-CT02_17</v>
      </c>
      <c r="C17" t="s">
        <v>288</v>
      </c>
      <c r="D17" t="s">
        <v>282</v>
      </c>
      <c r="G17" t="s">
        <v>283</v>
      </c>
      <c r="K17" s="6" t="s">
        <v>261</v>
      </c>
      <c r="N17" s="78"/>
      <c r="O17" s="31"/>
      <c r="P17" s="9"/>
      <c r="Q17" s="9"/>
    </row>
    <row r="18" spans="1:17" x14ac:dyDescent="0.25">
      <c r="A18" t="str">
        <f>IF(Tabela49[[#This Row],[Cenário]]&lt;&gt;"","TNV-"&amp;MID(Tabela49[[#This Row],[Cenário]],1,4)&amp;"_"&amp;ROW(),"")</f>
        <v>TNV-CT02_18</v>
      </c>
      <c r="C18" t="s">
        <v>288</v>
      </c>
      <c r="D18" t="s">
        <v>284</v>
      </c>
      <c r="G18" t="s">
        <v>285</v>
      </c>
      <c r="K18" s="6" t="s">
        <v>261</v>
      </c>
      <c r="N18" s="78"/>
      <c r="O18" s="31"/>
      <c r="P18" s="9"/>
      <c r="Q18" s="9"/>
    </row>
    <row r="19" spans="1:17" x14ac:dyDescent="0.25">
      <c r="A19" t="str">
        <f>IF(Tabela49[[#This Row],[Cenário]]&lt;&gt;"","TNV-"&amp;MID(Tabela49[[#This Row],[Cenário]],1,4)&amp;"_"&amp;ROW(),"")</f>
        <v>TNV-CT02_19</v>
      </c>
      <c r="C19" t="s">
        <v>288</v>
      </c>
      <c r="D19" t="s">
        <v>286</v>
      </c>
      <c r="G19" t="s">
        <v>287</v>
      </c>
      <c r="K19" s="6" t="s">
        <v>261</v>
      </c>
      <c r="N19" s="78"/>
      <c r="O19" s="31"/>
      <c r="P19" s="9"/>
      <c r="Q19" s="9"/>
    </row>
    <row r="20" spans="1:17" hidden="1" x14ac:dyDescent="0.25">
      <c r="A20" t="str">
        <f>IF(Tabela49[[#This Row],[Cenário]]&lt;&gt;"","TNV-"&amp;MID(Tabela49[[#This Row],[Cenário]],1,4)&amp;"_"&amp;ROW(),"")</f>
        <v>TNV-CT05_20</v>
      </c>
      <c r="C20" t="s">
        <v>291</v>
      </c>
      <c r="D20" t="s">
        <v>269</v>
      </c>
      <c r="G20" t="s">
        <v>270</v>
      </c>
      <c r="H20" s="85">
        <v>46482768</v>
      </c>
      <c r="K20" s="6" t="s">
        <v>289</v>
      </c>
      <c r="N20" s="78"/>
      <c r="O20" s="31" t="s">
        <v>292</v>
      </c>
      <c r="P20" s="9"/>
      <c r="Q20" s="9"/>
    </row>
    <row r="21" spans="1:17" x14ac:dyDescent="0.25">
      <c r="A21" t="str">
        <f>IF(Tabela49[[#This Row],[Cenário]]&lt;&gt;"","TNV-"&amp;MID(Tabela49[[#This Row],[Cenário]],1,4)&amp;"_"&amp;ROW(),"")</f>
        <v>TNV-CT05_21</v>
      </c>
      <c r="C21" t="s">
        <v>291</v>
      </c>
      <c r="D21" t="s">
        <v>272</v>
      </c>
      <c r="G21" t="s">
        <v>270</v>
      </c>
      <c r="K21" s="6" t="s">
        <v>261</v>
      </c>
      <c r="N21" s="78"/>
      <c r="O21" s="31"/>
      <c r="P21" s="9"/>
      <c r="Q21" s="9"/>
    </row>
    <row r="22" spans="1:17" x14ac:dyDescent="0.25">
      <c r="A22" t="str">
        <f>IF(Tabela49[[#This Row],[Cenário]]&lt;&gt;"","TNV-"&amp;MID(Tabela49[[#This Row],[Cenário]],1,4)&amp;"_"&amp;ROW(),"")</f>
        <v>TNV-CT05_22</v>
      </c>
      <c r="C22" t="s">
        <v>291</v>
      </c>
      <c r="D22" t="s">
        <v>273</v>
      </c>
      <c r="G22" t="s">
        <v>274</v>
      </c>
      <c r="K22" s="6" t="s">
        <v>261</v>
      </c>
      <c r="N22" s="78"/>
      <c r="O22" s="31"/>
      <c r="P22" s="9"/>
      <c r="Q22" s="9"/>
    </row>
    <row r="23" spans="1:17" x14ac:dyDescent="0.25">
      <c r="A23" t="str">
        <f>IF(Tabela49[[#This Row],[Cenário]]&lt;&gt;"","TNV-"&amp;MID(Tabela49[[#This Row],[Cenário]],1,4)&amp;"_"&amp;ROW(),"")</f>
        <v>TNV-CT05_23</v>
      </c>
      <c r="C23" t="s">
        <v>291</v>
      </c>
      <c r="D23" t="s">
        <v>276</v>
      </c>
      <c r="G23" t="s">
        <v>277</v>
      </c>
      <c r="K23" s="6" t="s">
        <v>261</v>
      </c>
      <c r="N23" s="78"/>
      <c r="O23" s="31"/>
      <c r="P23" s="9"/>
      <c r="Q23" s="9"/>
    </row>
    <row r="24" spans="1:17" x14ac:dyDescent="0.25">
      <c r="A24" t="str">
        <f>IF(Tabela49[[#This Row],[Cenário]]&lt;&gt;"","TNV-"&amp;MID(Tabela49[[#This Row],[Cenário]],1,4)&amp;"_"&amp;ROW(),"")</f>
        <v>TNV-CT05_24</v>
      </c>
      <c r="C24" t="s">
        <v>291</v>
      </c>
      <c r="D24" t="s">
        <v>278</v>
      </c>
      <c r="G24" t="s">
        <v>279</v>
      </c>
      <c r="K24" s="6" t="s">
        <v>261</v>
      </c>
      <c r="N24" s="78"/>
      <c r="O24" s="31"/>
      <c r="P24" s="9"/>
      <c r="Q24" s="9"/>
    </row>
    <row r="25" spans="1:17" x14ac:dyDescent="0.25">
      <c r="A25" t="str">
        <f>IF(Tabela49[[#This Row],[Cenário]]&lt;&gt;"","TNV-"&amp;MID(Tabela49[[#This Row],[Cenário]],1,4)&amp;"_"&amp;ROW(),"")</f>
        <v>TNV-CT05_25</v>
      </c>
      <c r="C25" t="s">
        <v>291</v>
      </c>
      <c r="D25" t="s">
        <v>280</v>
      </c>
      <c r="G25" t="s">
        <v>281</v>
      </c>
      <c r="K25" s="6" t="s">
        <v>261</v>
      </c>
      <c r="N25" s="78"/>
      <c r="O25" s="31"/>
      <c r="P25" s="9"/>
      <c r="Q25" s="9"/>
    </row>
    <row r="26" spans="1:17" x14ac:dyDescent="0.25">
      <c r="A26" t="str">
        <f>IF(Tabela49[[#This Row],[Cenário]]&lt;&gt;"","TNV-"&amp;MID(Tabela49[[#This Row],[Cenário]],1,4)&amp;"_"&amp;ROW(),"")</f>
        <v>TNV-CT05_26</v>
      </c>
      <c r="C26" t="s">
        <v>291</v>
      </c>
      <c r="D26" t="s">
        <v>282</v>
      </c>
      <c r="G26" t="s">
        <v>283</v>
      </c>
      <c r="K26" s="6" t="s">
        <v>261</v>
      </c>
      <c r="N26" s="78"/>
      <c r="O26" s="31"/>
      <c r="P26" s="9"/>
      <c r="Q26" s="9"/>
    </row>
    <row r="27" spans="1:17" x14ac:dyDescent="0.25">
      <c r="A27" t="str">
        <f>IF(Tabela49[[#This Row],[Cenário]]&lt;&gt;"","TNV-"&amp;MID(Tabela49[[#This Row],[Cenário]],1,4)&amp;"_"&amp;ROW(),"")</f>
        <v>TNV-CT05_27</v>
      </c>
      <c r="C27" t="s">
        <v>291</v>
      </c>
      <c r="D27" t="s">
        <v>284</v>
      </c>
      <c r="G27" t="s">
        <v>285</v>
      </c>
      <c r="K27" s="6" t="s">
        <v>261</v>
      </c>
      <c r="N27" s="78"/>
      <c r="O27" s="31"/>
      <c r="P27" s="9"/>
      <c r="Q27" s="9"/>
    </row>
    <row r="28" spans="1:17" x14ac:dyDescent="0.25">
      <c r="A28" t="str">
        <f>IF(Tabela49[[#This Row],[Cenário]]&lt;&gt;"","TNV-"&amp;MID(Tabela49[[#This Row],[Cenário]],1,4)&amp;"_"&amp;ROW(),"")</f>
        <v>TNV-CT05_28</v>
      </c>
      <c r="C28" t="s">
        <v>291</v>
      </c>
      <c r="D28" t="s">
        <v>286</v>
      </c>
      <c r="G28" t="s">
        <v>287</v>
      </c>
      <c r="K28" s="6" t="s">
        <v>261</v>
      </c>
      <c r="N28" s="78"/>
      <c r="O28" s="31"/>
      <c r="P28" s="9"/>
      <c r="Q28" s="9"/>
    </row>
    <row r="29" spans="1:17" hidden="1" x14ac:dyDescent="0.25">
      <c r="A29" t="str">
        <f>IF(Tabela49[[#This Row],[Cenário]]&lt;&gt;"","TNV-"&amp;MID(Tabela49[[#This Row],[Cenário]],1,4)&amp;"_"&amp;ROW(),"")</f>
        <v>TNV-CT09_29</v>
      </c>
      <c r="C29" t="s">
        <v>293</v>
      </c>
      <c r="D29" t="s">
        <v>269</v>
      </c>
      <c r="G29" t="s">
        <v>270</v>
      </c>
      <c r="H29" s="85">
        <v>4501889077</v>
      </c>
      <c r="K29" s="6" t="s">
        <v>271</v>
      </c>
      <c r="N29" s="78">
        <v>46002</v>
      </c>
      <c r="O29" s="31"/>
      <c r="P29" s="9"/>
      <c r="Q29" s="9"/>
    </row>
    <row r="30" spans="1:17" hidden="1" x14ac:dyDescent="0.25">
      <c r="A30" t="str">
        <f>IF(Tabela49[[#This Row],[Cenário]]&lt;&gt;"","TNV-"&amp;MID(Tabela49[[#This Row],[Cenário]],1,4)&amp;"_"&amp;ROW(),"")</f>
        <v>TNV-CT09_30</v>
      </c>
      <c r="C30" t="s">
        <v>293</v>
      </c>
      <c r="D30" t="s">
        <v>272</v>
      </c>
      <c r="G30" t="s">
        <v>270</v>
      </c>
      <c r="K30" s="6" t="s">
        <v>294</v>
      </c>
      <c r="N30" s="78"/>
      <c r="O30" s="31"/>
      <c r="P30" s="9"/>
      <c r="Q30" s="9"/>
    </row>
    <row r="31" spans="1:17" hidden="1" x14ac:dyDescent="0.25">
      <c r="A31" t="str">
        <f>IF(Tabela49[[#This Row],[Cenário]]&lt;&gt;"","TNV-"&amp;MID(Tabela49[[#This Row],[Cenário]],1,4)&amp;"_"&amp;ROW(),"")</f>
        <v>TNV-CT09_31</v>
      </c>
      <c r="C31" t="s">
        <v>293</v>
      </c>
      <c r="D31" t="s">
        <v>273</v>
      </c>
      <c r="G31" t="s">
        <v>274</v>
      </c>
      <c r="K31" s="6" t="s">
        <v>294</v>
      </c>
      <c r="N31" s="78"/>
      <c r="O31" s="31"/>
      <c r="P31" s="9"/>
      <c r="Q31" s="9"/>
    </row>
    <row r="32" spans="1:17" hidden="1" x14ac:dyDescent="0.25">
      <c r="A32" t="str">
        <f>IF(Tabela49[[#This Row],[Cenário]]&lt;&gt;"","TNV-"&amp;MID(Tabela49[[#This Row],[Cenário]],1,4)&amp;"_"&amp;ROW(),"")</f>
        <v>TNV-CT09_32</v>
      </c>
      <c r="C32" t="s">
        <v>293</v>
      </c>
      <c r="D32" t="s">
        <v>276</v>
      </c>
      <c r="G32" t="s">
        <v>277</v>
      </c>
      <c r="K32" s="6" t="s">
        <v>294</v>
      </c>
      <c r="N32" s="78"/>
      <c r="O32" s="31"/>
      <c r="P32" s="9"/>
      <c r="Q32" s="9"/>
    </row>
    <row r="33" spans="1:17" hidden="1" x14ac:dyDescent="0.25">
      <c r="A33" t="str">
        <f>IF(Tabela49[[#This Row],[Cenário]]&lt;&gt;"","TNV-"&amp;MID(Tabela49[[#This Row],[Cenário]],1,4)&amp;"_"&amp;ROW(),"")</f>
        <v>TNV-CT09_33</v>
      </c>
      <c r="C33" t="s">
        <v>293</v>
      </c>
      <c r="D33" t="s">
        <v>278</v>
      </c>
      <c r="G33" t="s">
        <v>279</v>
      </c>
      <c r="K33" s="6" t="s">
        <v>294</v>
      </c>
      <c r="N33" s="78"/>
      <c r="O33" s="31"/>
      <c r="P33" s="9"/>
      <c r="Q33" s="9"/>
    </row>
    <row r="34" spans="1:17" hidden="1" x14ac:dyDescent="0.25">
      <c r="A34" t="str">
        <f>IF(Tabela49[[#This Row],[Cenário]]&lt;&gt;"","TNV-"&amp;MID(Tabela49[[#This Row],[Cenário]],1,4)&amp;"_"&amp;ROW(),"")</f>
        <v>TNV-CT09_34</v>
      </c>
      <c r="C34" t="s">
        <v>293</v>
      </c>
      <c r="D34" t="s">
        <v>280</v>
      </c>
      <c r="G34" t="s">
        <v>281</v>
      </c>
      <c r="K34" s="6" t="s">
        <v>294</v>
      </c>
      <c r="N34" s="78"/>
      <c r="O34" s="31"/>
      <c r="P34" s="9"/>
      <c r="Q34" s="9"/>
    </row>
    <row r="35" spans="1:17" hidden="1" x14ac:dyDescent="0.25">
      <c r="A35" t="str">
        <f>IF(Tabela49[[#This Row],[Cenário]]&lt;&gt;"","TNV-"&amp;MID(Tabela49[[#This Row],[Cenário]],1,4)&amp;"_"&amp;ROW(),"")</f>
        <v>TNV-CT09_35</v>
      </c>
      <c r="C35" t="s">
        <v>293</v>
      </c>
      <c r="D35" t="s">
        <v>282</v>
      </c>
      <c r="G35" t="s">
        <v>283</v>
      </c>
      <c r="K35" s="6" t="s">
        <v>294</v>
      </c>
      <c r="N35" s="78"/>
      <c r="O35" s="31"/>
      <c r="P35" s="9"/>
      <c r="Q35" s="9"/>
    </row>
    <row r="36" spans="1:17" hidden="1" x14ac:dyDescent="0.25">
      <c r="A36" t="str">
        <f>IF(Tabela49[[#This Row],[Cenário]]&lt;&gt;"","TNV-"&amp;MID(Tabela49[[#This Row],[Cenário]],1,4)&amp;"_"&amp;ROW(),"")</f>
        <v>TNV-CT09_36</v>
      </c>
      <c r="C36" t="s">
        <v>293</v>
      </c>
      <c r="D36" t="s">
        <v>284</v>
      </c>
      <c r="G36" t="s">
        <v>285</v>
      </c>
      <c r="K36" s="6" t="s">
        <v>294</v>
      </c>
      <c r="N36" s="78"/>
      <c r="O36" s="31"/>
      <c r="P36" s="9"/>
      <c r="Q36" s="9"/>
    </row>
    <row r="37" spans="1:17" hidden="1" x14ac:dyDescent="0.25">
      <c r="A37" t="str">
        <f>IF(Tabela49[[#This Row],[Cenário]]&lt;&gt;"","TNV-"&amp;MID(Tabela49[[#This Row],[Cenário]],1,4)&amp;"_"&amp;ROW(),"")</f>
        <v>TNV-CT09_37</v>
      </c>
      <c r="C37" t="s">
        <v>293</v>
      </c>
      <c r="D37" t="s">
        <v>286</v>
      </c>
      <c r="G37" t="s">
        <v>287</v>
      </c>
      <c r="K37" s="6" t="s">
        <v>294</v>
      </c>
      <c r="N37" s="78"/>
      <c r="O37" s="31"/>
      <c r="P37" s="9"/>
      <c r="Q37" s="9"/>
    </row>
    <row r="38" spans="1:17" hidden="1" x14ac:dyDescent="0.25">
      <c r="A38" t="str">
        <f>IF(Tabela49[[#This Row],[Cenário]]&lt;&gt;"","TNV-"&amp;MID(Tabela49[[#This Row],[Cenário]],1,4)&amp;"_"&amp;ROW(),"")</f>
        <v>TNV-CT09_38</v>
      </c>
      <c r="C38" t="s">
        <v>295</v>
      </c>
      <c r="D38" t="s">
        <v>269</v>
      </c>
      <c r="G38" t="s">
        <v>270</v>
      </c>
      <c r="H38" s="85">
        <v>4501889041</v>
      </c>
      <c r="K38" s="6" t="s">
        <v>271</v>
      </c>
      <c r="N38" s="78">
        <v>46001</v>
      </c>
      <c r="O38" s="31"/>
      <c r="P38" s="9"/>
      <c r="Q38" s="9"/>
    </row>
    <row r="39" spans="1:17" hidden="1" x14ac:dyDescent="0.25">
      <c r="A39" t="str">
        <f>IF(Tabela49[[#This Row],[Cenário]]&lt;&gt;"","TNV-"&amp;MID(Tabela49[[#This Row],[Cenário]],1,4)&amp;"_"&amp;ROW(),"")</f>
        <v>TNV-CT09_39</v>
      </c>
      <c r="C39" t="s">
        <v>295</v>
      </c>
      <c r="D39" t="s">
        <v>272</v>
      </c>
      <c r="G39" t="s">
        <v>270</v>
      </c>
      <c r="H39" s="85">
        <v>46482745</v>
      </c>
      <c r="K39" s="6" t="s">
        <v>271</v>
      </c>
      <c r="N39" s="78">
        <v>46001</v>
      </c>
      <c r="O39" s="31"/>
      <c r="P39" s="9"/>
      <c r="Q39" s="9"/>
    </row>
    <row r="40" spans="1:17" hidden="1" x14ac:dyDescent="0.25">
      <c r="A40" t="str">
        <f>IF(Tabela49[[#This Row],[Cenário]]&lt;&gt;"","TNV-"&amp;MID(Tabela49[[#This Row],[Cenário]],1,4)&amp;"_"&amp;ROW(),"")</f>
        <v>TNV-CT09_40</v>
      </c>
      <c r="C40" t="s">
        <v>295</v>
      </c>
      <c r="D40" t="s">
        <v>273</v>
      </c>
      <c r="G40" t="s">
        <v>274</v>
      </c>
      <c r="K40" s="6" t="s">
        <v>275</v>
      </c>
      <c r="N40" s="78"/>
      <c r="O40" s="31"/>
      <c r="P40" s="9"/>
      <c r="Q40" s="9"/>
    </row>
    <row r="41" spans="1:17" hidden="1" x14ac:dyDescent="0.25">
      <c r="A41" t="str">
        <f>IF(Tabela49[[#This Row],[Cenário]]&lt;&gt;"","TNV-"&amp;MID(Tabela49[[#This Row],[Cenário]],1,4)&amp;"_"&amp;ROW(),"")</f>
        <v>TNV-CT09_41</v>
      </c>
      <c r="C41" t="s">
        <v>295</v>
      </c>
      <c r="D41" t="s">
        <v>276</v>
      </c>
      <c r="G41" t="s">
        <v>277</v>
      </c>
      <c r="K41" s="6" t="s">
        <v>275</v>
      </c>
      <c r="N41" s="78"/>
      <c r="O41" s="31"/>
      <c r="P41" s="9"/>
      <c r="Q41" s="9"/>
    </row>
    <row r="42" spans="1:17" hidden="1" x14ac:dyDescent="0.25">
      <c r="A42" t="str">
        <f>IF(Tabela49[[#This Row],[Cenário]]&lt;&gt;"","TNV-"&amp;MID(Tabela49[[#This Row],[Cenário]],1,4)&amp;"_"&amp;ROW(),"")</f>
        <v>TNV-CT09_42</v>
      </c>
      <c r="C42" t="s">
        <v>295</v>
      </c>
      <c r="D42" t="s">
        <v>278</v>
      </c>
      <c r="G42" t="s">
        <v>279</v>
      </c>
      <c r="K42" s="6" t="s">
        <v>275</v>
      </c>
      <c r="N42" s="78"/>
      <c r="O42" s="31"/>
      <c r="P42" s="9"/>
      <c r="Q42" s="9"/>
    </row>
    <row r="43" spans="1:17" hidden="1" x14ac:dyDescent="0.25">
      <c r="A43" t="str">
        <f>IF(Tabela49[[#This Row],[Cenário]]&lt;&gt;"","TNV-"&amp;MID(Tabela49[[#This Row],[Cenário]],1,4)&amp;"_"&amp;ROW(),"")</f>
        <v>TNV-CT09_43</v>
      </c>
      <c r="C43" t="s">
        <v>295</v>
      </c>
      <c r="D43" t="s">
        <v>280</v>
      </c>
      <c r="G43" t="s">
        <v>281</v>
      </c>
      <c r="K43" s="6" t="s">
        <v>275</v>
      </c>
      <c r="N43" s="78"/>
      <c r="O43" s="31"/>
      <c r="P43" s="9"/>
      <c r="Q43" s="9"/>
    </row>
    <row r="44" spans="1:17" hidden="1" x14ac:dyDescent="0.25">
      <c r="A44" t="str">
        <f>IF(Tabela49[[#This Row],[Cenário]]&lt;&gt;"","TNV-"&amp;MID(Tabela49[[#This Row],[Cenário]],1,4)&amp;"_"&amp;ROW(),"")</f>
        <v>TNV-CT09_44</v>
      </c>
      <c r="C44" t="s">
        <v>295</v>
      </c>
      <c r="D44" t="s">
        <v>282</v>
      </c>
      <c r="G44" t="s">
        <v>283</v>
      </c>
      <c r="K44" s="6" t="s">
        <v>275</v>
      </c>
      <c r="N44" s="78"/>
      <c r="O44" s="31"/>
      <c r="P44" s="9"/>
      <c r="Q44" s="9"/>
    </row>
    <row r="45" spans="1:17" hidden="1" x14ac:dyDescent="0.25">
      <c r="A45" t="str">
        <f>IF(Tabela49[[#This Row],[Cenário]]&lt;&gt;"","TNV-"&amp;MID(Tabela49[[#This Row],[Cenário]],1,4)&amp;"_"&amp;ROW(),"")</f>
        <v>TNV-CT09_45</v>
      </c>
      <c r="C45" t="s">
        <v>295</v>
      </c>
      <c r="D45" t="s">
        <v>284</v>
      </c>
      <c r="G45" t="s">
        <v>285</v>
      </c>
      <c r="K45" s="6" t="s">
        <v>275</v>
      </c>
      <c r="N45" s="78"/>
      <c r="O45" s="31"/>
      <c r="P45" s="9"/>
      <c r="Q45" s="9"/>
    </row>
    <row r="46" spans="1:17" hidden="1" x14ac:dyDescent="0.25">
      <c r="A46" t="str">
        <f>IF(Tabela49[[#This Row],[Cenário]]&lt;&gt;"","TNV-"&amp;MID(Tabela49[[#This Row],[Cenário]],1,4)&amp;"_"&amp;ROW(),"")</f>
        <v>TNV-CT09_46</v>
      </c>
      <c r="C46" t="s">
        <v>295</v>
      </c>
      <c r="D46" t="s">
        <v>286</v>
      </c>
      <c r="G46" t="s">
        <v>287</v>
      </c>
      <c r="K46" s="6" t="s">
        <v>275</v>
      </c>
      <c r="N46" s="78"/>
      <c r="O46" s="31"/>
      <c r="P46" s="9"/>
      <c r="Q46" s="9"/>
    </row>
    <row r="47" spans="1:17" hidden="1" x14ac:dyDescent="0.25">
      <c r="A47" t="str">
        <f>IF(Tabela49[[#This Row],[Cenário]]&lt;&gt;"","TNV-"&amp;MID(Tabela49[[#This Row],[Cenário]],1,4)&amp;"_"&amp;ROW(),"")</f>
        <v>TNV-CT10_47</v>
      </c>
      <c r="C47" t="s">
        <v>296</v>
      </c>
      <c r="D47" t="s">
        <v>269</v>
      </c>
      <c r="G47" t="s">
        <v>270</v>
      </c>
      <c r="H47" s="85">
        <v>4501889057</v>
      </c>
      <c r="K47" s="6" t="s">
        <v>271</v>
      </c>
      <c r="N47" s="78">
        <v>46002</v>
      </c>
      <c r="O47" s="31"/>
      <c r="P47" s="9"/>
      <c r="Q47" s="9"/>
    </row>
    <row r="48" spans="1:17" hidden="1" x14ac:dyDescent="0.25">
      <c r="A48" t="str">
        <f>IF(Tabela49[[#This Row],[Cenário]]&lt;&gt;"","TNV-"&amp;MID(Tabela49[[#This Row],[Cenário]],1,4)&amp;"_"&amp;ROW(),"")</f>
        <v>TNV-CT10_48</v>
      </c>
      <c r="C48" t="s">
        <v>296</v>
      </c>
      <c r="D48" t="s">
        <v>272</v>
      </c>
      <c r="G48" t="s">
        <v>270</v>
      </c>
      <c r="K48" s="6" t="s">
        <v>289</v>
      </c>
      <c r="N48" s="78"/>
      <c r="O48" s="31" t="s">
        <v>297</v>
      </c>
      <c r="P48" s="9"/>
      <c r="Q48" s="9"/>
    </row>
    <row r="49" spans="1:17" x14ac:dyDescent="0.25">
      <c r="A49" t="str">
        <f>IF(Tabela49[[#This Row],[Cenário]]&lt;&gt;"","TNV-"&amp;MID(Tabela49[[#This Row],[Cenário]],1,4)&amp;"_"&amp;ROW(),"")</f>
        <v>TNV-CT10_49</v>
      </c>
      <c r="C49" t="s">
        <v>296</v>
      </c>
      <c r="D49" t="s">
        <v>273</v>
      </c>
      <c r="G49" t="s">
        <v>274</v>
      </c>
      <c r="K49" s="6" t="s">
        <v>261</v>
      </c>
      <c r="N49" s="78"/>
      <c r="O49" s="31"/>
      <c r="P49" s="9"/>
      <c r="Q49" s="9"/>
    </row>
    <row r="50" spans="1:17" x14ac:dyDescent="0.25">
      <c r="A50" t="str">
        <f>IF(Tabela49[[#This Row],[Cenário]]&lt;&gt;"","TNV-"&amp;MID(Tabela49[[#This Row],[Cenário]],1,4)&amp;"_"&amp;ROW(),"")</f>
        <v>TNV-CT10_50</v>
      </c>
      <c r="C50" t="s">
        <v>296</v>
      </c>
      <c r="D50" t="s">
        <v>276</v>
      </c>
      <c r="G50" t="s">
        <v>277</v>
      </c>
      <c r="K50" s="6" t="s">
        <v>261</v>
      </c>
      <c r="N50" s="78"/>
      <c r="O50" s="31"/>
      <c r="P50" s="9"/>
      <c r="Q50" s="9"/>
    </row>
    <row r="51" spans="1:17" x14ac:dyDescent="0.25">
      <c r="A51" t="str">
        <f>IF(Tabela49[[#This Row],[Cenário]]&lt;&gt;"","TNV-"&amp;MID(Tabela49[[#This Row],[Cenário]],1,4)&amp;"_"&amp;ROW(),"")</f>
        <v>TNV-CT10_51</v>
      </c>
      <c r="C51" t="s">
        <v>296</v>
      </c>
      <c r="D51" t="s">
        <v>278</v>
      </c>
      <c r="G51" t="s">
        <v>279</v>
      </c>
      <c r="K51" s="6" t="s">
        <v>261</v>
      </c>
      <c r="N51" s="78"/>
      <c r="O51" s="31"/>
      <c r="P51" s="9"/>
      <c r="Q51" s="9"/>
    </row>
    <row r="52" spans="1:17" x14ac:dyDescent="0.25">
      <c r="A52" t="str">
        <f>IF(Tabela49[[#This Row],[Cenário]]&lt;&gt;"","TNV-"&amp;MID(Tabela49[[#This Row],[Cenário]],1,4)&amp;"_"&amp;ROW(),"")</f>
        <v>TNV-CT10_52</v>
      </c>
      <c r="C52" t="s">
        <v>296</v>
      </c>
      <c r="D52" t="s">
        <v>280</v>
      </c>
      <c r="G52" t="s">
        <v>281</v>
      </c>
      <c r="K52" s="6" t="s">
        <v>261</v>
      </c>
      <c r="N52" s="78"/>
      <c r="O52" s="31"/>
      <c r="P52" s="9"/>
      <c r="Q52" s="9"/>
    </row>
    <row r="53" spans="1:17" x14ac:dyDescent="0.25">
      <c r="A53" t="str">
        <f>IF(Tabela49[[#This Row],[Cenário]]&lt;&gt;"","TNV-"&amp;MID(Tabela49[[#This Row],[Cenário]],1,4)&amp;"_"&amp;ROW(),"")</f>
        <v>TNV-CT10_53</v>
      </c>
      <c r="C53" t="s">
        <v>296</v>
      </c>
      <c r="D53" t="s">
        <v>282</v>
      </c>
      <c r="G53" t="s">
        <v>283</v>
      </c>
      <c r="K53" s="6" t="s">
        <v>261</v>
      </c>
      <c r="N53" s="78"/>
      <c r="O53" s="31"/>
      <c r="P53" s="9"/>
      <c r="Q53" s="9"/>
    </row>
    <row r="54" spans="1:17" x14ac:dyDescent="0.25">
      <c r="A54" t="str">
        <f>IF(Tabela49[[#This Row],[Cenário]]&lt;&gt;"","TNV-"&amp;MID(Tabela49[[#This Row],[Cenário]],1,4)&amp;"_"&amp;ROW(),"")</f>
        <v>TNV-CT10_54</v>
      </c>
      <c r="C54" t="s">
        <v>296</v>
      </c>
      <c r="D54" t="s">
        <v>284</v>
      </c>
      <c r="G54" t="s">
        <v>285</v>
      </c>
      <c r="K54" s="6" t="s">
        <v>261</v>
      </c>
      <c r="N54" s="78"/>
      <c r="O54" s="31"/>
      <c r="P54" s="9"/>
      <c r="Q54" s="9"/>
    </row>
    <row r="55" spans="1:17" x14ac:dyDescent="0.25">
      <c r="A55" t="str">
        <f>IF(Tabela49[[#This Row],[Cenário]]&lt;&gt;"","TNV-"&amp;MID(Tabela49[[#This Row],[Cenário]],1,4)&amp;"_"&amp;ROW(),"")</f>
        <v>TNV-CT10_55</v>
      </c>
      <c r="C55" t="s">
        <v>296</v>
      </c>
      <c r="D55" t="s">
        <v>286</v>
      </c>
      <c r="G55" t="s">
        <v>287</v>
      </c>
      <c r="K55" s="6" t="s">
        <v>261</v>
      </c>
      <c r="N55" s="78"/>
      <c r="O55" s="31"/>
      <c r="P55" s="9"/>
      <c r="Q55" s="9"/>
    </row>
    <row r="56" spans="1:17" hidden="1" x14ac:dyDescent="0.25">
      <c r="A56" t="str">
        <f>IF(Tabela49[[#This Row],[Cenário]]&lt;&gt;"","TNV-"&amp;MID(Tabela49[[#This Row],[Cenário]],1,4)&amp;"_"&amp;ROW(),"")</f>
        <v>TNV-MD01_56</v>
      </c>
      <c r="C56" t="s">
        <v>298</v>
      </c>
      <c r="D56" t="s">
        <v>269</v>
      </c>
      <c r="G56" t="s">
        <v>270</v>
      </c>
      <c r="H56" s="85">
        <v>4501887886</v>
      </c>
      <c r="K56" s="6" t="s">
        <v>271</v>
      </c>
      <c r="N56" s="78">
        <v>46002</v>
      </c>
      <c r="O56" s="31"/>
      <c r="P56" s="9"/>
      <c r="Q56" s="9"/>
    </row>
    <row r="57" spans="1:17" hidden="1" x14ac:dyDescent="0.25">
      <c r="A57" t="str">
        <f>IF(Tabela49[[#This Row],[Cenário]]&lt;&gt;"","TNV-"&amp;MID(Tabela49[[#This Row],[Cenário]],1,4)&amp;"_"&amp;ROW(),"")</f>
        <v>TNV-MD01_57</v>
      </c>
      <c r="C57" t="s">
        <v>298</v>
      </c>
      <c r="D57" t="s">
        <v>272</v>
      </c>
      <c r="G57" t="s">
        <v>270</v>
      </c>
      <c r="K57" s="6" t="s">
        <v>289</v>
      </c>
      <c r="N57" s="78"/>
      <c r="O57" s="31" t="s">
        <v>299</v>
      </c>
      <c r="P57" s="9"/>
      <c r="Q57" s="9"/>
    </row>
    <row r="58" spans="1:17" x14ac:dyDescent="0.25">
      <c r="A58" t="str">
        <f>IF(Tabela49[[#This Row],[Cenário]]&lt;&gt;"","TNV-"&amp;MID(Tabela49[[#This Row],[Cenário]],1,4)&amp;"_"&amp;ROW(),"")</f>
        <v>TNV-MD01_58</v>
      </c>
      <c r="C58" t="s">
        <v>298</v>
      </c>
      <c r="D58" t="s">
        <v>273</v>
      </c>
      <c r="G58" t="s">
        <v>274</v>
      </c>
      <c r="K58" s="6" t="s">
        <v>261</v>
      </c>
      <c r="N58" s="78"/>
      <c r="O58" s="31"/>
      <c r="P58" s="9"/>
      <c r="Q58" s="9"/>
    </row>
    <row r="59" spans="1:17" x14ac:dyDescent="0.25">
      <c r="A59" t="str">
        <f>IF(Tabela49[[#This Row],[Cenário]]&lt;&gt;"","TNV-"&amp;MID(Tabela49[[#This Row],[Cenário]],1,4)&amp;"_"&amp;ROW(),"")</f>
        <v>TNV-MD01_59</v>
      </c>
      <c r="C59" t="s">
        <v>298</v>
      </c>
      <c r="D59" t="s">
        <v>276</v>
      </c>
      <c r="G59" t="s">
        <v>277</v>
      </c>
      <c r="K59" s="6" t="s">
        <v>261</v>
      </c>
      <c r="N59" s="78"/>
      <c r="O59" s="31"/>
      <c r="P59" s="9"/>
      <c r="Q59" s="9"/>
    </row>
    <row r="60" spans="1:17" x14ac:dyDescent="0.25">
      <c r="A60" t="str">
        <f>IF(Tabela49[[#This Row],[Cenário]]&lt;&gt;"","TNV-"&amp;MID(Tabela49[[#This Row],[Cenário]],1,4)&amp;"_"&amp;ROW(),"")</f>
        <v>TNV-MD01_60</v>
      </c>
      <c r="C60" t="s">
        <v>298</v>
      </c>
      <c r="D60" t="s">
        <v>278</v>
      </c>
      <c r="G60" t="s">
        <v>279</v>
      </c>
      <c r="K60" s="6" t="s">
        <v>261</v>
      </c>
      <c r="N60" s="78"/>
      <c r="O60" s="31"/>
      <c r="P60" s="9"/>
      <c r="Q60" s="9"/>
    </row>
    <row r="61" spans="1:17" x14ac:dyDescent="0.25">
      <c r="A61" t="str">
        <f>IF(Tabela49[[#This Row],[Cenário]]&lt;&gt;"","TNV-"&amp;MID(Tabela49[[#This Row],[Cenário]],1,4)&amp;"_"&amp;ROW(),"")</f>
        <v>TNV-MD01_61</v>
      </c>
      <c r="C61" t="s">
        <v>298</v>
      </c>
      <c r="D61" t="s">
        <v>280</v>
      </c>
      <c r="G61" t="s">
        <v>281</v>
      </c>
      <c r="K61" s="6" t="s">
        <v>261</v>
      </c>
      <c r="N61" s="78"/>
      <c r="O61" s="31"/>
      <c r="P61" s="9"/>
      <c r="Q61" s="9"/>
    </row>
    <row r="62" spans="1:17" x14ac:dyDescent="0.25">
      <c r="A62" t="str">
        <f>IF(Tabela49[[#This Row],[Cenário]]&lt;&gt;"","TNV-"&amp;MID(Tabela49[[#This Row],[Cenário]],1,4)&amp;"_"&amp;ROW(),"")</f>
        <v>TNV-MD01_62</v>
      </c>
      <c r="C62" t="s">
        <v>298</v>
      </c>
      <c r="D62" t="s">
        <v>282</v>
      </c>
      <c r="G62" t="s">
        <v>283</v>
      </c>
      <c r="K62" s="6" t="s">
        <v>261</v>
      </c>
      <c r="N62" s="78"/>
      <c r="O62" s="31"/>
      <c r="P62" s="9"/>
      <c r="Q62" s="9"/>
    </row>
    <row r="63" spans="1:17" x14ac:dyDescent="0.25">
      <c r="A63" t="str">
        <f>IF(Tabela49[[#This Row],[Cenário]]&lt;&gt;"","TNV-"&amp;MID(Tabela49[[#This Row],[Cenário]],1,4)&amp;"_"&amp;ROW(),"")</f>
        <v>TNV-MD01_63</v>
      </c>
      <c r="C63" t="s">
        <v>298</v>
      </c>
      <c r="D63" t="s">
        <v>284</v>
      </c>
      <c r="G63" t="s">
        <v>285</v>
      </c>
      <c r="K63" s="6" t="s">
        <v>261</v>
      </c>
      <c r="N63" s="78"/>
      <c r="O63" s="31"/>
      <c r="P63" s="9"/>
      <c r="Q63" s="9"/>
    </row>
    <row r="64" spans="1:17" x14ac:dyDescent="0.25">
      <c r="A64" t="str">
        <f>IF(Tabela49[[#This Row],[Cenário]]&lt;&gt;"","TNV-"&amp;MID(Tabela49[[#This Row],[Cenário]],1,4)&amp;"_"&amp;ROW(),"")</f>
        <v>TNV-MD01_64</v>
      </c>
      <c r="C64" t="s">
        <v>298</v>
      </c>
      <c r="D64" t="s">
        <v>286</v>
      </c>
      <c r="G64" t="s">
        <v>287</v>
      </c>
      <c r="K64" s="6" t="s">
        <v>261</v>
      </c>
      <c r="N64" s="78"/>
      <c r="O64" s="31"/>
      <c r="P64" s="9"/>
      <c r="Q64" s="9"/>
    </row>
    <row r="65" spans="1:17" hidden="1" x14ac:dyDescent="0.25">
      <c r="A65" t="str">
        <f>IF(Tabela49[[#This Row],[Cenário]]&lt;&gt;"","TNV-"&amp;MID(Tabela49[[#This Row],[Cenário]],1,4)&amp;"_"&amp;ROW(),"")</f>
        <v>TNV-MD03_65</v>
      </c>
      <c r="C65" t="s">
        <v>300</v>
      </c>
      <c r="D65" t="s">
        <v>269</v>
      </c>
      <c r="G65" t="s">
        <v>270</v>
      </c>
      <c r="H65" s="85">
        <v>4501889051</v>
      </c>
      <c r="K65" s="6" t="s">
        <v>271</v>
      </c>
      <c r="N65" s="78">
        <v>46002</v>
      </c>
      <c r="O65" s="31"/>
      <c r="P65" s="9"/>
      <c r="Q65" s="9"/>
    </row>
    <row r="66" spans="1:17" hidden="1" x14ac:dyDescent="0.25">
      <c r="A66" t="str">
        <f>IF(Tabela49[[#This Row],[Cenário]]&lt;&gt;"","TNV-"&amp;MID(Tabela49[[#This Row],[Cenário]],1,4)&amp;"_"&amp;ROW(),"")</f>
        <v>TNV-MD03_66</v>
      </c>
      <c r="C66" t="s">
        <v>300</v>
      </c>
      <c r="D66" t="s">
        <v>272</v>
      </c>
      <c r="G66" t="s">
        <v>270</v>
      </c>
      <c r="H66" s="85">
        <v>46482798</v>
      </c>
      <c r="K66" s="6" t="s">
        <v>289</v>
      </c>
      <c r="N66" s="78"/>
      <c r="O66" s="31" t="s">
        <v>301</v>
      </c>
      <c r="P66" s="9"/>
      <c r="Q66" s="9"/>
    </row>
    <row r="67" spans="1:17" x14ac:dyDescent="0.25">
      <c r="A67" t="str">
        <f>IF(Tabela49[[#This Row],[Cenário]]&lt;&gt;"","TNV-"&amp;MID(Tabela49[[#This Row],[Cenário]],1,4)&amp;"_"&amp;ROW(),"")</f>
        <v>TNV-MD03_67</v>
      </c>
      <c r="C67" t="s">
        <v>300</v>
      </c>
      <c r="D67" t="s">
        <v>273</v>
      </c>
      <c r="G67" t="s">
        <v>274</v>
      </c>
      <c r="K67" s="6" t="s">
        <v>261</v>
      </c>
      <c r="N67" s="78"/>
      <c r="O67" s="31"/>
      <c r="P67" s="9"/>
      <c r="Q67" s="9"/>
    </row>
    <row r="68" spans="1:17" x14ac:dyDescent="0.25">
      <c r="A68" t="str">
        <f>IF(Tabela49[[#This Row],[Cenário]]&lt;&gt;"","TNV-"&amp;MID(Tabela49[[#This Row],[Cenário]],1,4)&amp;"_"&amp;ROW(),"")</f>
        <v>TNV-MD03_68</v>
      </c>
      <c r="C68" t="s">
        <v>300</v>
      </c>
      <c r="D68" t="s">
        <v>276</v>
      </c>
      <c r="G68" t="s">
        <v>277</v>
      </c>
      <c r="K68" s="6" t="s">
        <v>261</v>
      </c>
      <c r="N68" s="78"/>
      <c r="O68" s="31"/>
      <c r="P68" s="9"/>
      <c r="Q68" s="9"/>
    </row>
    <row r="69" spans="1:17" x14ac:dyDescent="0.25">
      <c r="A69" t="str">
        <f>IF(Tabela49[[#This Row],[Cenário]]&lt;&gt;"","TNV-"&amp;MID(Tabela49[[#This Row],[Cenário]],1,4)&amp;"_"&amp;ROW(),"")</f>
        <v>TNV-MD03_69</v>
      </c>
      <c r="C69" t="s">
        <v>300</v>
      </c>
      <c r="D69" t="s">
        <v>278</v>
      </c>
      <c r="G69" t="s">
        <v>279</v>
      </c>
      <c r="K69" s="6" t="s">
        <v>261</v>
      </c>
      <c r="N69" s="78"/>
      <c r="O69" s="31"/>
      <c r="P69" s="9"/>
      <c r="Q69" s="9"/>
    </row>
    <row r="70" spans="1:17" x14ac:dyDescent="0.25">
      <c r="A70" t="str">
        <f>IF(Tabela49[[#This Row],[Cenário]]&lt;&gt;"","TNV-"&amp;MID(Tabela49[[#This Row],[Cenário]],1,4)&amp;"_"&amp;ROW(),"")</f>
        <v>TNV-MD03_70</v>
      </c>
      <c r="C70" t="s">
        <v>300</v>
      </c>
      <c r="D70" t="s">
        <v>280</v>
      </c>
      <c r="G70" t="s">
        <v>281</v>
      </c>
      <c r="K70" s="6" t="s">
        <v>261</v>
      </c>
      <c r="N70" s="78"/>
      <c r="O70" s="31"/>
      <c r="P70" s="9"/>
      <c r="Q70" s="9"/>
    </row>
    <row r="71" spans="1:17" x14ac:dyDescent="0.25">
      <c r="A71" t="str">
        <f>IF(Tabela49[[#This Row],[Cenário]]&lt;&gt;"","TNV-"&amp;MID(Tabela49[[#This Row],[Cenário]],1,4)&amp;"_"&amp;ROW(),"")</f>
        <v>TNV-MD03_71</v>
      </c>
      <c r="C71" t="s">
        <v>300</v>
      </c>
      <c r="D71" t="s">
        <v>282</v>
      </c>
      <c r="G71" t="s">
        <v>283</v>
      </c>
      <c r="K71" s="6" t="s">
        <v>261</v>
      </c>
      <c r="N71" s="78"/>
      <c r="O71" s="31"/>
      <c r="P71" s="9"/>
      <c r="Q71" s="9"/>
    </row>
    <row r="72" spans="1:17" x14ac:dyDescent="0.25">
      <c r="A72" t="str">
        <f>IF(Tabela49[[#This Row],[Cenário]]&lt;&gt;"","TNV-"&amp;MID(Tabela49[[#This Row],[Cenário]],1,4)&amp;"_"&amp;ROW(),"")</f>
        <v>TNV-MD03_72</v>
      </c>
      <c r="C72" t="s">
        <v>300</v>
      </c>
      <c r="D72" t="s">
        <v>284</v>
      </c>
      <c r="G72" t="s">
        <v>285</v>
      </c>
      <c r="K72" s="6" t="s">
        <v>261</v>
      </c>
      <c r="N72" s="78"/>
      <c r="O72" s="31"/>
      <c r="P72" s="9"/>
      <c r="Q72" s="9"/>
    </row>
    <row r="73" spans="1:17" x14ac:dyDescent="0.25">
      <c r="A73" t="str">
        <f>IF(Tabela49[[#This Row],[Cenário]]&lt;&gt;"","TNV-"&amp;MID(Tabela49[[#This Row],[Cenário]],1,4)&amp;"_"&amp;ROW(),"")</f>
        <v>TNV-MD03_73</v>
      </c>
      <c r="C73" t="s">
        <v>300</v>
      </c>
      <c r="D73" t="s">
        <v>286</v>
      </c>
      <c r="G73" t="s">
        <v>287</v>
      </c>
      <c r="K73" s="6" t="s">
        <v>261</v>
      </c>
      <c r="N73" s="78"/>
      <c r="O73" s="31"/>
      <c r="P73" s="9"/>
      <c r="Q73" s="9"/>
    </row>
    <row r="74" spans="1:17" hidden="1" x14ac:dyDescent="0.25">
      <c r="A74" t="str">
        <f>IF(Tabela49[[#This Row],[Cenário]]&lt;&gt;"","TNV-"&amp;MID(Tabela49[[#This Row],[Cenário]],1,4)&amp;"_"&amp;ROW(),"")</f>
        <v>TNV-MD04_74</v>
      </c>
      <c r="C74" t="s">
        <v>302</v>
      </c>
      <c r="D74" t="s">
        <v>269</v>
      </c>
      <c r="G74" t="s">
        <v>270</v>
      </c>
      <c r="H74" s="85">
        <v>4501889052</v>
      </c>
      <c r="K74" s="6" t="s">
        <v>271</v>
      </c>
      <c r="N74" s="78">
        <v>46002</v>
      </c>
      <c r="O74" s="31"/>
      <c r="P74" s="9"/>
      <c r="Q74" s="9"/>
    </row>
    <row r="75" spans="1:17" hidden="1" x14ac:dyDescent="0.25">
      <c r="A75" t="str">
        <f>IF(Tabela49[[#This Row],[Cenário]]&lt;&gt;"","TNV-"&amp;MID(Tabela49[[#This Row],[Cenário]],1,4)&amp;"_"&amp;ROW(),"")</f>
        <v>TNV-MD04_75</v>
      </c>
      <c r="C75" t="s">
        <v>302</v>
      </c>
      <c r="D75" t="s">
        <v>272</v>
      </c>
      <c r="G75" t="s">
        <v>270</v>
      </c>
      <c r="K75" s="6" t="s">
        <v>289</v>
      </c>
      <c r="N75" s="78"/>
      <c r="O75" s="31" t="s">
        <v>299</v>
      </c>
      <c r="P75" s="9"/>
      <c r="Q75" s="9"/>
    </row>
    <row r="76" spans="1:17" x14ac:dyDescent="0.25">
      <c r="A76" t="str">
        <f>IF(Tabela49[[#This Row],[Cenário]]&lt;&gt;"","TNV-"&amp;MID(Tabela49[[#This Row],[Cenário]],1,4)&amp;"_"&amp;ROW(),"")</f>
        <v>TNV-MD04_76</v>
      </c>
      <c r="C76" t="s">
        <v>302</v>
      </c>
      <c r="D76" t="s">
        <v>273</v>
      </c>
      <c r="G76" t="s">
        <v>274</v>
      </c>
      <c r="K76" s="6" t="s">
        <v>261</v>
      </c>
      <c r="N76" s="78"/>
      <c r="O76" s="31"/>
      <c r="P76" s="9"/>
      <c r="Q76" s="9"/>
    </row>
    <row r="77" spans="1:17" x14ac:dyDescent="0.25">
      <c r="A77" t="str">
        <f>IF(Tabela49[[#This Row],[Cenário]]&lt;&gt;"","TNV-"&amp;MID(Tabela49[[#This Row],[Cenário]],1,4)&amp;"_"&amp;ROW(),"")</f>
        <v>TNV-MD04_77</v>
      </c>
      <c r="C77" t="s">
        <v>302</v>
      </c>
      <c r="D77" t="s">
        <v>276</v>
      </c>
      <c r="G77" t="s">
        <v>277</v>
      </c>
      <c r="K77" s="6" t="s">
        <v>261</v>
      </c>
      <c r="N77" s="78"/>
      <c r="O77" s="31"/>
      <c r="P77" s="9"/>
      <c r="Q77" s="9"/>
    </row>
    <row r="78" spans="1:17" x14ac:dyDescent="0.25">
      <c r="A78" t="str">
        <f>IF(Tabela49[[#This Row],[Cenário]]&lt;&gt;"","TNV-"&amp;MID(Tabela49[[#This Row],[Cenário]],1,4)&amp;"_"&amp;ROW(),"")</f>
        <v>TNV-MD04_78</v>
      </c>
      <c r="C78" t="s">
        <v>302</v>
      </c>
      <c r="D78" t="s">
        <v>278</v>
      </c>
      <c r="G78" t="s">
        <v>279</v>
      </c>
      <c r="K78" s="6" t="s">
        <v>261</v>
      </c>
      <c r="N78" s="78"/>
      <c r="O78" s="31"/>
      <c r="P78" s="9"/>
      <c r="Q78" s="9"/>
    </row>
    <row r="79" spans="1:17" x14ac:dyDescent="0.25">
      <c r="A79" t="str">
        <f>IF(Tabela49[[#This Row],[Cenário]]&lt;&gt;"","TNV-"&amp;MID(Tabela49[[#This Row],[Cenário]],1,4)&amp;"_"&amp;ROW(),"")</f>
        <v>TNV-MD04_79</v>
      </c>
      <c r="C79" t="s">
        <v>302</v>
      </c>
      <c r="D79" t="s">
        <v>280</v>
      </c>
      <c r="G79" t="s">
        <v>281</v>
      </c>
      <c r="K79" s="6" t="s">
        <v>261</v>
      </c>
      <c r="N79" s="78"/>
      <c r="O79" s="31"/>
      <c r="P79" s="9"/>
      <c r="Q79" s="9"/>
    </row>
    <row r="80" spans="1:17" x14ac:dyDescent="0.25">
      <c r="A80" t="str">
        <f>IF(Tabela49[[#This Row],[Cenário]]&lt;&gt;"","TNV-"&amp;MID(Tabela49[[#This Row],[Cenário]],1,4)&amp;"_"&amp;ROW(),"")</f>
        <v>TNV-MD04_80</v>
      </c>
      <c r="C80" t="s">
        <v>302</v>
      </c>
      <c r="D80" t="s">
        <v>282</v>
      </c>
      <c r="G80" t="s">
        <v>283</v>
      </c>
      <c r="K80" s="6" t="s">
        <v>261</v>
      </c>
      <c r="N80" s="78"/>
      <c r="O80" s="31"/>
      <c r="P80" s="9"/>
      <c r="Q80" s="9"/>
    </row>
    <row r="81" spans="1:17" x14ac:dyDescent="0.25">
      <c r="A81" t="str">
        <f>IF(Tabela49[[#This Row],[Cenário]]&lt;&gt;"","TNV-"&amp;MID(Tabela49[[#This Row],[Cenário]],1,4)&amp;"_"&amp;ROW(),"")</f>
        <v>TNV-MD04_81</v>
      </c>
      <c r="C81" t="s">
        <v>302</v>
      </c>
      <c r="D81" t="s">
        <v>284</v>
      </c>
      <c r="G81" t="s">
        <v>285</v>
      </c>
      <c r="K81" s="6" t="s">
        <v>261</v>
      </c>
      <c r="N81" s="78"/>
      <c r="O81" s="31"/>
      <c r="P81" s="9"/>
      <c r="Q81" s="9"/>
    </row>
    <row r="82" spans="1:17" x14ac:dyDescent="0.25">
      <c r="A82" t="str">
        <f>IF(Tabela49[[#This Row],[Cenário]]&lt;&gt;"","TNV-"&amp;MID(Tabela49[[#This Row],[Cenário]],1,4)&amp;"_"&amp;ROW(),"")</f>
        <v>TNV-MD04_82</v>
      </c>
      <c r="C82" t="s">
        <v>302</v>
      </c>
      <c r="D82" t="s">
        <v>286</v>
      </c>
      <c r="G82" t="s">
        <v>287</v>
      </c>
      <c r="K82" s="6" t="s">
        <v>261</v>
      </c>
      <c r="N82" s="78"/>
      <c r="O82" s="31"/>
      <c r="P82" s="9"/>
      <c r="Q82" s="9"/>
    </row>
    <row r="83" spans="1:17" hidden="1" x14ac:dyDescent="0.25">
      <c r="A83" t="str">
        <f>IF(Tabela49[[#This Row],[Cenário]]&lt;&gt;"","TNV-"&amp;MID(Tabela49[[#This Row],[Cenário]],1,4)&amp;"_"&amp;ROW(),"")</f>
        <v>TNV-MD06_83</v>
      </c>
      <c r="C83" t="s">
        <v>303</v>
      </c>
      <c r="D83" t="s">
        <v>269</v>
      </c>
      <c r="G83" t="s">
        <v>270</v>
      </c>
      <c r="H83" s="85">
        <v>4501889053</v>
      </c>
      <c r="K83" s="6" t="s">
        <v>271</v>
      </c>
      <c r="N83" s="78">
        <v>46002</v>
      </c>
      <c r="O83" s="31"/>
      <c r="P83" s="9"/>
      <c r="Q83" s="9"/>
    </row>
    <row r="84" spans="1:17" hidden="1" x14ac:dyDescent="0.25">
      <c r="A84" t="str">
        <f>IF(Tabela49[[#This Row],[Cenário]]&lt;&gt;"","TNV-"&amp;MID(Tabela49[[#This Row],[Cenário]],1,4)&amp;"_"&amp;ROW(),"")</f>
        <v>TNV-MD06_84</v>
      </c>
      <c r="C84" t="s">
        <v>303</v>
      </c>
      <c r="D84" t="s">
        <v>272</v>
      </c>
      <c r="G84" t="s">
        <v>270</v>
      </c>
      <c r="H84" s="85">
        <v>46482702</v>
      </c>
      <c r="K84" s="6" t="s">
        <v>289</v>
      </c>
      <c r="N84" s="78"/>
      <c r="O84" s="31" t="s">
        <v>299</v>
      </c>
      <c r="P84" s="9"/>
      <c r="Q84" s="9"/>
    </row>
    <row r="85" spans="1:17" x14ac:dyDescent="0.25">
      <c r="A85" t="str">
        <f>IF(Tabela49[[#This Row],[Cenário]]&lt;&gt;"","TNV-"&amp;MID(Tabela49[[#This Row],[Cenário]],1,4)&amp;"_"&amp;ROW(),"")</f>
        <v>TNV-MD06_85</v>
      </c>
      <c r="C85" t="s">
        <v>303</v>
      </c>
      <c r="D85" t="s">
        <v>273</v>
      </c>
      <c r="G85" t="s">
        <v>274</v>
      </c>
      <c r="K85" s="6" t="s">
        <v>261</v>
      </c>
      <c r="N85" s="78"/>
      <c r="O85" s="31"/>
      <c r="P85" s="9"/>
      <c r="Q85" s="9"/>
    </row>
    <row r="86" spans="1:17" x14ac:dyDescent="0.25">
      <c r="A86" t="str">
        <f>IF(Tabela49[[#This Row],[Cenário]]&lt;&gt;"","TNV-"&amp;MID(Tabela49[[#This Row],[Cenário]],1,4)&amp;"_"&amp;ROW(),"")</f>
        <v>TNV-MD06_86</v>
      </c>
      <c r="C86" t="s">
        <v>303</v>
      </c>
      <c r="D86" t="s">
        <v>276</v>
      </c>
      <c r="G86" t="s">
        <v>277</v>
      </c>
      <c r="K86" s="6" t="s">
        <v>261</v>
      </c>
      <c r="N86" s="78"/>
      <c r="O86" s="31"/>
      <c r="P86" s="9"/>
      <c r="Q86" s="9"/>
    </row>
    <row r="87" spans="1:17" x14ac:dyDescent="0.25">
      <c r="A87" t="str">
        <f>IF(Tabela49[[#This Row],[Cenário]]&lt;&gt;"","TNV-"&amp;MID(Tabela49[[#This Row],[Cenário]],1,4)&amp;"_"&amp;ROW(),"")</f>
        <v>TNV-MD06_87</v>
      </c>
      <c r="C87" t="s">
        <v>303</v>
      </c>
      <c r="D87" t="s">
        <v>278</v>
      </c>
      <c r="G87" t="s">
        <v>279</v>
      </c>
      <c r="K87" s="6" t="s">
        <v>261</v>
      </c>
      <c r="N87" s="78"/>
      <c r="O87" s="31"/>
      <c r="P87" s="9"/>
      <c r="Q87" s="9"/>
    </row>
    <row r="88" spans="1:17" x14ac:dyDescent="0.25">
      <c r="A88" t="str">
        <f>IF(Tabela49[[#This Row],[Cenário]]&lt;&gt;"","TNV-"&amp;MID(Tabela49[[#This Row],[Cenário]],1,4)&amp;"_"&amp;ROW(),"")</f>
        <v>TNV-MD06_88</v>
      </c>
      <c r="C88" t="s">
        <v>303</v>
      </c>
      <c r="D88" t="s">
        <v>280</v>
      </c>
      <c r="G88" t="s">
        <v>281</v>
      </c>
      <c r="K88" s="6" t="s">
        <v>261</v>
      </c>
      <c r="N88" s="78"/>
      <c r="O88" s="31"/>
      <c r="P88" s="9"/>
      <c r="Q88" s="9"/>
    </row>
    <row r="89" spans="1:17" x14ac:dyDescent="0.25">
      <c r="A89" t="str">
        <f>IF(Tabela49[[#This Row],[Cenário]]&lt;&gt;"","TNV-"&amp;MID(Tabela49[[#This Row],[Cenário]],1,4)&amp;"_"&amp;ROW(),"")</f>
        <v>TNV-MD06_89</v>
      </c>
      <c r="C89" t="s">
        <v>303</v>
      </c>
      <c r="D89" t="s">
        <v>282</v>
      </c>
      <c r="G89" t="s">
        <v>283</v>
      </c>
      <c r="K89" s="6" t="s">
        <v>261</v>
      </c>
      <c r="N89" s="78"/>
      <c r="O89" s="31"/>
      <c r="P89" s="9"/>
      <c r="Q89" s="9"/>
    </row>
    <row r="90" spans="1:17" x14ac:dyDescent="0.25">
      <c r="A90" t="str">
        <f>IF(Tabela49[[#This Row],[Cenário]]&lt;&gt;"","TNV-"&amp;MID(Tabela49[[#This Row],[Cenário]],1,4)&amp;"_"&amp;ROW(),"")</f>
        <v>TNV-MD06_90</v>
      </c>
      <c r="C90" t="s">
        <v>303</v>
      </c>
      <c r="D90" t="s">
        <v>284</v>
      </c>
      <c r="G90" t="s">
        <v>285</v>
      </c>
      <c r="K90" s="6" t="s">
        <v>261</v>
      </c>
      <c r="N90" s="78"/>
      <c r="O90" s="31"/>
      <c r="P90" s="9"/>
      <c r="Q90" s="9"/>
    </row>
    <row r="91" spans="1:17" x14ac:dyDescent="0.25">
      <c r="A91" t="str">
        <f>IF(Tabela49[[#This Row],[Cenário]]&lt;&gt;"","TNV-"&amp;MID(Tabela49[[#This Row],[Cenário]],1,4)&amp;"_"&amp;ROW(),"")</f>
        <v>TNV-MD06_91</v>
      </c>
      <c r="C91" t="s">
        <v>303</v>
      </c>
      <c r="D91" t="s">
        <v>286</v>
      </c>
      <c r="G91" t="s">
        <v>287</v>
      </c>
      <c r="K91" s="6" t="s">
        <v>261</v>
      </c>
      <c r="N91" s="78"/>
      <c r="O91" s="31"/>
      <c r="P91" s="9"/>
      <c r="Q91" s="9"/>
    </row>
    <row r="92" spans="1:17" hidden="1" x14ac:dyDescent="0.25">
      <c r="A92" t="str">
        <f>IF(Tabela49[[#This Row],[Cenário]]&lt;&gt;"","TNV-"&amp;MID(Tabela49[[#This Row],[Cenário]],1,4)&amp;"_"&amp;ROW(),"")</f>
        <v>TNV-MD08_92</v>
      </c>
      <c r="C92" t="s">
        <v>304</v>
      </c>
      <c r="D92" t="s">
        <v>269</v>
      </c>
      <c r="G92" t="s">
        <v>270</v>
      </c>
      <c r="H92" s="85">
        <v>4501889078</v>
      </c>
      <c r="K92" s="6" t="s">
        <v>271</v>
      </c>
      <c r="N92" s="78">
        <v>46002</v>
      </c>
      <c r="O92" s="31" t="s">
        <v>299</v>
      </c>
      <c r="P92" s="9"/>
      <c r="Q92" s="9"/>
    </row>
    <row r="93" spans="1:17" x14ac:dyDescent="0.25">
      <c r="A93" t="str">
        <f>IF(Tabela49[[#This Row],[Cenário]]&lt;&gt;"","TNV-"&amp;MID(Tabela49[[#This Row],[Cenário]],1,4)&amp;"_"&amp;ROW(),"")</f>
        <v>TNV-MD08_93</v>
      </c>
      <c r="C93" t="s">
        <v>304</v>
      </c>
      <c r="D93" t="s">
        <v>272</v>
      </c>
      <c r="G93" t="s">
        <v>270</v>
      </c>
      <c r="K93" s="6" t="s">
        <v>261</v>
      </c>
      <c r="N93" s="78"/>
      <c r="O93" s="31"/>
      <c r="P93" s="9"/>
      <c r="Q93" s="9"/>
    </row>
    <row r="94" spans="1:17" x14ac:dyDescent="0.25">
      <c r="A94" t="str">
        <f>IF(Tabela49[[#This Row],[Cenário]]&lt;&gt;"","TNV-"&amp;MID(Tabela49[[#This Row],[Cenário]],1,4)&amp;"_"&amp;ROW(),"")</f>
        <v>TNV-MD08_94</v>
      </c>
      <c r="C94" t="s">
        <v>304</v>
      </c>
      <c r="D94" t="s">
        <v>273</v>
      </c>
      <c r="G94" t="s">
        <v>274</v>
      </c>
      <c r="K94" s="6" t="s">
        <v>261</v>
      </c>
      <c r="N94" s="78"/>
      <c r="O94" s="31"/>
      <c r="P94" s="9"/>
      <c r="Q94" s="9"/>
    </row>
    <row r="95" spans="1:17" x14ac:dyDescent="0.25">
      <c r="A95" t="str">
        <f>IF(Tabela49[[#This Row],[Cenário]]&lt;&gt;"","TNV-"&amp;MID(Tabela49[[#This Row],[Cenário]],1,4)&amp;"_"&amp;ROW(),"")</f>
        <v>TNV-MD08_95</v>
      </c>
      <c r="C95" t="s">
        <v>304</v>
      </c>
      <c r="D95" t="s">
        <v>276</v>
      </c>
      <c r="G95" t="s">
        <v>277</v>
      </c>
      <c r="K95" s="6" t="s">
        <v>261</v>
      </c>
      <c r="N95" s="78"/>
      <c r="O95" s="31"/>
      <c r="P95" s="9"/>
      <c r="Q95" s="9"/>
    </row>
    <row r="96" spans="1:17" x14ac:dyDescent="0.25">
      <c r="A96" t="str">
        <f>IF(Tabela49[[#This Row],[Cenário]]&lt;&gt;"","TNV-"&amp;MID(Tabela49[[#This Row],[Cenário]],1,4)&amp;"_"&amp;ROW(),"")</f>
        <v>TNV-MD08_96</v>
      </c>
      <c r="C96" t="s">
        <v>304</v>
      </c>
      <c r="D96" t="s">
        <v>278</v>
      </c>
      <c r="G96" t="s">
        <v>279</v>
      </c>
      <c r="K96" s="6" t="s">
        <v>261</v>
      </c>
      <c r="N96" s="78"/>
      <c r="O96" s="31"/>
      <c r="P96" s="9"/>
      <c r="Q96" s="9"/>
    </row>
    <row r="97" spans="1:17" x14ac:dyDescent="0.25">
      <c r="A97" t="str">
        <f>IF(Tabela49[[#This Row],[Cenário]]&lt;&gt;"","TNV-"&amp;MID(Tabela49[[#This Row],[Cenário]],1,4)&amp;"_"&amp;ROW(),"")</f>
        <v>TNV-MD08_97</v>
      </c>
      <c r="C97" t="s">
        <v>304</v>
      </c>
      <c r="D97" t="s">
        <v>280</v>
      </c>
      <c r="G97" t="s">
        <v>281</v>
      </c>
      <c r="K97" s="6" t="s">
        <v>261</v>
      </c>
      <c r="N97" s="78"/>
      <c r="O97" s="31"/>
      <c r="P97" s="9"/>
      <c r="Q97" s="9"/>
    </row>
    <row r="98" spans="1:17" x14ac:dyDescent="0.25">
      <c r="A98" t="str">
        <f>IF(Tabela49[[#This Row],[Cenário]]&lt;&gt;"","TNV-"&amp;MID(Tabela49[[#This Row],[Cenário]],1,4)&amp;"_"&amp;ROW(),"")</f>
        <v>TNV-MD08_98</v>
      </c>
      <c r="C98" t="s">
        <v>304</v>
      </c>
      <c r="D98" t="s">
        <v>282</v>
      </c>
      <c r="G98" t="s">
        <v>283</v>
      </c>
      <c r="K98" s="6" t="s">
        <v>261</v>
      </c>
      <c r="N98" s="78"/>
      <c r="O98" s="31"/>
      <c r="P98" s="9"/>
      <c r="Q98" s="9"/>
    </row>
    <row r="99" spans="1:17" x14ac:dyDescent="0.25">
      <c r="A99" t="str">
        <f>IF(Tabela49[[#This Row],[Cenário]]&lt;&gt;"","TNV-"&amp;MID(Tabela49[[#This Row],[Cenário]],1,4)&amp;"_"&amp;ROW(),"")</f>
        <v>TNV-MD08_99</v>
      </c>
      <c r="C99" t="s">
        <v>304</v>
      </c>
      <c r="D99" t="s">
        <v>284</v>
      </c>
      <c r="G99" t="s">
        <v>285</v>
      </c>
      <c r="K99" s="6" t="s">
        <v>261</v>
      </c>
      <c r="N99" s="78"/>
      <c r="O99" s="31"/>
      <c r="P99" s="9"/>
      <c r="Q99" s="9"/>
    </row>
    <row r="100" spans="1:17" x14ac:dyDescent="0.25">
      <c r="A100" t="str">
        <f>IF(Tabela49[[#This Row],[Cenário]]&lt;&gt;"","TNV-"&amp;MID(Tabela49[[#This Row],[Cenário]],1,4)&amp;"_"&amp;ROW(),"")</f>
        <v>TNV-MD08_100</v>
      </c>
      <c r="C100" t="s">
        <v>304</v>
      </c>
      <c r="D100" t="s">
        <v>286</v>
      </c>
      <c r="G100" t="s">
        <v>287</v>
      </c>
      <c r="K100" s="6" t="s">
        <v>261</v>
      </c>
      <c r="N100" s="78"/>
      <c r="O100" s="31"/>
      <c r="P100" s="9"/>
      <c r="Q100" s="9"/>
    </row>
    <row r="101" spans="1:17" hidden="1" x14ac:dyDescent="0.25">
      <c r="A101" t="str">
        <f>IF(Tabela49[[#This Row],[Cenário]]&lt;&gt;"","TNV-"&amp;MID(Tabela49[[#This Row],[Cenário]],1,4)&amp;"_"&amp;ROW(),"")</f>
        <v>TNV-NS01_101</v>
      </c>
      <c r="C101" t="s">
        <v>305</v>
      </c>
      <c r="D101" t="s">
        <v>269</v>
      </c>
      <c r="G101" t="s">
        <v>270</v>
      </c>
      <c r="H101" s="85">
        <v>4501889046</v>
      </c>
      <c r="K101" s="6" t="s">
        <v>271</v>
      </c>
      <c r="N101" s="78">
        <v>46002</v>
      </c>
      <c r="O101" s="31"/>
      <c r="P101" s="9"/>
      <c r="Q101" s="9"/>
    </row>
    <row r="102" spans="1:17" hidden="1" x14ac:dyDescent="0.25">
      <c r="A102" t="str">
        <f>IF(Tabela49[[#This Row],[Cenário]]&lt;&gt;"","TNV-"&amp;MID(Tabela49[[#This Row],[Cenário]],1,4)&amp;"_"&amp;ROW(),"")</f>
        <v>TNV-NS01_102</v>
      </c>
      <c r="C102" t="s">
        <v>305</v>
      </c>
      <c r="D102" t="s">
        <v>272</v>
      </c>
      <c r="G102" t="s">
        <v>270</v>
      </c>
      <c r="K102" s="6" t="s">
        <v>289</v>
      </c>
      <c r="N102" s="78"/>
      <c r="O102" s="31" t="s">
        <v>299</v>
      </c>
      <c r="P102" s="9"/>
      <c r="Q102" s="9"/>
    </row>
    <row r="103" spans="1:17" x14ac:dyDescent="0.25">
      <c r="A103" t="str">
        <f>IF(Tabela49[[#This Row],[Cenário]]&lt;&gt;"","TNV-"&amp;MID(Tabela49[[#This Row],[Cenário]],1,4)&amp;"_"&amp;ROW(),"")</f>
        <v>TNV-NS01_103</v>
      </c>
      <c r="C103" t="s">
        <v>305</v>
      </c>
      <c r="D103" t="s">
        <v>273</v>
      </c>
      <c r="G103" t="s">
        <v>274</v>
      </c>
      <c r="K103" s="6" t="s">
        <v>261</v>
      </c>
      <c r="N103" s="78"/>
      <c r="O103" s="31"/>
      <c r="P103" s="9"/>
      <c r="Q103" s="9"/>
    </row>
    <row r="104" spans="1:17" x14ac:dyDescent="0.25">
      <c r="A104" t="str">
        <f>IF(Tabela49[[#This Row],[Cenário]]&lt;&gt;"","TNV-"&amp;MID(Tabela49[[#This Row],[Cenário]],1,4)&amp;"_"&amp;ROW(),"")</f>
        <v>TNV-NS01_104</v>
      </c>
      <c r="C104" t="s">
        <v>305</v>
      </c>
      <c r="D104" t="s">
        <v>276</v>
      </c>
      <c r="G104" t="s">
        <v>277</v>
      </c>
      <c r="K104" s="6" t="s">
        <v>261</v>
      </c>
      <c r="N104" s="78"/>
      <c r="O104" s="31"/>
      <c r="P104" s="9"/>
      <c r="Q104" s="9"/>
    </row>
    <row r="105" spans="1:17" x14ac:dyDescent="0.25">
      <c r="A105" t="str">
        <f>IF(Tabela49[[#This Row],[Cenário]]&lt;&gt;"","TNV-"&amp;MID(Tabela49[[#This Row],[Cenário]],1,4)&amp;"_"&amp;ROW(),"")</f>
        <v>TNV-NS01_105</v>
      </c>
      <c r="C105" t="s">
        <v>305</v>
      </c>
      <c r="D105" t="s">
        <v>278</v>
      </c>
      <c r="G105" t="s">
        <v>279</v>
      </c>
      <c r="K105" s="6" t="s">
        <v>261</v>
      </c>
      <c r="N105" s="78"/>
      <c r="O105" s="31"/>
      <c r="P105" s="9"/>
      <c r="Q105" s="9"/>
    </row>
    <row r="106" spans="1:17" x14ac:dyDescent="0.25">
      <c r="A106" t="str">
        <f>IF(Tabela49[[#This Row],[Cenário]]&lt;&gt;"","TNV-"&amp;MID(Tabela49[[#This Row],[Cenário]],1,4)&amp;"_"&amp;ROW(),"")</f>
        <v>TNV-NS01_106</v>
      </c>
      <c r="C106" t="s">
        <v>305</v>
      </c>
      <c r="D106" t="s">
        <v>280</v>
      </c>
      <c r="G106" t="s">
        <v>281</v>
      </c>
      <c r="K106" s="6" t="s">
        <v>261</v>
      </c>
      <c r="N106" s="78"/>
      <c r="O106" s="31"/>
      <c r="P106" s="9"/>
      <c r="Q106" s="9"/>
    </row>
    <row r="107" spans="1:17" x14ac:dyDescent="0.25">
      <c r="A107" t="str">
        <f>IF(Tabela49[[#This Row],[Cenário]]&lt;&gt;"","TNV-"&amp;MID(Tabela49[[#This Row],[Cenário]],1,4)&amp;"_"&amp;ROW(),"")</f>
        <v>TNV-NS01_107</v>
      </c>
      <c r="C107" t="s">
        <v>305</v>
      </c>
      <c r="D107" t="s">
        <v>282</v>
      </c>
      <c r="G107" t="s">
        <v>283</v>
      </c>
      <c r="K107" s="6" t="s">
        <v>261</v>
      </c>
      <c r="N107" s="78"/>
      <c r="O107" s="31"/>
      <c r="P107" s="9"/>
      <c r="Q107" s="9"/>
    </row>
    <row r="108" spans="1:17" x14ac:dyDescent="0.25">
      <c r="A108" t="str">
        <f>IF(Tabela49[[#This Row],[Cenário]]&lt;&gt;"","TNV-"&amp;MID(Tabela49[[#This Row],[Cenário]],1,4)&amp;"_"&amp;ROW(),"")</f>
        <v>TNV-NS01_108</v>
      </c>
      <c r="C108" t="s">
        <v>305</v>
      </c>
      <c r="D108" t="s">
        <v>284</v>
      </c>
      <c r="G108" t="s">
        <v>285</v>
      </c>
      <c r="K108" s="6" t="s">
        <v>261</v>
      </c>
      <c r="N108" s="78"/>
      <c r="O108" s="31"/>
      <c r="P108" s="9"/>
      <c r="Q108" s="9"/>
    </row>
    <row r="109" spans="1:17" x14ac:dyDescent="0.25">
      <c r="A109" t="str">
        <f>IF(Tabela49[[#This Row],[Cenário]]&lt;&gt;"","TNV-"&amp;MID(Tabela49[[#This Row],[Cenário]],1,4)&amp;"_"&amp;ROW(),"")</f>
        <v>TNV-NS01_109</v>
      </c>
      <c r="C109" t="s">
        <v>305</v>
      </c>
      <c r="D109" t="s">
        <v>286</v>
      </c>
      <c r="G109" t="s">
        <v>287</v>
      </c>
      <c r="K109" s="6" t="s">
        <v>261</v>
      </c>
      <c r="N109" s="78"/>
      <c r="O109" s="31"/>
      <c r="P109" s="9"/>
      <c r="Q109" s="9"/>
    </row>
    <row r="110" spans="1:17" hidden="1" x14ac:dyDescent="0.25">
      <c r="A110" t="str">
        <f>IF(Tabela49[[#This Row],[Cenário]]&lt;&gt;"","TNV-"&amp;MID(Tabela49[[#This Row],[Cenário]],1,4)&amp;"_"&amp;ROW(),"")</f>
        <v>TNV-NS02_110</v>
      </c>
      <c r="C110" t="s">
        <v>306</v>
      </c>
      <c r="D110" t="s">
        <v>269</v>
      </c>
      <c r="G110" t="s">
        <v>270</v>
      </c>
      <c r="H110" s="85">
        <v>4501888432</v>
      </c>
      <c r="K110" s="6" t="s">
        <v>271</v>
      </c>
      <c r="N110" s="78">
        <v>46002</v>
      </c>
      <c r="O110" s="31"/>
      <c r="P110" s="9"/>
      <c r="Q110" s="9"/>
    </row>
    <row r="111" spans="1:17" hidden="1" x14ac:dyDescent="0.25">
      <c r="A111" t="str">
        <f>IF(Tabela49[[#This Row],[Cenário]]&lt;&gt;"","TNV-"&amp;MID(Tabela49[[#This Row],[Cenário]],1,4)&amp;"_"&amp;ROW(),"")</f>
        <v>TNV-NS02_111</v>
      </c>
      <c r="C111" t="s">
        <v>306</v>
      </c>
      <c r="D111" t="s">
        <v>272</v>
      </c>
      <c r="G111" t="s">
        <v>270</v>
      </c>
      <c r="K111" s="6" t="s">
        <v>289</v>
      </c>
      <c r="N111" s="78"/>
      <c r="O111" s="31" t="s">
        <v>299</v>
      </c>
      <c r="P111" s="9"/>
      <c r="Q111" s="9"/>
    </row>
    <row r="112" spans="1:17" x14ac:dyDescent="0.25">
      <c r="A112" t="str">
        <f>IF(Tabela49[[#This Row],[Cenário]]&lt;&gt;"","TNV-"&amp;MID(Tabela49[[#This Row],[Cenário]],1,4)&amp;"_"&amp;ROW(),"")</f>
        <v>TNV-NS02_112</v>
      </c>
      <c r="C112" t="s">
        <v>306</v>
      </c>
      <c r="D112" t="s">
        <v>273</v>
      </c>
      <c r="G112" t="s">
        <v>274</v>
      </c>
      <c r="K112" s="6" t="s">
        <v>261</v>
      </c>
      <c r="N112" s="78"/>
      <c r="O112" s="31"/>
      <c r="P112" s="9"/>
      <c r="Q112" s="9"/>
    </row>
    <row r="113" spans="1:17" x14ac:dyDescent="0.25">
      <c r="A113" t="str">
        <f>IF(Tabela49[[#This Row],[Cenário]]&lt;&gt;"","TNV-"&amp;MID(Tabela49[[#This Row],[Cenário]],1,4)&amp;"_"&amp;ROW(),"")</f>
        <v>TNV-NS02_113</v>
      </c>
      <c r="C113" t="s">
        <v>306</v>
      </c>
      <c r="D113" t="s">
        <v>276</v>
      </c>
      <c r="G113" t="s">
        <v>277</v>
      </c>
      <c r="K113" s="6" t="s">
        <v>261</v>
      </c>
      <c r="N113" s="78"/>
      <c r="O113" s="31"/>
      <c r="P113" s="9"/>
      <c r="Q113" s="9"/>
    </row>
    <row r="114" spans="1:17" x14ac:dyDescent="0.25">
      <c r="A114" t="str">
        <f>IF(Tabela49[[#This Row],[Cenário]]&lt;&gt;"","TNV-"&amp;MID(Tabela49[[#This Row],[Cenário]],1,4)&amp;"_"&amp;ROW(),"")</f>
        <v>TNV-NS02_114</v>
      </c>
      <c r="C114" t="s">
        <v>306</v>
      </c>
      <c r="D114" t="s">
        <v>278</v>
      </c>
      <c r="G114" t="s">
        <v>279</v>
      </c>
      <c r="K114" s="6" t="s">
        <v>261</v>
      </c>
      <c r="N114" s="78"/>
      <c r="O114" s="31"/>
      <c r="P114" s="9"/>
      <c r="Q114" s="9"/>
    </row>
    <row r="115" spans="1:17" x14ac:dyDescent="0.25">
      <c r="A115" t="str">
        <f>IF(Tabela49[[#This Row],[Cenário]]&lt;&gt;"","TNV-"&amp;MID(Tabela49[[#This Row],[Cenário]],1,4)&amp;"_"&amp;ROW(),"")</f>
        <v>TNV-NS02_115</v>
      </c>
      <c r="C115" t="s">
        <v>306</v>
      </c>
      <c r="D115" t="s">
        <v>280</v>
      </c>
      <c r="G115" t="s">
        <v>281</v>
      </c>
      <c r="K115" s="6" t="s">
        <v>261</v>
      </c>
      <c r="N115" s="78"/>
      <c r="O115" s="31"/>
      <c r="P115" s="9"/>
      <c r="Q115" s="9"/>
    </row>
    <row r="116" spans="1:17" x14ac:dyDescent="0.25">
      <c r="A116" t="str">
        <f>IF(Tabela49[[#This Row],[Cenário]]&lt;&gt;"","TNV-"&amp;MID(Tabela49[[#This Row],[Cenário]],1,4)&amp;"_"&amp;ROW(),"")</f>
        <v>TNV-NS02_116</v>
      </c>
      <c r="C116" t="s">
        <v>306</v>
      </c>
      <c r="D116" t="s">
        <v>282</v>
      </c>
      <c r="G116" t="s">
        <v>283</v>
      </c>
      <c r="K116" s="6" t="s">
        <v>261</v>
      </c>
      <c r="N116" s="78"/>
      <c r="O116" s="31"/>
      <c r="P116" s="9"/>
      <c r="Q116" s="9"/>
    </row>
    <row r="117" spans="1:17" x14ac:dyDescent="0.25">
      <c r="A117" t="str">
        <f>IF(Tabela49[[#This Row],[Cenário]]&lt;&gt;"","TNV-"&amp;MID(Tabela49[[#This Row],[Cenário]],1,4)&amp;"_"&amp;ROW(),"")</f>
        <v>TNV-NS02_117</v>
      </c>
      <c r="C117" t="s">
        <v>306</v>
      </c>
      <c r="D117" t="s">
        <v>284</v>
      </c>
      <c r="G117" t="s">
        <v>285</v>
      </c>
      <c r="K117" s="6" t="s">
        <v>261</v>
      </c>
      <c r="N117" s="78"/>
      <c r="O117" s="31"/>
      <c r="P117" s="9"/>
      <c r="Q117" s="9"/>
    </row>
    <row r="118" spans="1:17" x14ac:dyDescent="0.25">
      <c r="A118" t="str">
        <f>IF(Tabela49[[#This Row],[Cenário]]&lt;&gt;"","TNV-"&amp;MID(Tabela49[[#This Row],[Cenário]],1,4)&amp;"_"&amp;ROW(),"")</f>
        <v>TNV-NS02_118</v>
      </c>
      <c r="C118" t="s">
        <v>306</v>
      </c>
      <c r="D118" t="s">
        <v>286</v>
      </c>
      <c r="G118" t="s">
        <v>287</v>
      </c>
      <c r="K118" s="6" t="s">
        <v>261</v>
      </c>
      <c r="N118" s="78"/>
      <c r="O118" s="31"/>
      <c r="P118" s="9"/>
      <c r="Q118" s="9"/>
    </row>
    <row r="119" spans="1:17" hidden="1" x14ac:dyDescent="0.25">
      <c r="A119" t="str">
        <f>IF(Tabela49[[#This Row],[Cenário]]&lt;&gt;"","TNV-"&amp;MID(Tabela49[[#This Row],[Cenário]],1,4)&amp;"_"&amp;ROW(),"")</f>
        <v>TNV-NS03_119</v>
      </c>
      <c r="C119" t="s">
        <v>307</v>
      </c>
      <c r="D119" t="s">
        <v>269</v>
      </c>
      <c r="G119" t="s">
        <v>270</v>
      </c>
      <c r="H119" s="85">
        <v>4501887767</v>
      </c>
      <c r="K119" s="6" t="s">
        <v>271</v>
      </c>
      <c r="L119" s="78">
        <v>46002</v>
      </c>
      <c r="M119" s="31"/>
      <c r="N119" s="78">
        <v>46002</v>
      </c>
      <c r="O119" s="31"/>
      <c r="P119" s="9"/>
      <c r="Q119" s="9"/>
    </row>
    <row r="120" spans="1:17" ht="15" hidden="1" customHeight="1" x14ac:dyDescent="0.25">
      <c r="A120" t="str">
        <f>IF(Tabela49[[#This Row],[Cenário]]&lt;&gt;"","TNV-"&amp;MID(Tabela49[[#This Row],[Cenário]],1,4)&amp;"_"&amp;ROW(),"")</f>
        <v>TNV-NS03_120</v>
      </c>
      <c r="C120" t="s">
        <v>307</v>
      </c>
      <c r="D120" t="s">
        <v>272</v>
      </c>
      <c r="G120" t="s">
        <v>270</v>
      </c>
      <c r="K120" s="6" t="s">
        <v>289</v>
      </c>
      <c r="M120" s="31" t="s">
        <v>299</v>
      </c>
      <c r="N120" s="78"/>
      <c r="O120" s="31" t="s">
        <v>299</v>
      </c>
      <c r="P120" s="9"/>
      <c r="Q120" s="9"/>
    </row>
    <row r="121" spans="1:17" ht="15" customHeight="1" x14ac:dyDescent="0.25">
      <c r="A121" t="str">
        <f>IF(Tabela49[[#This Row],[Cenário]]&lt;&gt;"","TNV-"&amp;MID(Tabela49[[#This Row],[Cenário]],1,4)&amp;"_"&amp;ROW(),"")</f>
        <v>TNV-NS03_121</v>
      </c>
      <c r="C121" t="s">
        <v>307</v>
      </c>
      <c r="D121" t="s">
        <v>273</v>
      </c>
      <c r="G121" t="s">
        <v>274</v>
      </c>
      <c r="K121" s="6" t="s">
        <v>261</v>
      </c>
      <c r="N121" s="78"/>
      <c r="O121" s="31"/>
      <c r="P121" s="9"/>
      <c r="Q121" s="9"/>
    </row>
    <row r="122" spans="1:17" ht="15" customHeight="1" x14ac:dyDescent="0.25">
      <c r="A122" t="str">
        <f>IF(Tabela49[[#This Row],[Cenário]]&lt;&gt;"","TNV-"&amp;MID(Tabela49[[#This Row],[Cenário]],1,4)&amp;"_"&amp;ROW(),"")</f>
        <v>TNV-NS03_122</v>
      </c>
      <c r="C122" t="s">
        <v>307</v>
      </c>
      <c r="D122" t="s">
        <v>276</v>
      </c>
      <c r="G122" t="s">
        <v>277</v>
      </c>
      <c r="K122" s="6" t="s">
        <v>261</v>
      </c>
      <c r="N122" s="78"/>
      <c r="O122" s="31"/>
      <c r="P122" s="9"/>
      <c r="Q122" s="9"/>
    </row>
    <row r="123" spans="1:17" ht="15" customHeight="1" x14ac:dyDescent="0.25">
      <c r="A123" t="str">
        <f>IF(Tabela49[[#This Row],[Cenário]]&lt;&gt;"","TNV-"&amp;MID(Tabela49[[#This Row],[Cenário]],1,4)&amp;"_"&amp;ROW(),"")</f>
        <v>TNV-NS03_123</v>
      </c>
      <c r="C123" t="s">
        <v>307</v>
      </c>
      <c r="D123" t="s">
        <v>278</v>
      </c>
      <c r="G123" t="s">
        <v>279</v>
      </c>
      <c r="K123" s="6" t="s">
        <v>261</v>
      </c>
      <c r="N123" s="78"/>
      <c r="O123" s="31"/>
      <c r="P123" s="9"/>
      <c r="Q123" s="9"/>
    </row>
    <row r="124" spans="1:17" ht="15" customHeight="1" x14ac:dyDescent="0.25">
      <c r="A124" t="str">
        <f>IF(Tabela49[[#This Row],[Cenário]]&lt;&gt;"","TNV-"&amp;MID(Tabela49[[#This Row],[Cenário]],1,4)&amp;"_"&amp;ROW(),"")</f>
        <v>TNV-NS03_124</v>
      </c>
      <c r="C124" t="s">
        <v>307</v>
      </c>
      <c r="D124" t="s">
        <v>280</v>
      </c>
      <c r="G124" t="s">
        <v>281</v>
      </c>
      <c r="K124" s="6" t="s">
        <v>261</v>
      </c>
      <c r="N124" s="78"/>
      <c r="O124" s="31"/>
      <c r="P124" s="9"/>
      <c r="Q124" s="9"/>
    </row>
    <row r="125" spans="1:17" ht="15" customHeight="1" x14ac:dyDescent="0.25">
      <c r="A125" t="str">
        <f>IF(Tabela49[[#This Row],[Cenário]]&lt;&gt;"","TNV-"&amp;MID(Tabela49[[#This Row],[Cenário]],1,4)&amp;"_"&amp;ROW(),"")</f>
        <v>TNV-NS03_125</v>
      </c>
      <c r="C125" t="s">
        <v>307</v>
      </c>
      <c r="D125" t="s">
        <v>282</v>
      </c>
      <c r="G125" t="s">
        <v>283</v>
      </c>
      <c r="K125" s="6" t="s">
        <v>261</v>
      </c>
      <c r="N125" s="78"/>
      <c r="O125" s="31"/>
      <c r="P125" s="9"/>
      <c r="Q125" s="9"/>
    </row>
    <row r="126" spans="1:17" ht="15" customHeight="1" x14ac:dyDescent="0.25">
      <c r="A126" t="str">
        <f>IF(Tabela49[[#This Row],[Cenário]]&lt;&gt;"","TNV-"&amp;MID(Tabela49[[#This Row],[Cenário]],1,4)&amp;"_"&amp;ROW(),"")</f>
        <v>TNV-NS03_126</v>
      </c>
      <c r="C126" t="s">
        <v>307</v>
      </c>
      <c r="D126" t="s">
        <v>284</v>
      </c>
      <c r="G126" t="s">
        <v>285</v>
      </c>
      <c r="K126" s="6" t="s">
        <v>261</v>
      </c>
      <c r="N126" s="78"/>
      <c r="O126" s="31"/>
      <c r="P126" s="9"/>
      <c r="Q126" s="9"/>
    </row>
    <row r="127" spans="1:17" ht="15" customHeight="1" x14ac:dyDescent="0.25">
      <c r="A127" t="str">
        <f>IF(Tabela49[[#This Row],[Cenário]]&lt;&gt;"","TNV-"&amp;MID(Tabela49[[#This Row],[Cenário]],1,4)&amp;"_"&amp;ROW(),"")</f>
        <v>TNV-NS03_127</v>
      </c>
      <c r="C127" t="s">
        <v>307</v>
      </c>
      <c r="D127" t="s">
        <v>286</v>
      </c>
      <c r="G127" t="s">
        <v>287</v>
      </c>
      <c r="K127" s="6" t="s">
        <v>261</v>
      </c>
      <c r="N127" s="78"/>
      <c r="O127" s="31"/>
      <c r="P127" s="9"/>
      <c r="Q127" s="9"/>
    </row>
    <row r="132" spans="5:5" ht="15" customHeight="1" x14ac:dyDescent="0.25">
      <c r="E132" s="82" t="s">
        <v>308</v>
      </c>
    </row>
    <row r="133" spans="5:5" ht="15" customHeight="1" x14ac:dyDescent="0.25">
      <c r="E133" s="83" t="s">
        <v>309</v>
      </c>
    </row>
    <row r="134" spans="5:5" ht="15" customHeight="1" x14ac:dyDescent="0.25">
      <c r="E134" s="82" t="s">
        <v>310</v>
      </c>
    </row>
    <row r="135" spans="5:5" ht="15" customHeight="1" x14ac:dyDescent="0.25">
      <c r="E135" s="83" t="s">
        <v>270</v>
      </c>
    </row>
    <row r="136" spans="5:5" ht="15" customHeight="1" x14ac:dyDescent="0.25">
      <c r="E136" s="82" t="s">
        <v>270</v>
      </c>
    </row>
    <row r="137" spans="5:5" ht="15" customHeight="1" x14ac:dyDescent="0.25">
      <c r="E137" s="83" t="s">
        <v>311</v>
      </c>
    </row>
    <row r="138" spans="5:5" ht="15" customHeight="1" x14ac:dyDescent="0.25">
      <c r="E138" s="82" t="s">
        <v>270</v>
      </c>
    </row>
    <row r="139" spans="5:5" ht="15" customHeight="1" x14ac:dyDescent="0.25">
      <c r="E139" s="83" t="s">
        <v>312</v>
      </c>
    </row>
    <row r="140" spans="5:5" ht="15" customHeight="1" x14ac:dyDescent="0.25">
      <c r="E140" s="82" t="s">
        <v>283</v>
      </c>
    </row>
    <row r="141" spans="5:5" ht="15" customHeight="1" x14ac:dyDescent="0.25">
      <c r="E141" s="83" t="s">
        <v>312</v>
      </c>
    </row>
    <row r="142" spans="5:5" ht="15" customHeight="1" x14ac:dyDescent="0.25">
      <c r="E142" s="82" t="s">
        <v>285</v>
      </c>
    </row>
  </sheetData>
  <conditionalFormatting sqref="K1:K1048576">
    <cfRule type="cellIs" dxfId="18" priority="1" operator="equal">
      <formula>"Keyuser - Com problemas "</formula>
    </cfRule>
    <cfRule type="cellIs" dxfId="17" priority="2" operator="equal">
      <formula>"Keyuser - Concluído 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39BB8D-0615-417E-95D4-83FC283D08EC}">
          <x14:formula1>
            <xm:f>Aux!$A:$A</xm:f>
          </x14:formula1>
          <xm:sqref>K1:K1048576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4BFE-8526-4070-960E-E9048091D982}">
  <sheetPr>
    <tabColor theme="5"/>
  </sheetPr>
  <dimension ref="A1:Q78"/>
  <sheetViews>
    <sheetView showGridLines="0" zoomScaleNormal="100" workbookViewId="0">
      <selection activeCell="M35" sqref="M35"/>
    </sheetView>
  </sheetViews>
  <sheetFormatPr defaultRowHeight="15" x14ac:dyDescent="0.25"/>
  <cols>
    <col min="1" max="1" width="15.85546875" bestFit="1" customWidth="1"/>
    <col min="2" max="2" width="20.7109375" bestFit="1" customWidth="1"/>
    <col min="3" max="3" width="34.42578125" bestFit="1" customWidth="1"/>
    <col min="4" max="5" width="11" bestFit="1" customWidth="1"/>
    <col min="6" max="6" width="33.42578125" bestFit="1" customWidth="1"/>
    <col min="7" max="7" width="39.28515625" bestFit="1" customWidth="1"/>
    <col min="8" max="8" width="9.85546875" customWidth="1"/>
    <col min="9" max="9" width="11.28515625" customWidth="1"/>
    <col min="10" max="10" width="11" bestFit="1" customWidth="1"/>
    <col min="11" max="11" width="13.7109375" bestFit="1" customWidth="1"/>
    <col min="12" max="12" width="14.140625" bestFit="1" customWidth="1"/>
    <col min="13" max="13" width="33.85546875" bestFit="1" customWidth="1"/>
    <col min="14" max="14" width="20" bestFit="1" customWidth="1"/>
    <col min="15" max="15" width="14.28515625" bestFit="1" customWidth="1"/>
    <col min="16" max="16" width="30.5703125" bestFit="1" customWidth="1"/>
    <col min="17" max="18" width="36.5703125" bestFit="1" customWidth="1"/>
    <col min="19" max="19" width="10.140625" bestFit="1" customWidth="1"/>
    <col min="20" max="21" width="10.5703125" bestFit="1" customWidth="1"/>
    <col min="25" max="25" width="30.5703125" bestFit="1" customWidth="1"/>
    <col min="26" max="26" width="36.5703125" bestFit="1" customWidth="1"/>
    <col min="27" max="27" width="8.42578125" bestFit="1" customWidth="1"/>
    <col min="28" max="28" width="9.5703125" bestFit="1" customWidth="1"/>
    <col min="29" max="29" width="10" bestFit="1" customWidth="1"/>
  </cols>
  <sheetData>
    <row r="1" spans="1:13" ht="28.5" x14ac:dyDescent="0.45">
      <c r="A1" s="30" t="s">
        <v>313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x14ac:dyDescent="0.25">
      <c r="H3" s="11" t="s">
        <v>248</v>
      </c>
      <c r="I3" s="9" t="s">
        <v>314</v>
      </c>
      <c r="J3" s="34" t="s">
        <v>315</v>
      </c>
    </row>
    <row r="4" spans="1:13" x14ac:dyDescent="0.25">
      <c r="H4" s="6" t="s">
        <v>261</v>
      </c>
      <c r="I4" s="9">
        <v>79</v>
      </c>
      <c r="J4" s="34">
        <v>0.66949152542372881</v>
      </c>
    </row>
    <row r="5" spans="1:13" x14ac:dyDescent="0.25">
      <c r="H5" s="6" t="s">
        <v>271</v>
      </c>
      <c r="I5" s="9">
        <v>15</v>
      </c>
      <c r="J5" s="34">
        <v>0.1271186440677966</v>
      </c>
    </row>
    <row r="6" spans="1:13" x14ac:dyDescent="0.25">
      <c r="H6" s="6" t="s">
        <v>275</v>
      </c>
      <c r="I6" s="9">
        <v>14</v>
      </c>
      <c r="J6" s="34">
        <v>0.11864406779661017</v>
      </c>
    </row>
    <row r="7" spans="1:13" x14ac:dyDescent="0.25">
      <c r="H7" s="6" t="s">
        <v>289</v>
      </c>
      <c r="I7" s="9">
        <v>10</v>
      </c>
      <c r="J7" s="34">
        <v>8.4745762711864403E-2</v>
      </c>
    </row>
    <row r="8" spans="1:13" x14ac:dyDescent="0.25">
      <c r="H8" s="6" t="s">
        <v>316</v>
      </c>
      <c r="I8" s="9">
        <v>118</v>
      </c>
      <c r="J8" s="34">
        <v>1</v>
      </c>
    </row>
    <row r="13" spans="1:13" x14ac:dyDescent="0.25">
      <c r="H13" s="44" t="s">
        <v>317</v>
      </c>
      <c r="I13" s="45"/>
    </row>
    <row r="14" spans="1:13" x14ac:dyDescent="0.25">
      <c r="H14" s="42" t="s">
        <v>318</v>
      </c>
      <c r="I14" s="43">
        <v>46003</v>
      </c>
    </row>
    <row r="15" spans="1:13" ht="18.75" x14ac:dyDescent="0.3">
      <c r="H15" s="40" t="s">
        <v>319</v>
      </c>
      <c r="I15" s="70">
        <f ca="1">NETWORKDAYS(TODAY(),I14)</f>
        <v>2</v>
      </c>
    </row>
    <row r="16" spans="1:13" x14ac:dyDescent="0.25">
      <c r="H16" s="40" t="s">
        <v>320</v>
      </c>
      <c r="I16" s="41">
        <f>COUNTIFS(Tabela49[[#All],[Status]],"*")-(COUNTIFS(Tabela49[[#All],[Status]],"Keyuser - Concluído ")+COUNTIFS(Tabela49[[#All],[Status]],"Não se Aplica"))</f>
        <v>104</v>
      </c>
    </row>
    <row r="17" spans="1:12" ht="18.75" x14ac:dyDescent="0.3">
      <c r="H17" s="47" t="s">
        <v>321</v>
      </c>
      <c r="I17" s="46">
        <f ca="1">I16/I15</f>
        <v>52</v>
      </c>
    </row>
    <row r="18" spans="1:12" x14ac:dyDescent="0.25">
      <c r="F18" s="56"/>
    </row>
    <row r="20" spans="1:12" ht="21" x14ac:dyDescent="0.35">
      <c r="H20" s="11" t="s">
        <v>252</v>
      </c>
      <c r="I20" s="81" t="s">
        <v>289</v>
      </c>
      <c r="J20" s="1"/>
      <c r="K20" s="1"/>
    </row>
    <row r="22" spans="1:12" x14ac:dyDescent="0.25">
      <c r="H22" s="11" t="s">
        <v>248</v>
      </c>
      <c r="I22" s="11" t="s">
        <v>1</v>
      </c>
      <c r="J22" s="11" t="s">
        <v>24</v>
      </c>
      <c r="K22" s="11" t="s">
        <v>248</v>
      </c>
      <c r="L22" t="s">
        <v>322</v>
      </c>
    </row>
    <row r="23" spans="1:12" x14ac:dyDescent="0.25">
      <c r="H23" t="s">
        <v>323</v>
      </c>
      <c r="I23" t="s">
        <v>288</v>
      </c>
      <c r="J23" t="s">
        <v>272</v>
      </c>
      <c r="K23" t="s">
        <v>270</v>
      </c>
      <c r="L23" s="9">
        <v>1</v>
      </c>
    </row>
    <row r="24" spans="1:12" x14ac:dyDescent="0.25">
      <c r="H24" t="s">
        <v>324</v>
      </c>
      <c r="I24" t="s">
        <v>291</v>
      </c>
      <c r="J24" t="s">
        <v>269</v>
      </c>
      <c r="K24" t="s">
        <v>270</v>
      </c>
      <c r="L24" s="9">
        <v>1</v>
      </c>
    </row>
    <row r="25" spans="1:12" x14ac:dyDescent="0.25">
      <c r="H25" t="s">
        <v>325</v>
      </c>
      <c r="I25" t="s">
        <v>296</v>
      </c>
      <c r="J25" t="s">
        <v>272</v>
      </c>
      <c r="K25" t="s">
        <v>270</v>
      </c>
      <c r="L25" s="9">
        <v>1</v>
      </c>
    </row>
    <row r="26" spans="1:12" x14ac:dyDescent="0.25">
      <c r="H26" t="s">
        <v>326</v>
      </c>
      <c r="I26" t="s">
        <v>298</v>
      </c>
      <c r="J26" t="s">
        <v>272</v>
      </c>
      <c r="K26" t="s">
        <v>270</v>
      </c>
      <c r="L26" s="9">
        <v>1</v>
      </c>
    </row>
    <row r="27" spans="1:12" x14ac:dyDescent="0.25">
      <c r="A27" s="53" t="s">
        <v>327</v>
      </c>
      <c r="B27" s="54" t="s">
        <v>328</v>
      </c>
      <c r="C27" s="54" t="s">
        <v>329</v>
      </c>
      <c r="D27" s="54" t="s">
        <v>330</v>
      </c>
      <c r="H27" t="s">
        <v>331</v>
      </c>
      <c r="I27" t="s">
        <v>300</v>
      </c>
      <c r="J27" t="s">
        <v>272</v>
      </c>
      <c r="K27" t="s">
        <v>270</v>
      </c>
      <c r="L27" s="9">
        <v>1</v>
      </c>
    </row>
    <row r="28" spans="1:12" x14ac:dyDescent="0.25">
      <c r="A28" s="31">
        <v>46001</v>
      </c>
      <c r="B28" s="9">
        <f>COUNTIFS(TNV!N:N,A28,TNV!K:K,"Keyuser - Concluído ")</f>
        <v>5</v>
      </c>
      <c r="C28" s="9">
        <v>5</v>
      </c>
      <c r="D28" s="52">
        <f t="shared" ref="D28:D29" si="0">B28-C28</f>
        <v>0</v>
      </c>
      <c r="H28" t="s">
        <v>332</v>
      </c>
      <c r="I28" t="s">
        <v>302</v>
      </c>
      <c r="J28" t="s">
        <v>272</v>
      </c>
      <c r="K28" t="s">
        <v>270</v>
      </c>
      <c r="L28" s="9">
        <v>1</v>
      </c>
    </row>
    <row r="29" spans="1:12" x14ac:dyDescent="0.25">
      <c r="A29" s="31">
        <v>46002</v>
      </c>
      <c r="B29" s="9">
        <f>COUNTIFS(TNV!N:N,A29,TNV!K:K,"Keyuser - Concluído ")</f>
        <v>10</v>
      </c>
      <c r="C29" s="9">
        <v>53</v>
      </c>
      <c r="D29" s="52">
        <f t="shared" si="0"/>
        <v>-43</v>
      </c>
      <c r="H29" t="s">
        <v>333</v>
      </c>
      <c r="I29" t="s">
        <v>303</v>
      </c>
      <c r="J29" t="s">
        <v>272</v>
      </c>
      <c r="K29" t="s">
        <v>270</v>
      </c>
      <c r="L29" s="9">
        <v>1</v>
      </c>
    </row>
    <row r="30" spans="1:12" x14ac:dyDescent="0.25">
      <c r="A30" s="31"/>
      <c r="B30" s="9"/>
      <c r="C30" s="9"/>
      <c r="D30" s="52"/>
      <c r="H30" t="s">
        <v>334</v>
      </c>
      <c r="I30" t="s">
        <v>305</v>
      </c>
      <c r="J30" t="s">
        <v>272</v>
      </c>
      <c r="K30" t="s">
        <v>270</v>
      </c>
      <c r="L30" s="9">
        <v>1</v>
      </c>
    </row>
    <row r="31" spans="1:12" x14ac:dyDescent="0.25">
      <c r="A31" s="31"/>
      <c r="B31" s="9"/>
      <c r="C31" s="9"/>
      <c r="D31" s="52"/>
      <c r="H31" t="s">
        <v>335</v>
      </c>
      <c r="I31" t="s">
        <v>306</v>
      </c>
      <c r="J31" t="s">
        <v>272</v>
      </c>
      <c r="K31" t="s">
        <v>270</v>
      </c>
      <c r="L31" s="9">
        <v>1</v>
      </c>
    </row>
    <row r="32" spans="1:12" x14ac:dyDescent="0.25">
      <c r="A32" s="31"/>
      <c r="B32" s="9"/>
      <c r="C32" s="9"/>
      <c r="D32" s="52"/>
      <c r="H32" t="s">
        <v>336</v>
      </c>
      <c r="I32" t="s">
        <v>307</v>
      </c>
      <c r="J32" t="s">
        <v>272</v>
      </c>
      <c r="K32" t="s">
        <v>270</v>
      </c>
      <c r="L32" s="9">
        <v>1</v>
      </c>
    </row>
    <row r="33" spans="1:17" x14ac:dyDescent="0.25">
      <c r="A33" s="31"/>
      <c r="B33" s="9"/>
      <c r="C33" s="9"/>
      <c r="D33" s="52"/>
      <c r="H33" t="s">
        <v>316</v>
      </c>
      <c r="L33" s="9">
        <v>10</v>
      </c>
    </row>
    <row r="34" spans="1:17" x14ac:dyDescent="0.25">
      <c r="A34" s="31"/>
      <c r="B34" s="9"/>
      <c r="C34" s="9"/>
      <c r="D34" s="52"/>
    </row>
    <row r="35" spans="1:17" x14ac:dyDescent="0.25">
      <c r="A35" s="31"/>
      <c r="B35" s="9"/>
      <c r="C35" s="9"/>
      <c r="D35" s="52"/>
    </row>
    <row r="36" spans="1:17" x14ac:dyDescent="0.25">
      <c r="A36" s="31"/>
      <c r="B36" s="9"/>
      <c r="C36" s="52"/>
      <c r="D36" s="52"/>
    </row>
    <row r="37" spans="1:17" ht="28.5" x14ac:dyDescent="0.45">
      <c r="A37" s="30" t="s">
        <v>337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Q37" s="59"/>
    </row>
    <row r="39" spans="1:17" x14ac:dyDescent="0.25">
      <c r="A39" s="11" t="s">
        <v>252</v>
      </c>
      <c r="B39" t="s">
        <v>275</v>
      </c>
      <c r="F39" s="11" t="s">
        <v>252</v>
      </c>
      <c r="G39" t="s">
        <v>261</v>
      </c>
    </row>
    <row r="40" spans="1:17" x14ac:dyDescent="0.25">
      <c r="A40" s="11" t="s">
        <v>245</v>
      </c>
      <c r="B40" t="s">
        <v>338</v>
      </c>
      <c r="F40" s="11" t="s">
        <v>245</v>
      </c>
      <c r="G40" t="s">
        <v>339</v>
      </c>
    </row>
    <row r="42" spans="1:17" x14ac:dyDescent="0.25">
      <c r="A42" s="11" t="s">
        <v>248</v>
      </c>
      <c r="B42" s="11" t="s">
        <v>244</v>
      </c>
      <c r="C42" s="11" t="s">
        <v>1</v>
      </c>
      <c r="D42" t="s">
        <v>314</v>
      </c>
      <c r="F42" s="11" t="s">
        <v>248</v>
      </c>
      <c r="G42" s="11" t="s">
        <v>244</v>
      </c>
      <c r="H42" s="11" t="s">
        <v>24</v>
      </c>
      <c r="I42" s="11" t="s">
        <v>1</v>
      </c>
      <c r="J42" t="s">
        <v>314</v>
      </c>
    </row>
    <row r="43" spans="1:17" x14ac:dyDescent="0.25">
      <c r="A43" t="s">
        <v>274</v>
      </c>
      <c r="B43" t="s">
        <v>340</v>
      </c>
      <c r="C43" t="s">
        <v>268</v>
      </c>
      <c r="D43">
        <v>1</v>
      </c>
      <c r="F43" s="6" t="s">
        <v>281</v>
      </c>
      <c r="J43" s="9">
        <v>11</v>
      </c>
    </row>
    <row r="44" spans="1:17" x14ac:dyDescent="0.25">
      <c r="B44" t="s">
        <v>341</v>
      </c>
      <c r="C44" t="s">
        <v>295</v>
      </c>
      <c r="D44">
        <v>1</v>
      </c>
      <c r="F44" s="6" t="s">
        <v>285</v>
      </c>
      <c r="J44" s="9">
        <v>11</v>
      </c>
    </row>
    <row r="45" spans="1:17" x14ac:dyDescent="0.25">
      <c r="A45" t="s">
        <v>285</v>
      </c>
      <c r="B45" t="s">
        <v>342</v>
      </c>
      <c r="C45" t="s">
        <v>268</v>
      </c>
      <c r="D45">
        <v>1</v>
      </c>
      <c r="F45" s="6" t="s">
        <v>283</v>
      </c>
      <c r="J45" s="9">
        <v>11</v>
      </c>
    </row>
    <row r="46" spans="1:17" x14ac:dyDescent="0.25">
      <c r="B46" t="s">
        <v>343</v>
      </c>
      <c r="C46" t="s">
        <v>295</v>
      </c>
      <c r="D46">
        <v>1</v>
      </c>
      <c r="F46" s="6" t="s">
        <v>274</v>
      </c>
      <c r="J46" s="9">
        <v>11</v>
      </c>
    </row>
    <row r="47" spans="1:17" x14ac:dyDescent="0.25">
      <c r="A47" t="s">
        <v>283</v>
      </c>
      <c r="B47" t="s">
        <v>344</v>
      </c>
      <c r="C47" t="s">
        <v>268</v>
      </c>
      <c r="D47">
        <v>1</v>
      </c>
      <c r="F47" s="6" t="s">
        <v>287</v>
      </c>
      <c r="J47" s="9">
        <v>11</v>
      </c>
    </row>
    <row r="48" spans="1:17" x14ac:dyDescent="0.25">
      <c r="B48" t="s">
        <v>345</v>
      </c>
      <c r="C48" t="s">
        <v>295</v>
      </c>
      <c r="D48">
        <v>1</v>
      </c>
      <c r="F48" s="6" t="s">
        <v>277</v>
      </c>
      <c r="J48" s="9">
        <v>11</v>
      </c>
    </row>
    <row r="49" spans="1:13" x14ac:dyDescent="0.25">
      <c r="A49" t="s">
        <v>277</v>
      </c>
      <c r="B49" t="s">
        <v>346</v>
      </c>
      <c r="C49" t="s">
        <v>268</v>
      </c>
      <c r="D49">
        <v>1</v>
      </c>
      <c r="F49" s="6" t="s">
        <v>279</v>
      </c>
      <c r="J49" s="9">
        <v>11</v>
      </c>
    </row>
    <row r="50" spans="1:13" x14ac:dyDescent="0.25">
      <c r="B50" t="s">
        <v>347</v>
      </c>
      <c r="C50" t="s">
        <v>295</v>
      </c>
      <c r="D50">
        <v>1</v>
      </c>
      <c r="F50" s="6" t="s">
        <v>270</v>
      </c>
      <c r="J50" s="9">
        <v>2</v>
      </c>
    </row>
    <row r="51" spans="1:13" x14ac:dyDescent="0.25">
      <c r="A51" t="s">
        <v>287</v>
      </c>
      <c r="B51" t="s">
        <v>348</v>
      </c>
      <c r="C51" t="s">
        <v>268</v>
      </c>
      <c r="D51">
        <v>1</v>
      </c>
      <c r="F51" s="6" t="s">
        <v>316</v>
      </c>
      <c r="J51" s="9">
        <v>79</v>
      </c>
    </row>
    <row r="52" spans="1:13" x14ac:dyDescent="0.25">
      <c r="B52" t="s">
        <v>349</v>
      </c>
      <c r="C52" t="s">
        <v>295</v>
      </c>
      <c r="D52">
        <v>1</v>
      </c>
    </row>
    <row r="53" spans="1:13" x14ac:dyDescent="0.25">
      <c r="A53" t="s">
        <v>279</v>
      </c>
      <c r="B53" t="s">
        <v>350</v>
      </c>
      <c r="C53" t="s">
        <v>268</v>
      </c>
      <c r="D53">
        <v>1</v>
      </c>
    </row>
    <row r="54" spans="1:13" x14ac:dyDescent="0.25">
      <c r="B54" t="s">
        <v>351</v>
      </c>
      <c r="C54" t="s">
        <v>295</v>
      </c>
      <c r="D54">
        <v>1</v>
      </c>
    </row>
    <row r="55" spans="1:13" x14ac:dyDescent="0.25">
      <c r="A55" t="s">
        <v>281</v>
      </c>
      <c r="B55" t="s">
        <v>352</v>
      </c>
      <c r="C55" t="s">
        <v>268</v>
      </c>
      <c r="D55">
        <v>1</v>
      </c>
    </row>
    <row r="56" spans="1:13" ht="14.65" customHeight="1" x14ac:dyDescent="0.25">
      <c r="B56" t="s">
        <v>353</v>
      </c>
      <c r="C56" t="s">
        <v>295</v>
      </c>
      <c r="D56">
        <v>1</v>
      </c>
    </row>
    <row r="57" spans="1:13" ht="14.65" customHeight="1" x14ac:dyDescent="0.25">
      <c r="A57" t="s">
        <v>316</v>
      </c>
      <c r="D57">
        <v>14</v>
      </c>
    </row>
    <row r="58" spans="1:13" ht="14.65" customHeight="1" x14ac:dyDescent="0.25"/>
    <row r="59" spans="1:13" ht="14.65" customHeight="1" x14ac:dyDescent="0.25"/>
    <row r="60" spans="1:13" ht="14.65" customHeight="1" x14ac:dyDescent="0.25"/>
    <row r="63" spans="1:13" ht="28.5" x14ac:dyDescent="0.45">
      <c r="A63" s="30" t="s">
        <v>354</v>
      </c>
      <c r="B63" s="30"/>
      <c r="C63" s="30"/>
      <c r="D63" s="30"/>
      <c r="E63" s="86" t="s">
        <v>355</v>
      </c>
      <c r="F63" s="30"/>
      <c r="G63" s="30"/>
      <c r="H63" s="30"/>
      <c r="I63" s="30"/>
      <c r="J63" s="30"/>
      <c r="K63" s="30"/>
      <c r="L63" s="30"/>
      <c r="M63" s="30"/>
    </row>
    <row r="64" spans="1:13" ht="28.5" x14ac:dyDescent="0.45">
      <c r="A64" s="39"/>
      <c r="B64" s="39"/>
      <c r="C64" s="39"/>
      <c r="D64" s="39"/>
      <c r="E64" s="39"/>
      <c r="M64" s="39"/>
    </row>
    <row r="65" spans="1:4" x14ac:dyDescent="0.25">
      <c r="A65" s="11" t="s">
        <v>252</v>
      </c>
      <c r="B65" s="38" t="s">
        <v>289</v>
      </c>
      <c r="C65" t="s">
        <v>356</v>
      </c>
    </row>
    <row r="67" spans="1:4" x14ac:dyDescent="0.25">
      <c r="A67" s="11" t="s">
        <v>248</v>
      </c>
      <c r="B67" s="11" t="s">
        <v>244</v>
      </c>
      <c r="C67" s="11" t="s">
        <v>1</v>
      </c>
      <c r="D67" t="s">
        <v>314</v>
      </c>
    </row>
    <row r="68" spans="1:4" x14ac:dyDescent="0.25">
      <c r="A68" s="6" t="s">
        <v>270</v>
      </c>
      <c r="B68" s="6" t="s">
        <v>323</v>
      </c>
      <c r="C68" s="6" t="s">
        <v>288</v>
      </c>
      <c r="D68" s="9">
        <v>1</v>
      </c>
    </row>
    <row r="69" spans="1:4" x14ac:dyDescent="0.25">
      <c r="B69" s="6" t="s">
        <v>324</v>
      </c>
      <c r="C69" s="6" t="s">
        <v>291</v>
      </c>
      <c r="D69" s="9">
        <v>1</v>
      </c>
    </row>
    <row r="70" spans="1:4" x14ac:dyDescent="0.25">
      <c r="B70" s="6" t="s">
        <v>325</v>
      </c>
      <c r="C70" s="6" t="s">
        <v>296</v>
      </c>
      <c r="D70" s="9">
        <v>1</v>
      </c>
    </row>
    <row r="71" spans="1:4" x14ac:dyDescent="0.25">
      <c r="B71" s="6" t="s">
        <v>326</v>
      </c>
      <c r="C71" s="6" t="s">
        <v>298</v>
      </c>
      <c r="D71" s="9">
        <v>1</v>
      </c>
    </row>
    <row r="72" spans="1:4" x14ac:dyDescent="0.25">
      <c r="B72" s="6" t="s">
        <v>331</v>
      </c>
      <c r="C72" s="6" t="s">
        <v>300</v>
      </c>
      <c r="D72" s="9">
        <v>1</v>
      </c>
    </row>
    <row r="73" spans="1:4" x14ac:dyDescent="0.25">
      <c r="B73" s="6" t="s">
        <v>332</v>
      </c>
      <c r="C73" s="6" t="s">
        <v>302</v>
      </c>
      <c r="D73" s="9">
        <v>1</v>
      </c>
    </row>
    <row r="74" spans="1:4" x14ac:dyDescent="0.25">
      <c r="B74" s="6" t="s">
        <v>333</v>
      </c>
      <c r="C74" s="6" t="s">
        <v>303</v>
      </c>
      <c r="D74" s="9">
        <v>1</v>
      </c>
    </row>
    <row r="75" spans="1:4" x14ac:dyDescent="0.25">
      <c r="B75" s="6" t="s">
        <v>334</v>
      </c>
      <c r="C75" s="6" t="s">
        <v>305</v>
      </c>
      <c r="D75" s="9">
        <v>1</v>
      </c>
    </row>
    <row r="76" spans="1:4" x14ac:dyDescent="0.25">
      <c r="B76" s="6" t="s">
        <v>335</v>
      </c>
      <c r="C76" s="6" t="s">
        <v>306</v>
      </c>
      <c r="D76" s="9">
        <v>1</v>
      </c>
    </row>
    <row r="77" spans="1:4" x14ac:dyDescent="0.25">
      <c r="B77" s="6" t="s">
        <v>336</v>
      </c>
      <c r="C77" s="6" t="s">
        <v>307</v>
      </c>
      <c r="D77" s="9">
        <v>1</v>
      </c>
    </row>
    <row r="78" spans="1:4" x14ac:dyDescent="0.25">
      <c r="A78" s="6" t="s">
        <v>316</v>
      </c>
      <c r="D78" s="9">
        <v>10</v>
      </c>
    </row>
  </sheetData>
  <conditionalFormatting sqref="E16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{EF64839F-4883-42FC-8C21-55DAE7D15C30}</x14:id>
        </ext>
      </extLst>
    </cfRule>
  </conditionalFormatting>
  <conditionalFormatting sqref="U84:U87 U8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{CB105BC9-9188-470F-8838-BCCA0EBF1029}</x14:id>
        </ext>
      </extLst>
    </cfRule>
  </conditionalFormatting>
  <conditionalFormatting sqref="U86:U88 U8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{138106F9-C658-4D58-84B4-D31538FB6FE1}</x14:id>
        </ext>
      </extLst>
    </cfRule>
  </conditionalFormatting>
  <conditionalFormatting pivot="1" sqref="I7 I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{666273F9-312F-4E45-ABFE-8F71EE1DF9A2}</x14:id>
        </ext>
      </extLst>
    </cfRule>
  </conditionalFormatting>
  <conditionalFormatting pivot="1" sqref="I4:I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{82D1176B-C8A7-41DD-8555-BC126034B2CC}</x14:id>
        </ext>
      </extLst>
    </cfRule>
  </conditionalFormatting>
  <pageMargins left="0.511811024" right="0.511811024" top="0.78740157499999996" bottom="0.78740157499999996" header="0.31496062000000002" footer="0.31496062000000002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64839F-4883-42FC-8C21-55DAE7D15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E168</xm:sqref>
        </x14:conditionalFormatting>
        <x14:conditionalFormatting xmlns:xm="http://schemas.microsoft.com/office/excel/2006/main">
          <x14:cfRule type="dataBar" id="{CB105BC9-9188-470F-8838-BCCA0EBF10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U84:U87 U89</xm:sqref>
        </x14:conditionalFormatting>
        <x14:conditionalFormatting xmlns:xm="http://schemas.microsoft.com/office/excel/2006/main">
          <x14:cfRule type="dataBar" id="{138106F9-C658-4D58-84B4-D31538FB6F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U86:U88 U84</xm:sqref>
        </x14:conditionalFormatting>
        <x14:conditionalFormatting xmlns:xm="http://schemas.microsoft.com/office/excel/2006/main" pivot="1">
          <x14:cfRule type="dataBar" id="{666273F9-312F-4E45-ABFE-8F71EE1DF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I7 I5</xm:sqref>
        </x14:conditionalFormatting>
        <x14:conditionalFormatting xmlns:xm="http://schemas.microsoft.com/office/excel/2006/main" pivot="1">
          <x14:cfRule type="dataBar" id="{82D1176B-C8A7-41DD-8555-BC126034B2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I4:I7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2534-EF0F-499C-A4A7-3555AE2C4863}">
  <sheetPr codeName="Planilha3"/>
  <dimension ref="A1:AA638"/>
  <sheetViews>
    <sheetView tabSelected="1" zoomScale="80" zoomScaleNormal="80" workbookViewId="0">
      <selection activeCell="G8" sqref="G8"/>
    </sheetView>
  </sheetViews>
  <sheetFormatPr defaultRowHeight="15" customHeight="1" x14ac:dyDescent="0.25"/>
  <cols>
    <col min="1" max="1" width="23.5703125" customWidth="1"/>
    <col min="2" max="2" width="10.5703125" hidden="1" customWidth="1"/>
    <col min="3" max="3" width="39.5703125" customWidth="1"/>
    <col min="4" max="4" width="46.42578125" customWidth="1"/>
    <col min="5" max="5" width="12.42578125" bestFit="1" customWidth="1"/>
    <col min="6" max="6" width="34.42578125" customWidth="1"/>
    <col min="7" max="7" width="29.5703125" customWidth="1"/>
    <col min="8" max="8" width="23.5703125" style="9" customWidth="1"/>
    <col min="9" max="10" width="17.42578125" style="9" hidden="1" customWidth="1"/>
    <col min="11" max="11" width="39.42578125" style="9" bestFit="1" customWidth="1"/>
    <col min="12" max="12" width="13.5703125" style="78" bestFit="1" customWidth="1"/>
    <col min="13" max="13" width="20.5703125" style="9" hidden="1" customWidth="1"/>
    <col min="14" max="14" width="20.5703125" style="75" bestFit="1" customWidth="1"/>
    <col min="15" max="15" width="95.42578125" style="9" bestFit="1" customWidth="1"/>
    <col min="16" max="16" width="23" customWidth="1"/>
    <col min="17" max="17" width="18.5703125" customWidth="1"/>
    <col min="18" max="18" width="20.42578125" customWidth="1"/>
    <col min="19" max="19" width="16.5703125" customWidth="1"/>
    <col min="20" max="20" width="26.42578125" customWidth="1"/>
    <col min="21" max="21" width="27.42578125" customWidth="1"/>
    <col min="22" max="25" width="16.5703125" customWidth="1"/>
    <col min="26" max="26" width="34.42578125" customWidth="1"/>
    <col min="27" max="27" width="8.5703125" bestFit="1" customWidth="1"/>
  </cols>
  <sheetData>
    <row r="1" spans="1:27" x14ac:dyDescent="0.25">
      <c r="A1" t="s">
        <v>244</v>
      </c>
      <c r="B1" t="s">
        <v>245</v>
      </c>
      <c r="C1" t="s">
        <v>1</v>
      </c>
      <c r="D1" t="s">
        <v>24</v>
      </c>
      <c r="E1" t="s">
        <v>246</v>
      </c>
      <c r="F1" t="s">
        <v>247</v>
      </c>
      <c r="G1" t="s">
        <v>248</v>
      </c>
      <c r="H1" s="12" t="s">
        <v>357</v>
      </c>
      <c r="I1" s="12" t="s">
        <v>250</v>
      </c>
      <c r="J1" s="12" t="s">
        <v>251</v>
      </c>
      <c r="K1" s="9" t="s">
        <v>252</v>
      </c>
      <c r="L1" s="78" t="s">
        <v>253</v>
      </c>
      <c r="M1" s="9" t="s">
        <v>254</v>
      </c>
      <c r="N1" s="75" t="s">
        <v>255</v>
      </c>
      <c r="O1" s="8" t="s">
        <v>19</v>
      </c>
      <c r="P1" s="17" t="s">
        <v>256</v>
      </c>
      <c r="Q1" s="17" t="s">
        <v>257</v>
      </c>
      <c r="R1" s="17" t="s">
        <v>258</v>
      </c>
      <c r="S1" s="17" t="s">
        <v>259</v>
      </c>
      <c r="T1" s="17" t="s">
        <v>260</v>
      </c>
      <c r="U1" s="17" t="s">
        <v>261</v>
      </c>
      <c r="V1" s="17" t="s">
        <v>262</v>
      </c>
      <c r="W1" s="17" t="s">
        <v>263</v>
      </c>
      <c r="X1" s="17" t="s">
        <v>264</v>
      </c>
      <c r="Y1" s="17" t="s">
        <v>265</v>
      </c>
      <c r="Z1" s="17" t="s">
        <v>266</v>
      </c>
      <c r="AA1" s="17" t="s">
        <v>267</v>
      </c>
    </row>
    <row r="2" spans="1:27" x14ac:dyDescent="0.25">
      <c r="A2" t="str">
        <f>"OUT-"&amp;IFERROR(MID(Tabela4[[#This Row],[Cenário]],SEARCH("(",Tabela4[[#This Row],[Cenário]])+1,SEARCH(")",Tabela4[[#This Row],[Cenário]])-SEARCH("(",Tabela4[[#This Row],[Cenário]])-1),"")&amp;"_"&amp;ROW()</f>
        <v>OUT-Y002_2</v>
      </c>
      <c r="B2" t="s">
        <v>358</v>
      </c>
      <c r="C2" t="s">
        <v>359</v>
      </c>
      <c r="D2" s="5" t="s">
        <v>360</v>
      </c>
      <c r="E2">
        <v>1</v>
      </c>
      <c r="F2" t="s">
        <v>360</v>
      </c>
      <c r="G2" t="s">
        <v>361</v>
      </c>
      <c r="H2" s="18" t="s">
        <v>362</v>
      </c>
      <c r="I2" s="9" t="s">
        <v>363</v>
      </c>
      <c r="J2" s="9" t="s">
        <v>364</v>
      </c>
      <c r="K2" s="9" t="s">
        <v>271</v>
      </c>
      <c r="L2" s="78">
        <v>45944</v>
      </c>
      <c r="N2" s="78">
        <v>45944</v>
      </c>
      <c r="O2" s="31"/>
      <c r="P2" s="9"/>
      <c r="Q2" s="9">
        <f>COUNTIF(Tabela4[[#All],[Cenário]],Tabela4[[#This Row],[Cenário]])</f>
        <v>8</v>
      </c>
      <c r="R2">
        <f>COUNTIFS(Tabela4[[#All],[Cenário]],Tabela4[[#This Row],[Cenário]],Tabela4[[#All],[Status]],"Keyuser - Concluído ")</f>
        <v>7</v>
      </c>
      <c r="S2" t="str">
        <f>IF(Tabela4[[#This Row],[Tarefas por Cenário]]-Tabela4[[#This Row],[Tarefas Concluídas]]&gt;0,"Não","Sim")</f>
        <v>Não</v>
      </c>
      <c r="T2">
        <f>COUNTIFS(Tabela4[[#All],[Cenário]],Tabela4[[#This Row],[Cenário]],Tabela4[[#All],[Status]],Tabela4[[#Headers],[Elo - Em correção ]])</f>
        <v>0</v>
      </c>
      <c r="U2">
        <f>COUNTIFS(Tabela4[[#All],[Cenário]],Tabela4[[#This Row],[Cenário]],Tabela4[[#All],[Status]],Tabela4[[#Headers],[Keyuser - Aguardando tarefa precedente]])</f>
        <v>0</v>
      </c>
      <c r="V2">
        <f>COUNTIFS(Tabela4[[#All],[Cenário]],Tabela4[[#This Row],[Cenário]],Tabela4[[#All],[Status]],Tabela4[[#Headers],[Não liberado  para testes]])</f>
        <v>1</v>
      </c>
      <c r="W2" t="str">
        <f>IF(Tabela4[[#This Row],[Elo - Em correção ]]&gt;0,"Sim","Não")</f>
        <v>Não</v>
      </c>
      <c r="X2" t="str">
        <f>IF(Tabela4[[#This Row],[Keyuser - Aguardando tarefa precedente]]&gt;0,"Sim","Não")</f>
        <v>Não</v>
      </c>
      <c r="Y2" t="str">
        <f>IF(Tabela4[[#This Row],[Não liberado  para testes]]&gt;0,"Sim","Não")</f>
        <v>Sim</v>
      </c>
      <c r="Z2" t="str">
        <f ca="1">IF(Tabela4[[#This Row],[Status]]="Keyuser - Pendente",NETWORKDAYS(Tabela4[[#This Row],[Dt Inicial]],TODAY()),"")</f>
        <v/>
      </c>
      <c r="AA2" t="b">
        <f>AND(Tabela4[[#This Row],[Status]]="Keyuser - Aguardando tarefa precedente",K1="Keyuser - Concluído ")</f>
        <v>0</v>
      </c>
    </row>
    <row r="3" spans="1:27" x14ac:dyDescent="0.25">
      <c r="A3" t="str">
        <f>"OUT-"&amp;IFERROR(MID(Tabela4[[#This Row],[Cenário]],SEARCH("(",Tabela4[[#This Row],[Cenário]])+1,SEARCH(")",Tabela4[[#This Row],[Cenário]])-SEARCH("(",Tabela4[[#This Row],[Cenário]])-1),"")&amp;"_"&amp;ROW()</f>
        <v>OUT-Y002_3</v>
      </c>
      <c r="B3" t="s">
        <v>358</v>
      </c>
      <c r="C3" t="s">
        <v>359</v>
      </c>
      <c r="D3" s="5" t="s">
        <v>365</v>
      </c>
      <c r="E3">
        <v>2</v>
      </c>
      <c r="F3" t="s">
        <v>365</v>
      </c>
      <c r="G3" t="s">
        <v>310</v>
      </c>
      <c r="H3" s="18" t="s">
        <v>362</v>
      </c>
      <c r="I3" s="9" t="s">
        <v>363</v>
      </c>
      <c r="J3" s="9" t="s">
        <v>364</v>
      </c>
      <c r="K3" s="9" t="s">
        <v>271</v>
      </c>
      <c r="L3" s="78">
        <v>45944</v>
      </c>
      <c r="N3" s="78">
        <v>45944</v>
      </c>
      <c r="O3" s="31"/>
      <c r="P3" s="9"/>
      <c r="Q3" s="9">
        <f>COUNTIF(Tabela4[[#All],[Cenário]],Tabela4[[#This Row],[Cenário]])</f>
        <v>8</v>
      </c>
      <c r="R3">
        <f>COUNTIFS(Tabela4[[#All],[Cenário]],Tabela4[[#This Row],[Cenário]],Tabela4[[#All],[Status]],"Keyuser - Concluído ")</f>
        <v>7</v>
      </c>
      <c r="S3" t="str">
        <f>IF(Tabela4[[#This Row],[Tarefas por Cenário]]-Tabela4[[#This Row],[Tarefas Concluídas]]&gt;0,"Não","Sim")</f>
        <v>Não</v>
      </c>
      <c r="T3">
        <f>COUNTIFS(Tabela4[[#All],[Cenário]],Tabela4[[#This Row],[Cenário]],Tabela4[[#All],[Status]],Tabela4[[#Headers],[Elo - Em correção ]])</f>
        <v>0</v>
      </c>
      <c r="U3">
        <f>COUNTIFS(Tabela4[[#All],[Cenário]],Tabela4[[#This Row],[Cenário]],Tabela4[[#All],[Status]],Tabela4[[#Headers],[Keyuser - Aguardando tarefa precedente]])</f>
        <v>0</v>
      </c>
      <c r="V3">
        <f>COUNTIFS(Tabela4[[#All],[Cenário]],Tabela4[[#This Row],[Cenário]],Tabela4[[#All],[Status]],Tabela4[[#Headers],[Não liberado  para testes]])</f>
        <v>1</v>
      </c>
      <c r="W3" t="str">
        <f>IF(Tabela4[[#This Row],[Elo - Em correção ]]&gt;0,"Sim","Não")</f>
        <v>Não</v>
      </c>
      <c r="X3" t="str">
        <f>IF(Tabela4[[#This Row],[Keyuser - Aguardando tarefa precedente]]&gt;0,"Sim","Não")</f>
        <v>Não</v>
      </c>
      <c r="Y3" t="str">
        <f>IF(Tabela4[[#This Row],[Não liberado  para testes]]&gt;0,"Sim","Não")</f>
        <v>Sim</v>
      </c>
      <c r="Z3" t="str">
        <f ca="1">IF(Tabela4[[#This Row],[Status]]="Keyuser - Pendente",NETWORKDAYS(Tabela4[[#This Row],[Dt Inicial]],TODAY()),"")</f>
        <v/>
      </c>
      <c r="AA3" t="b">
        <f>AND(Tabela4[[#This Row],[Status]]="Keyuser - Aguardando tarefa precedente",K2="Keyuser - Concluído ")</f>
        <v>0</v>
      </c>
    </row>
    <row r="4" spans="1:27" x14ac:dyDescent="0.25">
      <c r="A4" t="str">
        <f>"OUT-"&amp;IFERROR(MID(Tabela4[[#This Row],[Cenário]],SEARCH("(",Tabela4[[#This Row],[Cenário]])+1,SEARCH(")",Tabela4[[#This Row],[Cenário]])-SEARCH("(",Tabela4[[#This Row],[Cenário]])-1),"")&amp;"_"&amp;ROW()</f>
        <v>OUT-Y002_4</v>
      </c>
      <c r="B4" t="s">
        <v>358</v>
      </c>
      <c r="C4" t="s">
        <v>359</v>
      </c>
      <c r="D4" s="5" t="s">
        <v>366</v>
      </c>
      <c r="E4">
        <v>3</v>
      </c>
      <c r="F4" t="s">
        <v>366</v>
      </c>
      <c r="G4" t="s">
        <v>367</v>
      </c>
      <c r="H4" s="18" t="s">
        <v>362</v>
      </c>
      <c r="I4" s="9" t="s">
        <v>363</v>
      </c>
      <c r="J4" s="9" t="s">
        <v>364</v>
      </c>
      <c r="K4" s="9" t="s">
        <v>271</v>
      </c>
      <c r="L4" s="78">
        <v>45945</v>
      </c>
      <c r="N4" s="78">
        <v>45945</v>
      </c>
      <c r="O4" s="31"/>
      <c r="P4" s="9"/>
      <c r="Q4" s="9">
        <f>COUNTIF(Tabela4[[#All],[Cenário]],Tabela4[[#This Row],[Cenário]])</f>
        <v>8</v>
      </c>
      <c r="R4">
        <f>COUNTIFS(Tabela4[[#All],[Cenário]],Tabela4[[#This Row],[Cenário]],Tabela4[[#All],[Status]],"Keyuser - Concluído ")</f>
        <v>7</v>
      </c>
      <c r="S4" t="str">
        <f>IF(Tabela4[[#This Row],[Tarefas por Cenário]]-Tabela4[[#This Row],[Tarefas Concluídas]]&gt;0,"Não","Sim")</f>
        <v>Não</v>
      </c>
      <c r="T4">
        <f>COUNTIFS(Tabela4[[#All],[Cenário]],Tabela4[[#This Row],[Cenário]],Tabela4[[#All],[Status]],Tabela4[[#Headers],[Elo - Em correção ]])</f>
        <v>0</v>
      </c>
      <c r="U4">
        <f>COUNTIFS(Tabela4[[#All],[Cenário]],Tabela4[[#This Row],[Cenário]],Tabela4[[#All],[Status]],Tabela4[[#Headers],[Keyuser - Aguardando tarefa precedente]])</f>
        <v>0</v>
      </c>
      <c r="V4">
        <f>COUNTIFS(Tabela4[[#All],[Cenário]],Tabela4[[#This Row],[Cenário]],Tabela4[[#All],[Status]],Tabela4[[#Headers],[Não liberado  para testes]])</f>
        <v>1</v>
      </c>
      <c r="W4" t="str">
        <f>IF(Tabela4[[#This Row],[Elo - Em correção ]]&gt;0,"Sim","Não")</f>
        <v>Não</v>
      </c>
      <c r="X4" t="str">
        <f>IF(Tabela4[[#This Row],[Keyuser - Aguardando tarefa precedente]]&gt;0,"Sim","Não")</f>
        <v>Não</v>
      </c>
      <c r="Y4" t="str">
        <f>IF(Tabela4[[#This Row],[Não liberado  para testes]]&gt;0,"Sim","Não")</f>
        <v>Sim</v>
      </c>
      <c r="Z4" t="str">
        <f ca="1">IF(Tabela4[[#This Row],[Status]]="Keyuser - Pendente",NETWORKDAYS(Tabela4[[#This Row],[Dt Inicial]],TODAY()),"")</f>
        <v/>
      </c>
      <c r="AA4" t="b">
        <f>AND(Tabela4[[#This Row],[Status]]="Keyuser - Aguardando tarefa precedente",K3="Keyuser - Concluído ")</f>
        <v>0</v>
      </c>
    </row>
    <row r="5" spans="1:27" x14ac:dyDescent="0.25">
      <c r="A5" t="str">
        <f>"OUT-"&amp;IFERROR(MID(Tabela4[[#This Row],[Cenário]],SEARCH("(",Tabela4[[#This Row],[Cenário]])+1,SEARCH(")",Tabela4[[#This Row],[Cenário]])-SEARCH("(",Tabela4[[#This Row],[Cenário]])-1),"")&amp;"_"&amp;ROW()</f>
        <v>OUT-Y002_5</v>
      </c>
      <c r="B5" t="s">
        <v>358</v>
      </c>
      <c r="C5" t="s">
        <v>359</v>
      </c>
      <c r="D5" s="5" t="s">
        <v>368</v>
      </c>
      <c r="E5">
        <v>4</v>
      </c>
      <c r="F5" t="s">
        <v>368</v>
      </c>
      <c r="G5" t="s">
        <v>369</v>
      </c>
      <c r="H5" s="9" t="s">
        <v>370</v>
      </c>
      <c r="K5" s="9" t="s">
        <v>271</v>
      </c>
      <c r="L5" s="78">
        <v>45945</v>
      </c>
      <c r="N5" s="78">
        <v>45945</v>
      </c>
      <c r="O5" s="31"/>
      <c r="P5" s="9"/>
      <c r="Q5" s="9">
        <f>COUNTIF(Tabela4[[#All],[Cenário]],Tabela4[[#This Row],[Cenário]])</f>
        <v>8</v>
      </c>
      <c r="R5">
        <f>COUNTIFS(Tabela4[[#All],[Cenário]],Tabela4[[#This Row],[Cenário]],Tabela4[[#All],[Status]],"Keyuser - Concluído ")</f>
        <v>7</v>
      </c>
      <c r="S5" t="str">
        <f>IF(Tabela4[[#This Row],[Tarefas por Cenário]]-Tabela4[[#This Row],[Tarefas Concluídas]]&gt;0,"Não","Sim")</f>
        <v>Não</v>
      </c>
      <c r="T5">
        <f>COUNTIFS(Tabela4[[#All],[Cenário]],Tabela4[[#This Row],[Cenário]],Tabela4[[#All],[Status]],Tabela4[[#Headers],[Elo - Em correção ]])</f>
        <v>0</v>
      </c>
      <c r="U5">
        <f>COUNTIFS(Tabela4[[#All],[Cenário]],Tabela4[[#This Row],[Cenário]],Tabela4[[#All],[Status]],Tabela4[[#Headers],[Keyuser - Aguardando tarefa precedente]])</f>
        <v>0</v>
      </c>
      <c r="V5">
        <f>COUNTIFS(Tabela4[[#All],[Cenário]],Tabela4[[#This Row],[Cenário]],Tabela4[[#All],[Status]],Tabela4[[#Headers],[Não liberado  para testes]])</f>
        <v>1</v>
      </c>
      <c r="W5" t="str">
        <f>IF(Tabela4[[#This Row],[Elo - Em correção ]]&gt;0,"Sim","Não")</f>
        <v>Não</v>
      </c>
      <c r="X5" t="str">
        <f>IF(Tabela4[[#This Row],[Keyuser - Aguardando tarefa precedente]]&gt;0,"Sim","Não")</f>
        <v>Não</v>
      </c>
      <c r="Y5" t="str">
        <f>IF(Tabela4[[#This Row],[Não liberado  para testes]]&gt;0,"Sim","Não")</f>
        <v>Sim</v>
      </c>
      <c r="Z5" t="str">
        <f ca="1">IF(Tabela4[[#This Row],[Status]]="Keyuser - Pendente",NETWORKDAYS(Tabela4[[#This Row],[Dt Inicial]],TODAY()),"")</f>
        <v/>
      </c>
      <c r="AA5" t="b">
        <f>AND(Tabela4[[#This Row],[Status]]="Keyuser - Aguardando tarefa precedente",K4="Keyuser - Concluído ")</f>
        <v>0</v>
      </c>
    </row>
    <row r="6" spans="1:27" x14ac:dyDescent="0.25">
      <c r="A6" t="str">
        <f>"OUT-"&amp;IFERROR(MID(Tabela4[[#This Row],[Cenário]],SEARCH("(",Tabela4[[#This Row],[Cenário]])+1,SEARCH(")",Tabela4[[#This Row],[Cenário]])-SEARCH("(",Tabela4[[#This Row],[Cenário]])-1),"")&amp;"_"&amp;ROW()</f>
        <v>OUT-Y002_6</v>
      </c>
      <c r="B6" t="s">
        <v>358</v>
      </c>
      <c r="C6" t="s">
        <v>359</v>
      </c>
      <c r="D6" s="5" t="s">
        <v>371</v>
      </c>
      <c r="E6">
        <v>5</v>
      </c>
      <c r="F6" t="s">
        <v>372</v>
      </c>
      <c r="G6" t="s">
        <v>287</v>
      </c>
      <c r="H6" s="9" t="s">
        <v>370</v>
      </c>
      <c r="K6" s="9" t="s">
        <v>271</v>
      </c>
      <c r="L6" s="78">
        <v>45945</v>
      </c>
      <c r="N6" s="78">
        <v>45945</v>
      </c>
      <c r="O6" s="31"/>
      <c r="P6" s="9"/>
      <c r="Q6" s="9">
        <f>COUNTIF(Tabela4[[#All],[Cenário]],Tabela4[[#This Row],[Cenário]])</f>
        <v>8</v>
      </c>
      <c r="R6">
        <f>COUNTIFS(Tabela4[[#All],[Cenário]],Tabela4[[#This Row],[Cenário]],Tabela4[[#All],[Status]],"Keyuser - Concluído ")</f>
        <v>7</v>
      </c>
      <c r="S6" t="str">
        <f>IF(Tabela4[[#This Row],[Tarefas por Cenário]]-Tabela4[[#This Row],[Tarefas Concluídas]]&gt;0,"Não","Sim")</f>
        <v>Não</v>
      </c>
      <c r="T6">
        <f>COUNTIFS(Tabela4[[#All],[Cenário]],Tabela4[[#This Row],[Cenário]],Tabela4[[#All],[Status]],Tabela4[[#Headers],[Elo - Em correção ]])</f>
        <v>0</v>
      </c>
      <c r="U6">
        <f>COUNTIFS(Tabela4[[#All],[Cenário]],Tabela4[[#This Row],[Cenário]],Tabela4[[#All],[Status]],Tabela4[[#Headers],[Keyuser - Aguardando tarefa precedente]])</f>
        <v>0</v>
      </c>
      <c r="V6">
        <f>COUNTIFS(Tabela4[[#All],[Cenário]],Tabela4[[#This Row],[Cenário]],Tabela4[[#All],[Status]],Tabela4[[#Headers],[Não liberado  para testes]])</f>
        <v>1</v>
      </c>
      <c r="W6" t="str">
        <f>IF(Tabela4[[#This Row],[Elo - Em correção ]]&gt;0,"Sim","Não")</f>
        <v>Não</v>
      </c>
      <c r="X6" t="str">
        <f>IF(Tabela4[[#This Row],[Keyuser - Aguardando tarefa precedente]]&gt;0,"Sim","Não")</f>
        <v>Não</v>
      </c>
      <c r="Y6" t="str">
        <f>IF(Tabela4[[#This Row],[Não liberado  para testes]]&gt;0,"Sim","Não")</f>
        <v>Sim</v>
      </c>
      <c r="Z6" t="str">
        <f ca="1">IF(Tabela4[[#This Row],[Status]]="Keyuser - Pendente",NETWORKDAYS(Tabela4[[#This Row],[Dt Inicial]],TODAY()),"")</f>
        <v/>
      </c>
      <c r="AA6" t="b">
        <f>AND(Tabela4[[#This Row],[Status]]="Keyuser - Aguardando tarefa precedente",K5="Keyuser - Concluído ")</f>
        <v>0</v>
      </c>
    </row>
    <row r="7" spans="1:27" x14ac:dyDescent="0.25">
      <c r="A7" t="str">
        <f>"OUT-"&amp;IFERROR(MID(Tabela4[[#This Row],[Cenário]],SEARCH("(",Tabela4[[#This Row],[Cenário]])+1,SEARCH(")",Tabela4[[#This Row],[Cenário]])-SEARCH("(",Tabela4[[#This Row],[Cenário]])-1),"")&amp;"_"&amp;ROW()</f>
        <v>OUT-Y002_7</v>
      </c>
      <c r="B7" t="s">
        <v>358</v>
      </c>
      <c r="C7" t="s">
        <v>359</v>
      </c>
      <c r="D7" s="5" t="s">
        <v>373</v>
      </c>
      <c r="E7">
        <v>6</v>
      </c>
      <c r="F7" t="s">
        <v>373</v>
      </c>
      <c r="G7" t="s">
        <v>283</v>
      </c>
      <c r="H7" s="9" t="s">
        <v>370</v>
      </c>
      <c r="K7" s="9" t="s">
        <v>271</v>
      </c>
      <c r="L7" s="78">
        <v>45945</v>
      </c>
      <c r="N7" s="78">
        <v>45945</v>
      </c>
      <c r="O7" s="31"/>
      <c r="P7" s="9"/>
      <c r="Q7" s="9">
        <f>COUNTIF(Tabela4[[#All],[Cenário]],Tabela4[[#This Row],[Cenário]])</f>
        <v>8</v>
      </c>
      <c r="R7">
        <f>COUNTIFS(Tabela4[[#All],[Cenário]],Tabela4[[#This Row],[Cenário]],Tabela4[[#All],[Status]],"Keyuser - Concluído ")</f>
        <v>7</v>
      </c>
      <c r="S7" t="str">
        <f>IF(Tabela4[[#This Row],[Tarefas por Cenário]]-Tabela4[[#This Row],[Tarefas Concluídas]]&gt;0,"Não","Sim")</f>
        <v>Não</v>
      </c>
      <c r="T7">
        <f>COUNTIFS(Tabela4[[#All],[Cenário]],Tabela4[[#This Row],[Cenário]],Tabela4[[#All],[Status]],Tabela4[[#Headers],[Elo - Em correção ]])</f>
        <v>0</v>
      </c>
      <c r="U7">
        <f>COUNTIFS(Tabela4[[#All],[Cenário]],Tabela4[[#This Row],[Cenário]],Tabela4[[#All],[Status]],Tabela4[[#Headers],[Keyuser - Aguardando tarefa precedente]])</f>
        <v>0</v>
      </c>
      <c r="V7">
        <f>COUNTIFS(Tabela4[[#All],[Cenário]],Tabela4[[#This Row],[Cenário]],Tabela4[[#All],[Status]],Tabela4[[#Headers],[Não liberado  para testes]])</f>
        <v>1</v>
      </c>
      <c r="W7" t="str">
        <f>IF(Tabela4[[#This Row],[Elo - Em correção ]]&gt;0,"Sim","Não")</f>
        <v>Não</v>
      </c>
      <c r="X7" t="str">
        <f>IF(Tabela4[[#This Row],[Keyuser - Aguardando tarefa precedente]]&gt;0,"Sim","Não")</f>
        <v>Não</v>
      </c>
      <c r="Y7" t="str">
        <f>IF(Tabela4[[#This Row],[Não liberado  para testes]]&gt;0,"Sim","Não")</f>
        <v>Sim</v>
      </c>
      <c r="Z7" t="str">
        <f ca="1">IF(Tabela4[[#This Row],[Status]]="Keyuser - Pendente",NETWORKDAYS(Tabela4[[#This Row],[Dt Inicial]],TODAY()),"")</f>
        <v/>
      </c>
      <c r="AA7" t="b">
        <f>AND(Tabela4[[#This Row],[Status]]="Keyuser - Aguardando tarefa precedente",K6="Keyuser - Concluído ")</f>
        <v>0</v>
      </c>
    </row>
    <row r="8" spans="1:27" x14ac:dyDescent="0.25">
      <c r="A8" t="str">
        <f>"OUT-"&amp;IFERROR(MID(Tabela4[[#This Row],[Cenário]],SEARCH("(",Tabela4[[#This Row],[Cenário]])+1,SEARCH(")",Tabela4[[#This Row],[Cenário]])-SEARCH("(",Tabela4[[#This Row],[Cenário]])-1),"")&amp;"_"&amp;ROW()</f>
        <v>OUT-Y002_8</v>
      </c>
      <c r="B8" t="s">
        <v>374</v>
      </c>
      <c r="C8" t="s">
        <v>359</v>
      </c>
      <c r="D8" s="5" t="s">
        <v>286</v>
      </c>
      <c r="E8">
        <v>7</v>
      </c>
      <c r="F8" t="s">
        <v>286</v>
      </c>
      <c r="G8" t="s">
        <v>287</v>
      </c>
      <c r="K8" s="9" t="s">
        <v>262</v>
      </c>
      <c r="N8" s="78"/>
      <c r="O8" s="31"/>
      <c r="P8" s="9"/>
      <c r="Q8" s="9">
        <f>COUNTIF(Tabela4[[#All],[Cenário]],Tabela4[[#This Row],[Cenário]])</f>
        <v>8</v>
      </c>
      <c r="R8">
        <f>COUNTIFS(Tabela4[[#All],[Cenário]],Tabela4[[#This Row],[Cenário]],Tabela4[[#All],[Status]],"Keyuser - Concluído ")</f>
        <v>7</v>
      </c>
      <c r="S8" t="str">
        <f>IF(Tabela4[[#This Row],[Tarefas por Cenário]]-Tabela4[[#This Row],[Tarefas Concluídas]]&gt;0,"Não","Sim")</f>
        <v>Não</v>
      </c>
      <c r="T8">
        <f>COUNTIFS(Tabela4[[#All],[Cenário]],Tabela4[[#This Row],[Cenário]],Tabela4[[#All],[Status]],Tabela4[[#Headers],[Elo - Em correção ]])</f>
        <v>0</v>
      </c>
      <c r="U8">
        <f>COUNTIFS(Tabela4[[#All],[Cenário]],Tabela4[[#This Row],[Cenário]],Tabela4[[#All],[Status]],Tabela4[[#Headers],[Keyuser - Aguardando tarefa precedente]])</f>
        <v>0</v>
      </c>
      <c r="V8">
        <f>COUNTIFS(Tabela4[[#All],[Cenário]],Tabela4[[#This Row],[Cenário]],Tabela4[[#All],[Status]],Tabela4[[#Headers],[Não liberado  para testes]])</f>
        <v>1</v>
      </c>
      <c r="W8" t="str">
        <f>IF(Tabela4[[#This Row],[Elo - Em correção ]]&gt;0,"Sim","Não")</f>
        <v>Não</v>
      </c>
      <c r="X8" t="str">
        <f>IF(Tabela4[[#This Row],[Keyuser - Aguardando tarefa precedente]]&gt;0,"Sim","Não")</f>
        <v>Não</v>
      </c>
      <c r="Y8" t="str">
        <f>IF(Tabela4[[#This Row],[Não liberado  para testes]]&gt;0,"Sim","Não")</f>
        <v>Sim</v>
      </c>
      <c r="Z8" t="str">
        <f ca="1">IF(Tabela4[[#This Row],[Status]]="Keyuser - Pendente",NETWORKDAYS(Tabela4[[#This Row],[Dt Inicial]],TODAY()),"")</f>
        <v/>
      </c>
      <c r="AA8" t="b">
        <f>AND(Tabela4[[#This Row],[Status]]="Keyuser - Aguardando tarefa precedente",K7="Keyuser - Concluído ")</f>
        <v>0</v>
      </c>
    </row>
    <row r="9" spans="1:27" x14ac:dyDescent="0.25">
      <c r="A9" t="str">
        <f>"OUT-"&amp;IFERROR(MID(Tabela4[[#This Row],[Cenário]],SEARCH("(",Tabela4[[#This Row],[Cenário]])+1,SEARCH(")",Tabela4[[#This Row],[Cenário]])-SEARCH("(",Tabela4[[#This Row],[Cenário]])-1),"")&amp;"_"&amp;ROW()</f>
        <v>OUT-Y002_9</v>
      </c>
      <c r="B9" t="s">
        <v>358</v>
      </c>
      <c r="C9" t="s">
        <v>359</v>
      </c>
      <c r="D9" s="5" t="s">
        <v>375</v>
      </c>
      <c r="E9">
        <v>8</v>
      </c>
      <c r="F9" t="s">
        <v>375</v>
      </c>
      <c r="G9" t="s">
        <v>367</v>
      </c>
      <c r="H9" s="18" t="s">
        <v>362</v>
      </c>
      <c r="I9" s="9" t="s">
        <v>363</v>
      </c>
      <c r="J9" s="9" t="s">
        <v>364</v>
      </c>
      <c r="K9" s="9" t="s">
        <v>271</v>
      </c>
      <c r="L9" s="78">
        <v>45950</v>
      </c>
      <c r="N9" s="78">
        <v>45950</v>
      </c>
      <c r="O9" s="31"/>
      <c r="P9" s="9"/>
      <c r="Q9" s="9">
        <f>COUNTIF(Tabela4[[#All],[Cenário]],Tabela4[[#This Row],[Cenário]])</f>
        <v>8</v>
      </c>
      <c r="R9">
        <f>COUNTIFS(Tabela4[[#All],[Cenário]],Tabela4[[#This Row],[Cenário]],Tabela4[[#All],[Status]],"Keyuser - Concluído ")</f>
        <v>7</v>
      </c>
      <c r="S9" t="str">
        <f>IF(Tabela4[[#This Row],[Tarefas por Cenário]]-Tabela4[[#This Row],[Tarefas Concluídas]]&gt;0,"Não","Sim")</f>
        <v>Não</v>
      </c>
      <c r="T9">
        <f>COUNTIFS(Tabela4[[#All],[Cenário]],Tabela4[[#This Row],[Cenário]],Tabela4[[#All],[Status]],Tabela4[[#Headers],[Elo - Em correção ]])</f>
        <v>0</v>
      </c>
      <c r="U9">
        <f>COUNTIFS(Tabela4[[#All],[Cenário]],Tabela4[[#This Row],[Cenário]],Tabela4[[#All],[Status]],Tabela4[[#Headers],[Keyuser - Aguardando tarefa precedente]])</f>
        <v>0</v>
      </c>
      <c r="V9">
        <f>COUNTIFS(Tabela4[[#All],[Cenário]],Tabela4[[#This Row],[Cenário]],Tabela4[[#All],[Status]],Tabela4[[#Headers],[Não liberado  para testes]])</f>
        <v>1</v>
      </c>
      <c r="W9" t="str">
        <f>IF(Tabela4[[#This Row],[Elo - Em correção ]]&gt;0,"Sim","Não")</f>
        <v>Não</v>
      </c>
      <c r="X9" t="str">
        <f>IF(Tabela4[[#This Row],[Keyuser - Aguardando tarefa precedente]]&gt;0,"Sim","Não")</f>
        <v>Não</v>
      </c>
      <c r="Y9" t="str">
        <f>IF(Tabela4[[#This Row],[Não liberado  para testes]]&gt;0,"Sim","Não")</f>
        <v>Sim</v>
      </c>
      <c r="Z9" t="str">
        <f ca="1">IF(Tabela4[[#This Row],[Status]]="Keyuser - Pendente",NETWORKDAYS(Tabela4[[#This Row],[Dt Inicial]],TODAY()),"")</f>
        <v/>
      </c>
      <c r="AA9" t="b">
        <f>AND(Tabela4[[#This Row],[Status]]="Keyuser - Aguardando tarefa precedente",K8="Keyuser - Concluído ")</f>
        <v>0</v>
      </c>
    </row>
    <row r="10" spans="1:27" x14ac:dyDescent="0.25">
      <c r="A10" t="str">
        <f>"OUT-"&amp;IFERROR(MID(Tabela4[[#This Row],[Cenário]],SEARCH("(",Tabela4[[#This Row],[Cenário]])+1,SEARCH(")",Tabela4[[#This Row],[Cenário]])-SEARCH("(",Tabela4[[#This Row],[Cenário]])-1),"")&amp;"_"&amp;ROW()</f>
        <v>OUT-YDEV_10</v>
      </c>
      <c r="B10" t="s">
        <v>358</v>
      </c>
      <c r="C10" t="s">
        <v>376</v>
      </c>
      <c r="D10" s="5" t="s">
        <v>360</v>
      </c>
      <c r="E10">
        <v>1</v>
      </c>
      <c r="F10" t="s">
        <v>360</v>
      </c>
      <c r="G10" t="s">
        <v>377</v>
      </c>
      <c r="H10" s="9">
        <v>60668325</v>
      </c>
      <c r="K10" s="9" t="s">
        <v>271</v>
      </c>
      <c r="L10" s="78">
        <v>45958</v>
      </c>
      <c r="N10" s="78">
        <v>45958</v>
      </c>
      <c r="O10" s="31"/>
      <c r="P10" s="9"/>
      <c r="Q10" s="9">
        <f>COUNTIF(Tabela4[[#All],[Cenário]],Tabela4[[#This Row],[Cenário]])</f>
        <v>6</v>
      </c>
      <c r="R10">
        <f>COUNTIFS(Tabela4[[#All],[Cenário]],Tabela4[[#This Row],[Cenário]],Tabela4[[#All],[Status]],"Keyuser - Concluído ")</f>
        <v>5</v>
      </c>
      <c r="S10" t="str">
        <f>IF(Tabela4[[#This Row],[Tarefas por Cenário]]-Tabela4[[#This Row],[Tarefas Concluídas]]&gt;0,"Não","Sim")</f>
        <v>Não</v>
      </c>
      <c r="T10">
        <f>COUNTIFS(Tabela4[[#All],[Cenário]],Tabela4[[#This Row],[Cenário]],Tabela4[[#All],[Status]],Tabela4[[#Headers],[Elo - Em correção ]])</f>
        <v>0</v>
      </c>
      <c r="U10">
        <f>COUNTIFS(Tabela4[[#All],[Cenário]],Tabela4[[#This Row],[Cenário]],Tabela4[[#All],[Status]],Tabela4[[#Headers],[Keyuser - Aguardando tarefa precedente]])</f>
        <v>0</v>
      </c>
      <c r="V10">
        <f>COUNTIFS(Tabela4[[#All],[Cenário]],Tabela4[[#This Row],[Cenário]],Tabela4[[#All],[Status]],Tabela4[[#Headers],[Não liberado  para testes]])</f>
        <v>1</v>
      </c>
      <c r="W10" t="str">
        <f>IF(Tabela4[[#This Row],[Elo - Em correção ]]&gt;0,"Sim","Não")</f>
        <v>Não</v>
      </c>
      <c r="X10" t="str">
        <f>IF(Tabela4[[#This Row],[Keyuser - Aguardando tarefa precedente]]&gt;0,"Sim","Não")</f>
        <v>Não</v>
      </c>
      <c r="Y10" t="str">
        <f>IF(Tabela4[[#This Row],[Não liberado  para testes]]&gt;0,"Sim","Não")</f>
        <v>Sim</v>
      </c>
      <c r="Z10" t="str">
        <f ca="1">IF(Tabela4[[#This Row],[Status]]="Keyuser - Pendente",NETWORKDAYS(Tabela4[[#This Row],[Dt Inicial]],TODAY()),"")</f>
        <v/>
      </c>
      <c r="AA10" t="b">
        <f>AND(Tabela4[[#This Row],[Status]]="Keyuser - Aguardando tarefa precedente",K9="Keyuser - Concluído ")</f>
        <v>0</v>
      </c>
    </row>
    <row r="11" spans="1:27" x14ac:dyDescent="0.25">
      <c r="A11" t="str">
        <f>"OUT-"&amp;IFERROR(MID(Tabela4[[#This Row],[Cenário]],SEARCH("(",Tabela4[[#This Row],[Cenário]])+1,SEARCH(")",Tabela4[[#This Row],[Cenário]])-SEARCH("(",Tabela4[[#This Row],[Cenário]])-1),"")&amp;"_"&amp;ROW()</f>
        <v>OUT-YDEV_11</v>
      </c>
      <c r="B11" t="s">
        <v>358</v>
      </c>
      <c r="C11" t="s">
        <v>376</v>
      </c>
      <c r="D11" s="5" t="s">
        <v>365</v>
      </c>
      <c r="E11">
        <v>2</v>
      </c>
      <c r="F11" t="s">
        <v>365</v>
      </c>
      <c r="G11" t="s">
        <v>310</v>
      </c>
      <c r="H11" s="9">
        <v>60668325</v>
      </c>
      <c r="K11" s="9" t="s">
        <v>271</v>
      </c>
      <c r="L11" s="78">
        <v>45958</v>
      </c>
      <c r="N11" s="78">
        <v>45958</v>
      </c>
      <c r="O11" s="31"/>
      <c r="P11" s="9"/>
      <c r="Q11" s="9">
        <f>COUNTIF(Tabela4[[#All],[Cenário]],Tabela4[[#This Row],[Cenário]])</f>
        <v>6</v>
      </c>
      <c r="R11">
        <f>COUNTIFS(Tabela4[[#All],[Cenário]],Tabela4[[#This Row],[Cenário]],Tabela4[[#All],[Status]],"Keyuser - Concluído ")</f>
        <v>5</v>
      </c>
      <c r="S11" t="str">
        <f>IF(Tabela4[[#This Row],[Tarefas por Cenário]]-Tabela4[[#This Row],[Tarefas Concluídas]]&gt;0,"Não","Sim")</f>
        <v>Não</v>
      </c>
      <c r="T11">
        <f>COUNTIFS(Tabela4[[#All],[Cenário]],Tabela4[[#This Row],[Cenário]],Tabela4[[#All],[Status]],Tabela4[[#Headers],[Elo - Em correção ]])</f>
        <v>0</v>
      </c>
      <c r="U11">
        <f>COUNTIFS(Tabela4[[#All],[Cenário]],Tabela4[[#This Row],[Cenário]],Tabela4[[#All],[Status]],Tabela4[[#Headers],[Keyuser - Aguardando tarefa precedente]])</f>
        <v>0</v>
      </c>
      <c r="V11">
        <f>COUNTIFS(Tabela4[[#All],[Cenário]],Tabela4[[#This Row],[Cenário]],Tabela4[[#All],[Status]],Tabela4[[#Headers],[Não liberado  para testes]])</f>
        <v>1</v>
      </c>
      <c r="W11" t="str">
        <f>IF(Tabela4[[#This Row],[Elo - Em correção ]]&gt;0,"Sim","Não")</f>
        <v>Não</v>
      </c>
      <c r="X11" t="str">
        <f>IF(Tabela4[[#This Row],[Keyuser - Aguardando tarefa precedente]]&gt;0,"Sim","Não")</f>
        <v>Não</v>
      </c>
      <c r="Y11" t="str">
        <f>IF(Tabela4[[#This Row],[Não liberado  para testes]]&gt;0,"Sim","Não")</f>
        <v>Sim</v>
      </c>
      <c r="Z11" t="str">
        <f ca="1">IF(Tabela4[[#This Row],[Status]]="Keyuser - Pendente",NETWORKDAYS(Tabela4[[#This Row],[Dt Inicial]],TODAY()),"")</f>
        <v/>
      </c>
      <c r="AA11" t="b">
        <f>AND(Tabela4[[#This Row],[Status]]="Keyuser - Aguardando tarefa precedente",K10="Keyuser - Concluído ")</f>
        <v>0</v>
      </c>
    </row>
    <row r="12" spans="1:27" x14ac:dyDescent="0.25">
      <c r="A12" t="str">
        <f>"OUT-"&amp;IFERROR(MID(Tabela4[[#This Row],[Cenário]],SEARCH("(",Tabela4[[#This Row],[Cenário]])+1,SEARCH(")",Tabela4[[#This Row],[Cenário]])-SEARCH("(",Tabela4[[#This Row],[Cenário]])-1),"")&amp;"_"&amp;ROW()</f>
        <v>OUT-YDEV_12</v>
      </c>
      <c r="B12" t="s">
        <v>358</v>
      </c>
      <c r="C12" t="s">
        <v>376</v>
      </c>
      <c r="D12" s="5" t="s">
        <v>368</v>
      </c>
      <c r="E12">
        <v>3</v>
      </c>
      <c r="F12" t="s">
        <v>368</v>
      </c>
      <c r="G12" t="s">
        <v>377</v>
      </c>
      <c r="H12" s="9" t="s">
        <v>378</v>
      </c>
      <c r="K12" s="9" t="s">
        <v>271</v>
      </c>
      <c r="L12" s="78">
        <v>45958</v>
      </c>
      <c r="N12" s="78">
        <v>45958</v>
      </c>
      <c r="O12" s="31" t="s">
        <v>379</v>
      </c>
      <c r="P12" s="9"/>
      <c r="Q12" s="9">
        <f>COUNTIF(Tabela4[[#All],[Cenário]],Tabela4[[#This Row],[Cenário]])</f>
        <v>6</v>
      </c>
      <c r="R12">
        <f>COUNTIFS(Tabela4[[#All],[Cenário]],Tabela4[[#This Row],[Cenário]],Tabela4[[#All],[Status]],"Keyuser - Concluído ")</f>
        <v>5</v>
      </c>
      <c r="S12" t="str">
        <f>IF(Tabela4[[#This Row],[Tarefas por Cenário]]-Tabela4[[#This Row],[Tarefas Concluídas]]&gt;0,"Não","Sim")</f>
        <v>Não</v>
      </c>
      <c r="T12">
        <f>COUNTIFS(Tabela4[[#All],[Cenário]],Tabela4[[#This Row],[Cenário]],Tabela4[[#All],[Status]],Tabela4[[#Headers],[Elo - Em correção ]])</f>
        <v>0</v>
      </c>
      <c r="U12">
        <f>COUNTIFS(Tabela4[[#All],[Cenário]],Tabela4[[#This Row],[Cenário]],Tabela4[[#All],[Status]],Tabela4[[#Headers],[Keyuser - Aguardando tarefa precedente]])</f>
        <v>0</v>
      </c>
      <c r="V12">
        <f>COUNTIFS(Tabela4[[#All],[Cenário]],Tabela4[[#This Row],[Cenário]],Tabela4[[#All],[Status]],Tabela4[[#Headers],[Não liberado  para testes]])</f>
        <v>1</v>
      </c>
      <c r="W12" t="str">
        <f>IF(Tabela4[[#This Row],[Elo - Em correção ]]&gt;0,"Sim","Não")</f>
        <v>Não</v>
      </c>
      <c r="X12" t="str">
        <f>IF(Tabela4[[#This Row],[Keyuser - Aguardando tarefa precedente]]&gt;0,"Sim","Não")</f>
        <v>Não</v>
      </c>
      <c r="Y12" t="str">
        <f>IF(Tabela4[[#This Row],[Não liberado  para testes]]&gt;0,"Sim","Não")</f>
        <v>Sim</v>
      </c>
      <c r="Z12" t="str">
        <f ca="1">IF(Tabela4[[#This Row],[Status]]="Keyuser - Pendente",NETWORKDAYS(Tabela4[[#This Row],[Dt Inicial]],TODAY()),"")</f>
        <v/>
      </c>
      <c r="AA12" t="b">
        <f>AND(Tabela4[[#This Row],[Status]]="Keyuser - Aguardando tarefa precedente",K11="Keyuser - Concluído ")</f>
        <v>0</v>
      </c>
    </row>
    <row r="13" spans="1:27" x14ac:dyDescent="0.25">
      <c r="A13" t="str">
        <f>"OUT-"&amp;IFERROR(MID(Tabela4[[#This Row],[Cenário]],SEARCH("(",Tabela4[[#This Row],[Cenário]])+1,SEARCH(")",Tabela4[[#This Row],[Cenário]])-SEARCH("(",Tabela4[[#This Row],[Cenário]])-1),"")&amp;"_"&amp;ROW()</f>
        <v>OUT-YDEV_13</v>
      </c>
      <c r="B13" t="s">
        <v>358</v>
      </c>
      <c r="C13" t="s">
        <v>376</v>
      </c>
      <c r="D13" s="5" t="s">
        <v>371</v>
      </c>
      <c r="E13">
        <v>4</v>
      </c>
      <c r="F13" t="s">
        <v>372</v>
      </c>
      <c r="G13" t="s">
        <v>287</v>
      </c>
      <c r="H13" s="9" t="s">
        <v>378</v>
      </c>
      <c r="K13" s="9" t="s">
        <v>271</v>
      </c>
      <c r="L13" s="78">
        <v>45959</v>
      </c>
      <c r="N13" s="78">
        <v>45959</v>
      </c>
      <c r="O13" s="31"/>
      <c r="P13" s="9"/>
      <c r="Q13" s="9">
        <f>COUNTIF(Tabela4[[#All],[Cenário]],Tabela4[[#This Row],[Cenário]])</f>
        <v>6</v>
      </c>
      <c r="R13">
        <f>COUNTIFS(Tabela4[[#All],[Cenário]],Tabela4[[#This Row],[Cenário]],Tabela4[[#All],[Status]],"Keyuser - Concluído ")</f>
        <v>5</v>
      </c>
      <c r="S13" t="str">
        <f>IF(Tabela4[[#This Row],[Tarefas por Cenário]]-Tabela4[[#This Row],[Tarefas Concluídas]]&gt;0,"Não","Sim")</f>
        <v>Não</v>
      </c>
      <c r="T13">
        <f>COUNTIFS(Tabela4[[#All],[Cenário]],Tabela4[[#This Row],[Cenário]],Tabela4[[#All],[Status]],Tabela4[[#Headers],[Elo - Em correção ]])</f>
        <v>0</v>
      </c>
      <c r="U13">
        <f>COUNTIFS(Tabela4[[#All],[Cenário]],Tabela4[[#This Row],[Cenário]],Tabela4[[#All],[Status]],Tabela4[[#Headers],[Keyuser - Aguardando tarefa precedente]])</f>
        <v>0</v>
      </c>
      <c r="V13">
        <f>COUNTIFS(Tabela4[[#All],[Cenário]],Tabela4[[#This Row],[Cenário]],Tabela4[[#All],[Status]],Tabela4[[#Headers],[Não liberado  para testes]])</f>
        <v>1</v>
      </c>
      <c r="W13" t="str">
        <f>IF(Tabela4[[#This Row],[Elo - Em correção ]]&gt;0,"Sim","Não")</f>
        <v>Não</v>
      </c>
      <c r="X13" t="str">
        <f>IF(Tabela4[[#This Row],[Keyuser - Aguardando tarefa precedente]]&gt;0,"Sim","Não")</f>
        <v>Não</v>
      </c>
      <c r="Y13" t="str">
        <f>IF(Tabela4[[#This Row],[Não liberado  para testes]]&gt;0,"Sim","Não")</f>
        <v>Sim</v>
      </c>
      <c r="Z13" t="str">
        <f ca="1">IF(Tabela4[[#This Row],[Status]]="Keyuser - Pendente",NETWORKDAYS(Tabela4[[#This Row],[Dt Inicial]],TODAY()),"")</f>
        <v/>
      </c>
      <c r="AA13" t="b">
        <f>AND(Tabela4[[#This Row],[Status]]="Keyuser - Aguardando tarefa precedente",K12="Keyuser - Concluído ")</f>
        <v>0</v>
      </c>
    </row>
    <row r="14" spans="1:27" x14ac:dyDescent="0.25">
      <c r="A14" t="str">
        <f>"OUT-"&amp;IFERROR(MID(Tabela4[[#This Row],[Cenário]],SEARCH("(",Tabela4[[#This Row],[Cenário]])+1,SEARCH(")",Tabela4[[#This Row],[Cenário]])-SEARCH("(",Tabela4[[#This Row],[Cenário]])-1),"")&amp;"_"&amp;ROW()</f>
        <v>OUT-YDEV_14</v>
      </c>
      <c r="B14" t="s">
        <v>358</v>
      </c>
      <c r="C14" t="s">
        <v>376</v>
      </c>
      <c r="D14" s="5" t="s">
        <v>373</v>
      </c>
      <c r="E14">
        <v>5</v>
      </c>
      <c r="F14" t="s">
        <v>373</v>
      </c>
      <c r="G14" t="s">
        <v>283</v>
      </c>
      <c r="H14" s="9" t="s">
        <v>378</v>
      </c>
      <c r="K14" s="9" t="s">
        <v>271</v>
      </c>
      <c r="L14" s="78">
        <v>45960</v>
      </c>
      <c r="N14" s="78">
        <v>45960</v>
      </c>
      <c r="O14" s="31"/>
      <c r="P14" s="9"/>
      <c r="Q14" s="9">
        <f>COUNTIF(Tabela4[[#All],[Cenário]],Tabela4[[#This Row],[Cenário]])</f>
        <v>6</v>
      </c>
      <c r="R14">
        <f>COUNTIFS(Tabela4[[#All],[Cenário]],Tabela4[[#This Row],[Cenário]],Tabela4[[#All],[Status]],"Keyuser - Concluído ")</f>
        <v>5</v>
      </c>
      <c r="S14" t="str">
        <f>IF(Tabela4[[#This Row],[Tarefas por Cenário]]-Tabela4[[#This Row],[Tarefas Concluídas]]&gt;0,"Não","Sim")</f>
        <v>Não</v>
      </c>
      <c r="T14">
        <f>COUNTIFS(Tabela4[[#All],[Cenário]],Tabela4[[#This Row],[Cenário]],Tabela4[[#All],[Status]],Tabela4[[#Headers],[Elo - Em correção ]])</f>
        <v>0</v>
      </c>
      <c r="U14">
        <f>COUNTIFS(Tabela4[[#All],[Cenário]],Tabela4[[#This Row],[Cenário]],Tabela4[[#All],[Status]],Tabela4[[#Headers],[Keyuser - Aguardando tarefa precedente]])</f>
        <v>0</v>
      </c>
      <c r="V14">
        <f>COUNTIFS(Tabela4[[#All],[Cenário]],Tabela4[[#This Row],[Cenário]],Tabela4[[#All],[Status]],Tabela4[[#Headers],[Não liberado  para testes]])</f>
        <v>1</v>
      </c>
      <c r="W14" t="str">
        <f>IF(Tabela4[[#This Row],[Elo - Em correção ]]&gt;0,"Sim","Não")</f>
        <v>Não</v>
      </c>
      <c r="X14" t="str">
        <f>IF(Tabela4[[#This Row],[Keyuser - Aguardando tarefa precedente]]&gt;0,"Sim","Não")</f>
        <v>Não</v>
      </c>
      <c r="Y14" t="str">
        <f>IF(Tabela4[[#This Row],[Não liberado  para testes]]&gt;0,"Sim","Não")</f>
        <v>Sim</v>
      </c>
      <c r="Z14" t="str">
        <f ca="1">IF(Tabela4[[#This Row],[Status]]="Keyuser - Pendente",NETWORKDAYS(Tabela4[[#This Row],[Dt Inicial]],TODAY()),"")</f>
        <v/>
      </c>
      <c r="AA14" t="b">
        <f>AND(Tabela4[[#This Row],[Status]]="Keyuser - Aguardando tarefa precedente",K13="Keyuser - Concluído ")</f>
        <v>0</v>
      </c>
    </row>
    <row r="15" spans="1:27" x14ac:dyDescent="0.25">
      <c r="A15" t="str">
        <f>"OUT-"&amp;IFERROR(MID(Tabela4[[#This Row],[Cenário]],SEARCH("(",Tabela4[[#This Row],[Cenário]])+1,SEARCH(")",Tabela4[[#This Row],[Cenário]])-SEARCH("(",Tabela4[[#This Row],[Cenário]])-1),"")&amp;"_"&amp;ROW()</f>
        <v>OUT-YDEV_15</v>
      </c>
      <c r="B15" t="s">
        <v>374</v>
      </c>
      <c r="C15" t="s">
        <v>376</v>
      </c>
      <c r="D15" s="5" t="s">
        <v>286</v>
      </c>
      <c r="E15">
        <v>6</v>
      </c>
      <c r="F15" t="s">
        <v>286</v>
      </c>
      <c r="G15" t="s">
        <v>287</v>
      </c>
      <c r="K15" s="9" t="s">
        <v>262</v>
      </c>
      <c r="N15" s="78"/>
      <c r="O15" s="31"/>
      <c r="P15" s="9"/>
      <c r="Q15" s="9">
        <f>COUNTIF(Tabela4[[#All],[Cenário]],Tabela4[[#This Row],[Cenário]])</f>
        <v>6</v>
      </c>
      <c r="R15">
        <f>COUNTIFS(Tabela4[[#All],[Cenário]],Tabela4[[#This Row],[Cenário]],Tabela4[[#All],[Status]],"Keyuser - Concluído ")</f>
        <v>5</v>
      </c>
      <c r="S15" t="str">
        <f>IF(Tabela4[[#This Row],[Tarefas por Cenário]]-Tabela4[[#This Row],[Tarefas Concluídas]]&gt;0,"Não","Sim")</f>
        <v>Não</v>
      </c>
      <c r="T15">
        <f>COUNTIFS(Tabela4[[#All],[Cenário]],Tabela4[[#This Row],[Cenário]],Tabela4[[#All],[Status]],Tabela4[[#Headers],[Elo - Em correção ]])</f>
        <v>0</v>
      </c>
      <c r="U15">
        <f>COUNTIFS(Tabela4[[#All],[Cenário]],Tabela4[[#This Row],[Cenário]],Tabela4[[#All],[Status]],Tabela4[[#Headers],[Keyuser - Aguardando tarefa precedente]])</f>
        <v>0</v>
      </c>
      <c r="V15">
        <f>COUNTIFS(Tabela4[[#All],[Cenário]],Tabela4[[#This Row],[Cenário]],Tabela4[[#All],[Status]],Tabela4[[#Headers],[Não liberado  para testes]])</f>
        <v>1</v>
      </c>
      <c r="W15" t="str">
        <f>IF(Tabela4[[#This Row],[Elo - Em correção ]]&gt;0,"Sim","Não")</f>
        <v>Não</v>
      </c>
      <c r="X15" t="str">
        <f>IF(Tabela4[[#This Row],[Keyuser - Aguardando tarefa precedente]]&gt;0,"Sim","Não")</f>
        <v>Não</v>
      </c>
      <c r="Y15" t="str">
        <f>IF(Tabela4[[#This Row],[Não liberado  para testes]]&gt;0,"Sim","Não")</f>
        <v>Sim</v>
      </c>
      <c r="Z15" t="str">
        <f ca="1">IF(Tabela4[[#This Row],[Status]]="Keyuser - Pendente",NETWORKDAYS(Tabela4[[#This Row],[Dt Inicial]],TODAY()),"")</f>
        <v/>
      </c>
      <c r="AA15" t="b">
        <f>AND(Tabela4[[#This Row],[Status]]="Keyuser - Aguardando tarefa precedente",K14="Keyuser - Concluído ")</f>
        <v>0</v>
      </c>
    </row>
    <row r="16" spans="1:27" x14ac:dyDescent="0.25">
      <c r="A16" t="str">
        <f>"OUT-"&amp;IFERROR(MID(Tabela4[[#This Row],[Cenário]],SEARCH("(",Tabela4[[#This Row],[Cenário]])+1,SEARCH(")",Tabela4[[#This Row],[Cenário]])-SEARCH("(",Tabela4[[#This Row],[Cenário]])-1),"")&amp;"_"&amp;ROW()</f>
        <v>OUT-YRET_16</v>
      </c>
      <c r="B16" t="s">
        <v>358</v>
      </c>
      <c r="C16" t="s">
        <v>380</v>
      </c>
      <c r="D16" s="5" t="s">
        <v>360</v>
      </c>
      <c r="E16">
        <v>1</v>
      </c>
      <c r="F16" t="s">
        <v>360</v>
      </c>
      <c r="G16" t="s">
        <v>377</v>
      </c>
      <c r="H16" s="9">
        <v>60668326</v>
      </c>
      <c r="K16" s="9" t="s">
        <v>271</v>
      </c>
      <c r="L16" s="78">
        <v>45958</v>
      </c>
      <c r="N16" s="78">
        <v>45958</v>
      </c>
      <c r="O16" s="31"/>
      <c r="P16" s="9"/>
      <c r="Q16" s="9">
        <f>COUNTIF(Tabela4[[#All],[Cenário]],Tabela4[[#This Row],[Cenário]])</f>
        <v>6</v>
      </c>
      <c r="R16">
        <f>COUNTIFS(Tabela4[[#All],[Cenário]],Tabela4[[#This Row],[Cenário]],Tabela4[[#All],[Status]],"Keyuser - Concluído ")</f>
        <v>5</v>
      </c>
      <c r="S16" t="str">
        <f>IF(Tabela4[[#This Row],[Tarefas por Cenário]]-Tabela4[[#This Row],[Tarefas Concluídas]]&gt;0,"Não","Sim")</f>
        <v>Não</v>
      </c>
      <c r="T16">
        <f>COUNTIFS(Tabela4[[#All],[Cenário]],Tabela4[[#This Row],[Cenário]],Tabela4[[#All],[Status]],Tabela4[[#Headers],[Elo - Em correção ]])</f>
        <v>0</v>
      </c>
      <c r="U16">
        <f>COUNTIFS(Tabela4[[#All],[Cenário]],Tabela4[[#This Row],[Cenário]],Tabela4[[#All],[Status]],Tabela4[[#Headers],[Keyuser - Aguardando tarefa precedente]])</f>
        <v>0</v>
      </c>
      <c r="V16">
        <f>COUNTIFS(Tabela4[[#All],[Cenário]],Tabela4[[#This Row],[Cenário]],Tabela4[[#All],[Status]],Tabela4[[#Headers],[Não liberado  para testes]])</f>
        <v>1</v>
      </c>
      <c r="W16" t="str">
        <f>IF(Tabela4[[#This Row],[Elo - Em correção ]]&gt;0,"Sim","Não")</f>
        <v>Não</v>
      </c>
      <c r="X16" t="str">
        <f>IF(Tabela4[[#This Row],[Keyuser - Aguardando tarefa precedente]]&gt;0,"Sim","Não")</f>
        <v>Não</v>
      </c>
      <c r="Y16" t="str">
        <f>IF(Tabela4[[#This Row],[Não liberado  para testes]]&gt;0,"Sim","Não")</f>
        <v>Sim</v>
      </c>
      <c r="Z16" t="str">
        <f ca="1">IF(Tabela4[[#This Row],[Status]]="Keyuser - Pendente",NETWORKDAYS(Tabela4[[#This Row],[Dt Inicial]],TODAY()),"")</f>
        <v/>
      </c>
      <c r="AA16" t="b">
        <f>AND(Tabela4[[#This Row],[Status]]="Keyuser - Aguardando tarefa precedente",K15="Keyuser - Concluído ")</f>
        <v>0</v>
      </c>
    </row>
    <row r="17" spans="1:27" x14ac:dyDescent="0.25">
      <c r="A17" t="str">
        <f>"OUT-"&amp;IFERROR(MID(Tabela4[[#This Row],[Cenário]],SEARCH("(",Tabela4[[#This Row],[Cenário]])+1,SEARCH(")",Tabela4[[#This Row],[Cenário]])-SEARCH("(",Tabela4[[#This Row],[Cenário]])-1),"")&amp;"_"&amp;ROW()</f>
        <v>OUT-YRET_17</v>
      </c>
      <c r="B17" t="s">
        <v>358</v>
      </c>
      <c r="C17" t="s">
        <v>380</v>
      </c>
      <c r="D17" s="5" t="s">
        <v>365</v>
      </c>
      <c r="E17">
        <v>2</v>
      </c>
      <c r="F17" t="s">
        <v>365</v>
      </c>
      <c r="G17" t="s">
        <v>310</v>
      </c>
      <c r="H17" s="9">
        <v>60668326</v>
      </c>
      <c r="K17" s="9" t="s">
        <v>271</v>
      </c>
      <c r="L17" s="78">
        <v>45958</v>
      </c>
      <c r="N17" s="78">
        <v>45958</v>
      </c>
      <c r="O17" s="31"/>
      <c r="P17" s="9"/>
      <c r="Q17" s="9">
        <f>COUNTIF(Tabela4[[#All],[Cenário]],Tabela4[[#This Row],[Cenário]])</f>
        <v>6</v>
      </c>
      <c r="R17">
        <f>COUNTIFS(Tabela4[[#All],[Cenário]],Tabela4[[#This Row],[Cenário]],Tabela4[[#All],[Status]],"Keyuser - Concluído ")</f>
        <v>5</v>
      </c>
      <c r="S17" t="str">
        <f>IF(Tabela4[[#This Row],[Tarefas por Cenário]]-Tabela4[[#This Row],[Tarefas Concluídas]]&gt;0,"Não","Sim")</f>
        <v>Não</v>
      </c>
      <c r="T17">
        <f>COUNTIFS(Tabela4[[#All],[Cenário]],Tabela4[[#This Row],[Cenário]],Tabela4[[#All],[Status]],Tabela4[[#Headers],[Elo - Em correção ]])</f>
        <v>0</v>
      </c>
      <c r="U17">
        <f>COUNTIFS(Tabela4[[#All],[Cenário]],Tabela4[[#This Row],[Cenário]],Tabela4[[#All],[Status]],Tabela4[[#Headers],[Keyuser - Aguardando tarefa precedente]])</f>
        <v>0</v>
      </c>
      <c r="V17">
        <f>COUNTIFS(Tabela4[[#All],[Cenário]],Tabela4[[#This Row],[Cenário]],Tabela4[[#All],[Status]],Tabela4[[#Headers],[Não liberado  para testes]])</f>
        <v>1</v>
      </c>
      <c r="W17" t="str">
        <f>IF(Tabela4[[#This Row],[Elo - Em correção ]]&gt;0,"Sim","Não")</f>
        <v>Não</v>
      </c>
      <c r="X17" t="str">
        <f>IF(Tabela4[[#This Row],[Keyuser - Aguardando tarefa precedente]]&gt;0,"Sim","Não")</f>
        <v>Não</v>
      </c>
      <c r="Y17" t="str">
        <f>IF(Tabela4[[#This Row],[Não liberado  para testes]]&gt;0,"Sim","Não")</f>
        <v>Sim</v>
      </c>
      <c r="Z17" t="str">
        <f ca="1">IF(Tabela4[[#This Row],[Status]]="Keyuser - Pendente",NETWORKDAYS(Tabela4[[#This Row],[Dt Inicial]],TODAY()),"")</f>
        <v/>
      </c>
      <c r="AA17" t="b">
        <f>AND(Tabela4[[#This Row],[Status]]="Keyuser - Aguardando tarefa precedente",K16="Keyuser - Concluído ")</f>
        <v>0</v>
      </c>
    </row>
    <row r="18" spans="1:27" x14ac:dyDescent="0.25">
      <c r="A18" t="str">
        <f>"OUT-"&amp;IFERROR(MID(Tabela4[[#This Row],[Cenário]],SEARCH("(",Tabela4[[#This Row],[Cenário]])+1,SEARCH(")",Tabela4[[#This Row],[Cenário]])-SEARCH("(",Tabela4[[#This Row],[Cenário]])-1),"")&amp;"_"&amp;ROW()</f>
        <v>OUT-YRET_18</v>
      </c>
      <c r="B18" t="s">
        <v>358</v>
      </c>
      <c r="C18" t="s">
        <v>380</v>
      </c>
      <c r="D18" s="5" t="s">
        <v>368</v>
      </c>
      <c r="E18">
        <v>3</v>
      </c>
      <c r="F18" t="s">
        <v>368</v>
      </c>
      <c r="G18" t="s">
        <v>377</v>
      </c>
      <c r="H18" s="9" t="s">
        <v>381</v>
      </c>
      <c r="K18" s="9" t="s">
        <v>271</v>
      </c>
      <c r="L18" s="78">
        <v>45959</v>
      </c>
      <c r="N18" s="78">
        <v>45959</v>
      </c>
      <c r="O18" s="31" t="s">
        <v>382</v>
      </c>
      <c r="P18" s="9"/>
      <c r="Q18" s="9">
        <f>COUNTIF(Tabela4[[#All],[Cenário]],Tabela4[[#This Row],[Cenário]])</f>
        <v>6</v>
      </c>
      <c r="R18">
        <f>COUNTIFS(Tabela4[[#All],[Cenário]],Tabela4[[#This Row],[Cenário]],Tabela4[[#All],[Status]],"Keyuser - Concluído ")</f>
        <v>5</v>
      </c>
      <c r="S18" t="str">
        <f>IF(Tabela4[[#This Row],[Tarefas por Cenário]]-Tabela4[[#This Row],[Tarefas Concluídas]]&gt;0,"Não","Sim")</f>
        <v>Não</v>
      </c>
      <c r="T18">
        <f>COUNTIFS(Tabela4[[#All],[Cenário]],Tabela4[[#This Row],[Cenário]],Tabela4[[#All],[Status]],Tabela4[[#Headers],[Elo - Em correção ]])</f>
        <v>0</v>
      </c>
      <c r="U18">
        <f>COUNTIFS(Tabela4[[#All],[Cenário]],Tabela4[[#This Row],[Cenário]],Tabela4[[#All],[Status]],Tabela4[[#Headers],[Keyuser - Aguardando tarefa precedente]])</f>
        <v>0</v>
      </c>
      <c r="V18">
        <f>COUNTIFS(Tabela4[[#All],[Cenário]],Tabela4[[#This Row],[Cenário]],Tabela4[[#All],[Status]],Tabela4[[#Headers],[Não liberado  para testes]])</f>
        <v>1</v>
      </c>
      <c r="W18" t="str">
        <f>IF(Tabela4[[#This Row],[Elo - Em correção ]]&gt;0,"Sim","Não")</f>
        <v>Não</v>
      </c>
      <c r="X18" t="str">
        <f>IF(Tabela4[[#This Row],[Keyuser - Aguardando tarefa precedente]]&gt;0,"Sim","Não")</f>
        <v>Não</v>
      </c>
      <c r="Y18" t="str">
        <f>IF(Tabela4[[#This Row],[Não liberado  para testes]]&gt;0,"Sim","Não")</f>
        <v>Sim</v>
      </c>
      <c r="Z18" t="str">
        <f ca="1">IF(Tabela4[[#This Row],[Status]]="Keyuser - Pendente",NETWORKDAYS(Tabela4[[#This Row],[Dt Inicial]],TODAY()),"")</f>
        <v/>
      </c>
      <c r="AA18" t="b">
        <f>AND(Tabela4[[#This Row],[Status]]="Keyuser - Aguardando tarefa precedente",K17="Keyuser - Concluído ")</f>
        <v>0</v>
      </c>
    </row>
    <row r="19" spans="1:27" x14ac:dyDescent="0.25">
      <c r="A19" t="str">
        <f>"OUT-"&amp;IFERROR(MID(Tabela4[[#This Row],[Cenário]],SEARCH("(",Tabela4[[#This Row],[Cenário]])+1,SEARCH(")",Tabela4[[#This Row],[Cenário]])-SEARCH("(",Tabela4[[#This Row],[Cenário]])-1),"")&amp;"_"&amp;ROW()</f>
        <v>OUT-YRET_19</v>
      </c>
      <c r="B19" t="s">
        <v>358</v>
      </c>
      <c r="C19" t="s">
        <v>380</v>
      </c>
      <c r="D19" s="5" t="s">
        <v>371</v>
      </c>
      <c r="E19">
        <v>4</v>
      </c>
      <c r="F19" t="s">
        <v>372</v>
      </c>
      <c r="G19" t="s">
        <v>287</v>
      </c>
      <c r="H19" s="9" t="s">
        <v>381</v>
      </c>
      <c r="K19" s="9" t="s">
        <v>271</v>
      </c>
      <c r="L19" s="78">
        <v>45959</v>
      </c>
      <c r="N19" s="78">
        <v>45959</v>
      </c>
      <c r="O19" s="31"/>
      <c r="P19" s="9"/>
      <c r="Q19" s="9">
        <f>COUNTIF(Tabela4[[#All],[Cenário]],Tabela4[[#This Row],[Cenário]])</f>
        <v>6</v>
      </c>
      <c r="R19">
        <f>COUNTIFS(Tabela4[[#All],[Cenário]],Tabela4[[#This Row],[Cenário]],Tabela4[[#All],[Status]],"Keyuser - Concluído ")</f>
        <v>5</v>
      </c>
      <c r="S19" t="str">
        <f>IF(Tabela4[[#This Row],[Tarefas por Cenário]]-Tabela4[[#This Row],[Tarefas Concluídas]]&gt;0,"Não","Sim")</f>
        <v>Não</v>
      </c>
      <c r="T19">
        <f>COUNTIFS(Tabela4[[#All],[Cenário]],Tabela4[[#This Row],[Cenário]],Tabela4[[#All],[Status]],Tabela4[[#Headers],[Elo - Em correção ]])</f>
        <v>0</v>
      </c>
      <c r="U19">
        <f>COUNTIFS(Tabela4[[#All],[Cenário]],Tabela4[[#This Row],[Cenário]],Tabela4[[#All],[Status]],Tabela4[[#Headers],[Keyuser - Aguardando tarefa precedente]])</f>
        <v>0</v>
      </c>
      <c r="V19">
        <f>COUNTIFS(Tabela4[[#All],[Cenário]],Tabela4[[#This Row],[Cenário]],Tabela4[[#All],[Status]],Tabela4[[#Headers],[Não liberado  para testes]])</f>
        <v>1</v>
      </c>
      <c r="W19" t="str">
        <f>IF(Tabela4[[#This Row],[Elo - Em correção ]]&gt;0,"Sim","Não")</f>
        <v>Não</v>
      </c>
      <c r="X19" t="str">
        <f>IF(Tabela4[[#This Row],[Keyuser - Aguardando tarefa precedente]]&gt;0,"Sim","Não")</f>
        <v>Não</v>
      </c>
      <c r="Y19" t="str">
        <f>IF(Tabela4[[#This Row],[Não liberado  para testes]]&gt;0,"Sim","Não")</f>
        <v>Sim</v>
      </c>
      <c r="Z19" t="str">
        <f ca="1">IF(Tabela4[[#This Row],[Status]]="Keyuser - Pendente",NETWORKDAYS(Tabela4[[#This Row],[Dt Inicial]],TODAY()),"")</f>
        <v/>
      </c>
      <c r="AA19" t="b">
        <f>AND(Tabela4[[#This Row],[Status]]="Keyuser - Aguardando tarefa precedente",K18="Keyuser - Concluído ")</f>
        <v>0</v>
      </c>
    </row>
    <row r="20" spans="1:27" x14ac:dyDescent="0.25">
      <c r="A20" t="str">
        <f>"OUT-"&amp;IFERROR(MID(Tabela4[[#This Row],[Cenário]],SEARCH("(",Tabela4[[#This Row],[Cenário]])+1,SEARCH(")",Tabela4[[#This Row],[Cenário]])-SEARCH("(",Tabela4[[#This Row],[Cenário]])-1),"")&amp;"_"&amp;ROW()</f>
        <v>OUT-YRET_20</v>
      </c>
      <c r="B20" t="s">
        <v>358</v>
      </c>
      <c r="C20" t="s">
        <v>380</v>
      </c>
      <c r="D20" s="5" t="s">
        <v>373</v>
      </c>
      <c r="E20">
        <v>5</v>
      </c>
      <c r="F20" t="s">
        <v>373</v>
      </c>
      <c r="G20" t="s">
        <v>283</v>
      </c>
      <c r="H20" s="9" t="s">
        <v>381</v>
      </c>
      <c r="K20" s="9" t="s">
        <v>271</v>
      </c>
      <c r="L20" s="78">
        <v>45960</v>
      </c>
      <c r="N20" s="78">
        <v>45960</v>
      </c>
      <c r="O20" s="31"/>
      <c r="P20" s="9"/>
      <c r="Q20" s="9">
        <f>COUNTIF(Tabela4[[#All],[Cenário]],Tabela4[[#This Row],[Cenário]])</f>
        <v>6</v>
      </c>
      <c r="R20">
        <f>COUNTIFS(Tabela4[[#All],[Cenário]],Tabela4[[#This Row],[Cenário]],Tabela4[[#All],[Status]],"Keyuser - Concluído ")</f>
        <v>5</v>
      </c>
      <c r="S20" t="str">
        <f>IF(Tabela4[[#This Row],[Tarefas por Cenário]]-Tabela4[[#This Row],[Tarefas Concluídas]]&gt;0,"Não","Sim")</f>
        <v>Não</v>
      </c>
      <c r="T20">
        <f>COUNTIFS(Tabela4[[#All],[Cenário]],Tabela4[[#This Row],[Cenário]],Tabela4[[#All],[Status]],Tabela4[[#Headers],[Elo - Em correção ]])</f>
        <v>0</v>
      </c>
      <c r="U20">
        <f>COUNTIFS(Tabela4[[#All],[Cenário]],Tabela4[[#This Row],[Cenário]],Tabela4[[#All],[Status]],Tabela4[[#Headers],[Keyuser - Aguardando tarefa precedente]])</f>
        <v>0</v>
      </c>
      <c r="V20">
        <f>COUNTIFS(Tabela4[[#All],[Cenário]],Tabela4[[#This Row],[Cenário]],Tabela4[[#All],[Status]],Tabela4[[#Headers],[Não liberado  para testes]])</f>
        <v>1</v>
      </c>
      <c r="W20" t="str">
        <f>IF(Tabela4[[#This Row],[Elo - Em correção ]]&gt;0,"Sim","Não")</f>
        <v>Não</v>
      </c>
      <c r="X20" t="str">
        <f>IF(Tabela4[[#This Row],[Keyuser - Aguardando tarefa precedente]]&gt;0,"Sim","Não")</f>
        <v>Não</v>
      </c>
      <c r="Y20" t="str">
        <f>IF(Tabela4[[#This Row],[Não liberado  para testes]]&gt;0,"Sim","Não")</f>
        <v>Sim</v>
      </c>
      <c r="Z20" t="str">
        <f ca="1">IF(Tabela4[[#This Row],[Status]]="Keyuser - Pendente",NETWORKDAYS(Tabela4[[#This Row],[Dt Inicial]],TODAY()),"")</f>
        <v/>
      </c>
      <c r="AA20" t="b">
        <f>AND(Tabela4[[#This Row],[Status]]="Keyuser - Aguardando tarefa precedente",K19="Keyuser - Concluído ")</f>
        <v>0</v>
      </c>
    </row>
    <row r="21" spans="1:27" x14ac:dyDescent="0.25">
      <c r="A21" t="str">
        <f>"OUT-"&amp;IFERROR(MID(Tabela4[[#This Row],[Cenário]],SEARCH("(",Tabela4[[#This Row],[Cenário]])+1,SEARCH(")",Tabela4[[#This Row],[Cenário]])-SEARCH("(",Tabela4[[#This Row],[Cenário]])-1),"")&amp;"_"&amp;ROW()</f>
        <v>OUT-YRET_21</v>
      </c>
      <c r="B21" t="s">
        <v>374</v>
      </c>
      <c r="C21" t="s">
        <v>380</v>
      </c>
      <c r="D21" s="5" t="s">
        <v>286</v>
      </c>
      <c r="E21">
        <v>6</v>
      </c>
      <c r="F21" t="s">
        <v>286</v>
      </c>
      <c r="G21" t="s">
        <v>287</v>
      </c>
      <c r="K21" s="9" t="s">
        <v>262</v>
      </c>
      <c r="N21" s="78"/>
      <c r="O21" s="31"/>
      <c r="P21" s="9"/>
      <c r="Q21" s="9">
        <f>COUNTIF(Tabela4[[#All],[Cenário]],Tabela4[[#This Row],[Cenário]])</f>
        <v>6</v>
      </c>
      <c r="R21">
        <f>COUNTIFS(Tabela4[[#All],[Cenário]],Tabela4[[#This Row],[Cenário]],Tabela4[[#All],[Status]],"Keyuser - Concluído ")</f>
        <v>5</v>
      </c>
      <c r="S21" t="str">
        <f>IF(Tabela4[[#This Row],[Tarefas por Cenário]]-Tabela4[[#This Row],[Tarefas Concluídas]]&gt;0,"Não","Sim")</f>
        <v>Não</v>
      </c>
      <c r="T21">
        <f>COUNTIFS(Tabela4[[#All],[Cenário]],Tabela4[[#This Row],[Cenário]],Tabela4[[#All],[Status]],Tabela4[[#Headers],[Elo - Em correção ]])</f>
        <v>0</v>
      </c>
      <c r="U21">
        <f>COUNTIFS(Tabela4[[#All],[Cenário]],Tabela4[[#This Row],[Cenário]],Tabela4[[#All],[Status]],Tabela4[[#Headers],[Keyuser - Aguardando tarefa precedente]])</f>
        <v>0</v>
      </c>
      <c r="V21">
        <f>COUNTIFS(Tabela4[[#All],[Cenário]],Tabela4[[#This Row],[Cenário]],Tabela4[[#All],[Status]],Tabela4[[#Headers],[Não liberado  para testes]])</f>
        <v>1</v>
      </c>
      <c r="W21" t="str">
        <f>IF(Tabela4[[#This Row],[Elo - Em correção ]]&gt;0,"Sim","Não")</f>
        <v>Não</v>
      </c>
      <c r="X21" t="str">
        <f>IF(Tabela4[[#This Row],[Keyuser - Aguardando tarefa precedente]]&gt;0,"Sim","Não")</f>
        <v>Não</v>
      </c>
      <c r="Y21" t="str">
        <f>IF(Tabela4[[#This Row],[Não liberado  para testes]]&gt;0,"Sim","Não")</f>
        <v>Sim</v>
      </c>
      <c r="Z21" t="str">
        <f ca="1">IF(Tabela4[[#This Row],[Status]]="Keyuser - Pendente",NETWORKDAYS(Tabela4[[#This Row],[Dt Inicial]],TODAY()),"")</f>
        <v/>
      </c>
      <c r="AA21" t="b">
        <f>AND(Tabela4[[#This Row],[Status]]="Keyuser - Aguardando tarefa precedente",K20="Keyuser - Concluído ")</f>
        <v>0</v>
      </c>
    </row>
    <row r="22" spans="1:27" x14ac:dyDescent="0.25">
      <c r="A22" t="str">
        <f>"OUT-"&amp;IFERROR(MID(Tabela4[[#This Row],[Cenário]],SEARCH("(",Tabela4[[#This Row],[Cenário]])+1,SEARCH(")",Tabela4[[#This Row],[Cenário]])-SEARCH("(",Tabela4[[#This Row],[Cenário]])-1),"")&amp;"_"&amp;ROW()</f>
        <v>OUT-Y002_22</v>
      </c>
      <c r="B22" t="s">
        <v>358</v>
      </c>
      <c r="C22" t="s">
        <v>383</v>
      </c>
      <c r="D22" s="5" t="s">
        <v>360</v>
      </c>
      <c r="E22">
        <v>1</v>
      </c>
      <c r="F22" t="s">
        <v>360</v>
      </c>
      <c r="G22" t="s">
        <v>361</v>
      </c>
      <c r="H22" s="18">
        <v>15603629</v>
      </c>
      <c r="I22" s="9" t="s">
        <v>384</v>
      </c>
      <c r="J22" s="9" t="s">
        <v>364</v>
      </c>
      <c r="K22" s="9" t="s">
        <v>271</v>
      </c>
      <c r="L22" s="78">
        <v>45951</v>
      </c>
      <c r="N22" s="78">
        <v>45951</v>
      </c>
      <c r="O22" s="31"/>
      <c r="P22" s="9"/>
      <c r="Q22" s="9">
        <f>COUNTIF(Tabela4[[#All],[Cenário]],Tabela4[[#This Row],[Cenário]])</f>
        <v>8</v>
      </c>
      <c r="R22">
        <f>COUNTIFS(Tabela4[[#All],[Cenário]],Tabela4[[#This Row],[Cenário]],Tabela4[[#All],[Status]],"Keyuser - Concluído ")</f>
        <v>7</v>
      </c>
      <c r="S22" t="str">
        <f>IF(Tabela4[[#This Row],[Tarefas por Cenário]]-Tabela4[[#This Row],[Tarefas Concluídas]]&gt;0,"Não","Sim")</f>
        <v>Não</v>
      </c>
      <c r="T22">
        <f>COUNTIFS(Tabela4[[#All],[Cenário]],Tabela4[[#This Row],[Cenário]],Tabela4[[#All],[Status]],Tabela4[[#Headers],[Elo - Em correção ]])</f>
        <v>0</v>
      </c>
      <c r="U22">
        <f>COUNTIFS(Tabela4[[#All],[Cenário]],Tabela4[[#This Row],[Cenário]],Tabela4[[#All],[Status]],Tabela4[[#Headers],[Keyuser - Aguardando tarefa precedente]])</f>
        <v>0</v>
      </c>
      <c r="V22">
        <f>COUNTIFS(Tabela4[[#All],[Cenário]],Tabela4[[#This Row],[Cenário]],Tabela4[[#All],[Status]],Tabela4[[#Headers],[Não liberado  para testes]])</f>
        <v>1</v>
      </c>
      <c r="W22" t="str">
        <f>IF(Tabela4[[#This Row],[Elo - Em correção ]]&gt;0,"Sim","Não")</f>
        <v>Não</v>
      </c>
      <c r="X22" t="str">
        <f>IF(Tabela4[[#This Row],[Keyuser - Aguardando tarefa precedente]]&gt;0,"Sim","Não")</f>
        <v>Não</v>
      </c>
      <c r="Y22" t="str">
        <f>IF(Tabela4[[#This Row],[Não liberado  para testes]]&gt;0,"Sim","Não")</f>
        <v>Sim</v>
      </c>
      <c r="Z22" t="str">
        <f ca="1">IF(Tabela4[[#This Row],[Status]]="Keyuser - Pendente",NETWORKDAYS(Tabela4[[#This Row],[Dt Inicial]],TODAY()),"")</f>
        <v/>
      </c>
      <c r="AA22" t="b">
        <f>AND(Tabela4[[#This Row],[Status]]="Keyuser - Aguardando tarefa precedente",K21="Keyuser - Concluído ")</f>
        <v>0</v>
      </c>
    </row>
    <row r="23" spans="1:27" x14ac:dyDescent="0.25">
      <c r="A23" t="str">
        <f>"OUT-"&amp;IFERROR(MID(Tabela4[[#This Row],[Cenário]],SEARCH("(",Tabela4[[#This Row],[Cenário]])+1,SEARCH(")",Tabela4[[#This Row],[Cenário]])-SEARCH("(",Tabela4[[#This Row],[Cenário]])-1),"")&amp;"_"&amp;ROW()</f>
        <v>OUT-Y002_23</v>
      </c>
      <c r="B23" t="s">
        <v>358</v>
      </c>
      <c r="C23" t="s">
        <v>383</v>
      </c>
      <c r="D23" s="5" t="s">
        <v>365</v>
      </c>
      <c r="E23">
        <v>2</v>
      </c>
      <c r="F23" t="s">
        <v>365</v>
      </c>
      <c r="G23" t="s">
        <v>310</v>
      </c>
      <c r="H23" s="18">
        <v>15603629</v>
      </c>
      <c r="I23" s="9" t="s">
        <v>384</v>
      </c>
      <c r="J23" s="9" t="s">
        <v>364</v>
      </c>
      <c r="K23" s="9" t="s">
        <v>271</v>
      </c>
      <c r="L23" s="78">
        <v>45951</v>
      </c>
      <c r="N23" s="78">
        <v>45951</v>
      </c>
      <c r="O23" s="31"/>
      <c r="P23" s="9"/>
      <c r="Q23" s="9">
        <f>COUNTIF(Tabela4[[#All],[Cenário]],Tabela4[[#This Row],[Cenário]])</f>
        <v>8</v>
      </c>
      <c r="R23">
        <f>COUNTIFS(Tabela4[[#All],[Cenário]],Tabela4[[#This Row],[Cenário]],Tabela4[[#All],[Status]],"Keyuser - Concluído ")</f>
        <v>7</v>
      </c>
      <c r="S23" t="str">
        <f>IF(Tabela4[[#This Row],[Tarefas por Cenário]]-Tabela4[[#This Row],[Tarefas Concluídas]]&gt;0,"Não","Sim")</f>
        <v>Não</v>
      </c>
      <c r="T23">
        <f>COUNTIFS(Tabela4[[#All],[Cenário]],Tabela4[[#This Row],[Cenário]],Tabela4[[#All],[Status]],Tabela4[[#Headers],[Elo - Em correção ]])</f>
        <v>0</v>
      </c>
      <c r="U23">
        <f>COUNTIFS(Tabela4[[#All],[Cenário]],Tabela4[[#This Row],[Cenário]],Tabela4[[#All],[Status]],Tabela4[[#Headers],[Keyuser - Aguardando tarefa precedente]])</f>
        <v>0</v>
      </c>
      <c r="V23">
        <f>COUNTIFS(Tabela4[[#All],[Cenário]],Tabela4[[#This Row],[Cenário]],Tabela4[[#All],[Status]],Tabela4[[#Headers],[Não liberado  para testes]])</f>
        <v>1</v>
      </c>
      <c r="W23" t="str">
        <f>IF(Tabela4[[#This Row],[Elo - Em correção ]]&gt;0,"Sim","Não")</f>
        <v>Não</v>
      </c>
      <c r="X23" t="str">
        <f>IF(Tabela4[[#This Row],[Keyuser - Aguardando tarefa precedente]]&gt;0,"Sim","Não")</f>
        <v>Não</v>
      </c>
      <c r="Y23" t="str">
        <f>IF(Tabela4[[#This Row],[Não liberado  para testes]]&gt;0,"Sim","Não")</f>
        <v>Sim</v>
      </c>
      <c r="Z23" t="str">
        <f ca="1">IF(Tabela4[[#This Row],[Status]]="Keyuser - Pendente",NETWORKDAYS(Tabela4[[#This Row],[Dt Inicial]],TODAY()),"")</f>
        <v/>
      </c>
      <c r="AA23" t="b">
        <f>AND(Tabela4[[#This Row],[Status]]="Keyuser - Aguardando tarefa precedente",K22="Keyuser - Concluído ")</f>
        <v>0</v>
      </c>
    </row>
    <row r="24" spans="1:27" x14ac:dyDescent="0.25">
      <c r="A24" t="str">
        <f>"OUT-"&amp;IFERROR(MID(Tabela4[[#This Row],[Cenário]],SEARCH("(",Tabela4[[#This Row],[Cenário]])+1,SEARCH(")",Tabela4[[#This Row],[Cenário]])-SEARCH("(",Tabela4[[#This Row],[Cenário]])-1),"")&amp;"_"&amp;ROW()</f>
        <v>OUT-Y002_24</v>
      </c>
      <c r="B24" t="s">
        <v>358</v>
      </c>
      <c r="C24" t="s">
        <v>383</v>
      </c>
      <c r="D24" s="5" t="s">
        <v>366</v>
      </c>
      <c r="E24">
        <v>3</v>
      </c>
      <c r="F24" t="s">
        <v>366</v>
      </c>
      <c r="G24" t="s">
        <v>367</v>
      </c>
      <c r="H24" s="18">
        <v>15603629</v>
      </c>
      <c r="I24" s="9" t="s">
        <v>384</v>
      </c>
      <c r="J24" s="9" t="s">
        <v>364</v>
      </c>
      <c r="K24" s="9" t="s">
        <v>271</v>
      </c>
      <c r="L24" s="78">
        <v>45951</v>
      </c>
      <c r="N24" s="78">
        <v>45951</v>
      </c>
      <c r="O24" s="31"/>
      <c r="P24" s="9"/>
      <c r="Q24" s="9">
        <f>COUNTIF(Tabela4[[#All],[Cenário]],Tabela4[[#This Row],[Cenário]])</f>
        <v>8</v>
      </c>
      <c r="R24">
        <f>COUNTIFS(Tabela4[[#All],[Cenário]],Tabela4[[#This Row],[Cenário]],Tabela4[[#All],[Status]],"Keyuser - Concluído ")</f>
        <v>7</v>
      </c>
      <c r="S24" t="str">
        <f>IF(Tabela4[[#This Row],[Tarefas por Cenário]]-Tabela4[[#This Row],[Tarefas Concluídas]]&gt;0,"Não","Sim")</f>
        <v>Não</v>
      </c>
      <c r="T24">
        <f>COUNTIFS(Tabela4[[#All],[Cenário]],Tabela4[[#This Row],[Cenário]],Tabela4[[#All],[Status]],Tabela4[[#Headers],[Elo - Em correção ]])</f>
        <v>0</v>
      </c>
      <c r="U24">
        <f>COUNTIFS(Tabela4[[#All],[Cenário]],Tabela4[[#This Row],[Cenário]],Tabela4[[#All],[Status]],Tabela4[[#Headers],[Keyuser - Aguardando tarefa precedente]])</f>
        <v>0</v>
      </c>
      <c r="V24">
        <f>COUNTIFS(Tabela4[[#All],[Cenário]],Tabela4[[#This Row],[Cenário]],Tabela4[[#All],[Status]],Tabela4[[#Headers],[Não liberado  para testes]])</f>
        <v>1</v>
      </c>
      <c r="W24" t="str">
        <f>IF(Tabela4[[#This Row],[Elo - Em correção ]]&gt;0,"Sim","Não")</f>
        <v>Não</v>
      </c>
      <c r="X24" t="str">
        <f>IF(Tabela4[[#This Row],[Keyuser - Aguardando tarefa precedente]]&gt;0,"Sim","Não")</f>
        <v>Não</v>
      </c>
      <c r="Y24" t="str">
        <f>IF(Tabela4[[#This Row],[Não liberado  para testes]]&gt;0,"Sim","Não")</f>
        <v>Sim</v>
      </c>
      <c r="Z24" t="str">
        <f ca="1">IF(Tabela4[[#This Row],[Status]]="Keyuser - Pendente",NETWORKDAYS(Tabela4[[#This Row],[Dt Inicial]],TODAY()),"")</f>
        <v/>
      </c>
      <c r="AA24" t="b">
        <f>AND(Tabela4[[#This Row],[Status]]="Keyuser - Aguardando tarefa precedente",K23="Keyuser - Concluído ")</f>
        <v>0</v>
      </c>
    </row>
    <row r="25" spans="1:27" x14ac:dyDescent="0.25">
      <c r="A25" t="str">
        <f>"OUT-"&amp;IFERROR(MID(Tabela4[[#This Row],[Cenário]],SEARCH("(",Tabela4[[#This Row],[Cenário]])+1,SEARCH(")",Tabela4[[#This Row],[Cenário]])-SEARCH("(",Tabela4[[#This Row],[Cenário]])-1),"")&amp;"_"&amp;ROW()</f>
        <v>OUT-Y002_25</v>
      </c>
      <c r="B25" t="s">
        <v>358</v>
      </c>
      <c r="C25" t="s">
        <v>383</v>
      </c>
      <c r="D25" s="5" t="s">
        <v>368</v>
      </c>
      <c r="E25">
        <v>4</v>
      </c>
      <c r="F25" t="s">
        <v>368</v>
      </c>
      <c r="G25" t="s">
        <v>369</v>
      </c>
      <c r="H25" s="9" t="s">
        <v>385</v>
      </c>
      <c r="K25" s="9" t="s">
        <v>271</v>
      </c>
      <c r="L25" s="78">
        <v>45951</v>
      </c>
      <c r="N25" s="78">
        <v>45951</v>
      </c>
      <c r="O25" s="31"/>
      <c r="P25" s="9"/>
      <c r="Q25" s="9">
        <f>COUNTIF(Tabela4[[#All],[Cenário]],Tabela4[[#This Row],[Cenário]])</f>
        <v>8</v>
      </c>
      <c r="R25">
        <f>COUNTIFS(Tabela4[[#All],[Cenário]],Tabela4[[#This Row],[Cenário]],Tabela4[[#All],[Status]],"Keyuser - Concluído ")</f>
        <v>7</v>
      </c>
      <c r="S25" t="str">
        <f>IF(Tabela4[[#This Row],[Tarefas por Cenário]]-Tabela4[[#This Row],[Tarefas Concluídas]]&gt;0,"Não","Sim")</f>
        <v>Não</v>
      </c>
      <c r="T25">
        <f>COUNTIFS(Tabela4[[#All],[Cenário]],Tabela4[[#This Row],[Cenário]],Tabela4[[#All],[Status]],Tabela4[[#Headers],[Elo - Em correção ]])</f>
        <v>0</v>
      </c>
      <c r="U25">
        <f>COUNTIFS(Tabela4[[#All],[Cenário]],Tabela4[[#This Row],[Cenário]],Tabela4[[#All],[Status]],Tabela4[[#Headers],[Keyuser - Aguardando tarefa precedente]])</f>
        <v>0</v>
      </c>
      <c r="V25">
        <f>COUNTIFS(Tabela4[[#All],[Cenário]],Tabela4[[#This Row],[Cenário]],Tabela4[[#All],[Status]],Tabela4[[#Headers],[Não liberado  para testes]])</f>
        <v>1</v>
      </c>
      <c r="W25" t="str">
        <f>IF(Tabela4[[#This Row],[Elo - Em correção ]]&gt;0,"Sim","Não")</f>
        <v>Não</v>
      </c>
      <c r="X25" t="str">
        <f>IF(Tabela4[[#This Row],[Keyuser - Aguardando tarefa precedente]]&gt;0,"Sim","Não")</f>
        <v>Não</v>
      </c>
      <c r="Y25" t="str">
        <f>IF(Tabela4[[#This Row],[Não liberado  para testes]]&gt;0,"Sim","Não")</f>
        <v>Sim</v>
      </c>
      <c r="Z25" t="str">
        <f ca="1">IF(Tabela4[[#This Row],[Status]]="Keyuser - Pendente",NETWORKDAYS(Tabela4[[#This Row],[Dt Inicial]],TODAY()),"")</f>
        <v/>
      </c>
      <c r="AA25" t="b">
        <f>AND(Tabela4[[#This Row],[Status]]="Keyuser - Aguardando tarefa precedente",K24="Keyuser - Concluído ")</f>
        <v>0</v>
      </c>
    </row>
    <row r="26" spans="1:27" x14ac:dyDescent="0.25">
      <c r="A26" t="str">
        <f>"OUT-"&amp;IFERROR(MID(Tabela4[[#This Row],[Cenário]],SEARCH("(",Tabela4[[#This Row],[Cenário]])+1,SEARCH(")",Tabela4[[#This Row],[Cenário]])-SEARCH("(",Tabela4[[#This Row],[Cenário]])-1),"")&amp;"_"&amp;ROW()</f>
        <v>OUT-Y002_26</v>
      </c>
      <c r="B26" t="s">
        <v>358</v>
      </c>
      <c r="C26" t="s">
        <v>383</v>
      </c>
      <c r="D26" s="5" t="s">
        <v>371</v>
      </c>
      <c r="E26">
        <v>5</v>
      </c>
      <c r="F26" t="s">
        <v>372</v>
      </c>
      <c r="G26" t="s">
        <v>287</v>
      </c>
      <c r="H26" s="9" t="s">
        <v>385</v>
      </c>
      <c r="K26" s="9" t="s">
        <v>271</v>
      </c>
      <c r="L26" s="78">
        <v>45952</v>
      </c>
      <c r="N26" s="78">
        <v>45952</v>
      </c>
      <c r="O26" s="31"/>
      <c r="P26" s="9"/>
      <c r="Q26" s="9">
        <f>COUNTIF(Tabela4[[#All],[Cenário]],Tabela4[[#This Row],[Cenário]])</f>
        <v>8</v>
      </c>
      <c r="R26">
        <f>COUNTIFS(Tabela4[[#All],[Cenário]],Tabela4[[#This Row],[Cenário]],Tabela4[[#All],[Status]],"Keyuser - Concluído ")</f>
        <v>7</v>
      </c>
      <c r="S26" t="str">
        <f>IF(Tabela4[[#This Row],[Tarefas por Cenário]]-Tabela4[[#This Row],[Tarefas Concluídas]]&gt;0,"Não","Sim")</f>
        <v>Não</v>
      </c>
      <c r="T26">
        <f>COUNTIFS(Tabela4[[#All],[Cenário]],Tabela4[[#This Row],[Cenário]],Tabela4[[#All],[Status]],Tabela4[[#Headers],[Elo - Em correção ]])</f>
        <v>0</v>
      </c>
      <c r="U26">
        <f>COUNTIFS(Tabela4[[#All],[Cenário]],Tabela4[[#This Row],[Cenário]],Tabela4[[#All],[Status]],Tabela4[[#Headers],[Keyuser - Aguardando tarefa precedente]])</f>
        <v>0</v>
      </c>
      <c r="V26">
        <f>COUNTIFS(Tabela4[[#All],[Cenário]],Tabela4[[#This Row],[Cenário]],Tabela4[[#All],[Status]],Tabela4[[#Headers],[Não liberado  para testes]])</f>
        <v>1</v>
      </c>
      <c r="W26" t="str">
        <f>IF(Tabela4[[#This Row],[Elo - Em correção ]]&gt;0,"Sim","Não")</f>
        <v>Não</v>
      </c>
      <c r="X26" t="str">
        <f>IF(Tabela4[[#This Row],[Keyuser - Aguardando tarefa precedente]]&gt;0,"Sim","Não")</f>
        <v>Não</v>
      </c>
      <c r="Y26" t="str">
        <f>IF(Tabela4[[#This Row],[Não liberado  para testes]]&gt;0,"Sim","Não")</f>
        <v>Sim</v>
      </c>
      <c r="Z26" t="str">
        <f ca="1">IF(Tabela4[[#This Row],[Status]]="Keyuser - Pendente",NETWORKDAYS(Tabela4[[#This Row],[Dt Inicial]],TODAY()),"")</f>
        <v/>
      </c>
      <c r="AA26" t="b">
        <f>AND(Tabela4[[#This Row],[Status]]="Keyuser - Aguardando tarefa precedente",K25="Keyuser - Concluído ")</f>
        <v>0</v>
      </c>
    </row>
    <row r="27" spans="1:27" x14ac:dyDescent="0.25">
      <c r="A27" t="str">
        <f>"OUT-"&amp;IFERROR(MID(Tabela4[[#This Row],[Cenário]],SEARCH("(",Tabela4[[#This Row],[Cenário]])+1,SEARCH(")",Tabela4[[#This Row],[Cenário]])-SEARCH("(",Tabela4[[#This Row],[Cenário]])-1),"")&amp;"_"&amp;ROW()</f>
        <v>OUT-Y002_27</v>
      </c>
      <c r="B27" t="s">
        <v>358</v>
      </c>
      <c r="C27" t="s">
        <v>383</v>
      </c>
      <c r="D27" s="5" t="s">
        <v>373</v>
      </c>
      <c r="E27">
        <v>6</v>
      </c>
      <c r="F27" t="s">
        <v>373</v>
      </c>
      <c r="G27" t="s">
        <v>283</v>
      </c>
      <c r="H27" s="9" t="s">
        <v>386</v>
      </c>
      <c r="K27" s="9" t="s">
        <v>271</v>
      </c>
      <c r="L27" s="78">
        <v>45952</v>
      </c>
      <c r="N27" s="78">
        <v>45952</v>
      </c>
      <c r="O27" s="31"/>
      <c r="P27" s="9"/>
      <c r="Q27" s="9">
        <f>COUNTIF(Tabela4[[#All],[Cenário]],Tabela4[[#This Row],[Cenário]])</f>
        <v>8</v>
      </c>
      <c r="R27">
        <f>COUNTIFS(Tabela4[[#All],[Cenário]],Tabela4[[#This Row],[Cenário]],Tabela4[[#All],[Status]],"Keyuser - Concluído ")</f>
        <v>7</v>
      </c>
      <c r="S27" t="str">
        <f>IF(Tabela4[[#This Row],[Tarefas por Cenário]]-Tabela4[[#This Row],[Tarefas Concluídas]]&gt;0,"Não","Sim")</f>
        <v>Não</v>
      </c>
      <c r="T27">
        <f>COUNTIFS(Tabela4[[#All],[Cenário]],Tabela4[[#This Row],[Cenário]],Tabela4[[#All],[Status]],Tabela4[[#Headers],[Elo - Em correção ]])</f>
        <v>0</v>
      </c>
      <c r="U27">
        <f>COUNTIFS(Tabela4[[#All],[Cenário]],Tabela4[[#This Row],[Cenário]],Tabela4[[#All],[Status]],Tabela4[[#Headers],[Keyuser - Aguardando tarefa precedente]])</f>
        <v>0</v>
      </c>
      <c r="V27">
        <f>COUNTIFS(Tabela4[[#All],[Cenário]],Tabela4[[#This Row],[Cenário]],Tabela4[[#All],[Status]],Tabela4[[#Headers],[Não liberado  para testes]])</f>
        <v>1</v>
      </c>
      <c r="W27" t="str">
        <f>IF(Tabela4[[#This Row],[Elo - Em correção ]]&gt;0,"Sim","Não")</f>
        <v>Não</v>
      </c>
      <c r="X27" t="str">
        <f>IF(Tabela4[[#This Row],[Keyuser - Aguardando tarefa precedente]]&gt;0,"Sim","Não")</f>
        <v>Não</v>
      </c>
      <c r="Y27" t="str">
        <f>IF(Tabela4[[#This Row],[Não liberado  para testes]]&gt;0,"Sim","Não")</f>
        <v>Sim</v>
      </c>
      <c r="Z27" t="str">
        <f ca="1">IF(Tabela4[[#This Row],[Status]]="Keyuser - Pendente",NETWORKDAYS(Tabela4[[#This Row],[Dt Inicial]],TODAY()),"")</f>
        <v/>
      </c>
      <c r="AA27" t="b">
        <f>AND(Tabela4[[#This Row],[Status]]="Keyuser - Aguardando tarefa precedente",K26="Keyuser - Concluído ")</f>
        <v>0</v>
      </c>
    </row>
    <row r="28" spans="1:27" x14ac:dyDescent="0.25">
      <c r="A28" t="str">
        <f>"OUT-"&amp;IFERROR(MID(Tabela4[[#This Row],[Cenário]],SEARCH("(",Tabela4[[#This Row],[Cenário]])+1,SEARCH(")",Tabela4[[#This Row],[Cenário]])-SEARCH("(",Tabela4[[#This Row],[Cenário]])-1),"")&amp;"_"&amp;ROW()</f>
        <v>OUT-Y002_28</v>
      </c>
      <c r="B28" t="s">
        <v>374</v>
      </c>
      <c r="C28" t="s">
        <v>383</v>
      </c>
      <c r="D28" s="5" t="s">
        <v>286</v>
      </c>
      <c r="E28">
        <v>7</v>
      </c>
      <c r="F28" t="s">
        <v>286</v>
      </c>
      <c r="G28" t="s">
        <v>287</v>
      </c>
      <c r="K28" s="9" t="s">
        <v>262</v>
      </c>
      <c r="N28" s="78"/>
      <c r="O28" s="31"/>
      <c r="P28" s="9"/>
      <c r="Q28" s="9">
        <f>COUNTIF(Tabela4[[#All],[Cenário]],Tabela4[[#This Row],[Cenário]])</f>
        <v>8</v>
      </c>
      <c r="R28">
        <f>COUNTIFS(Tabela4[[#All],[Cenário]],Tabela4[[#This Row],[Cenário]],Tabela4[[#All],[Status]],"Keyuser - Concluído ")</f>
        <v>7</v>
      </c>
      <c r="S28" t="str">
        <f>IF(Tabela4[[#This Row],[Tarefas por Cenário]]-Tabela4[[#This Row],[Tarefas Concluídas]]&gt;0,"Não","Sim")</f>
        <v>Não</v>
      </c>
      <c r="T28">
        <f>COUNTIFS(Tabela4[[#All],[Cenário]],Tabela4[[#This Row],[Cenário]],Tabela4[[#All],[Status]],Tabela4[[#Headers],[Elo - Em correção ]])</f>
        <v>0</v>
      </c>
      <c r="U28">
        <f>COUNTIFS(Tabela4[[#All],[Cenário]],Tabela4[[#This Row],[Cenário]],Tabela4[[#All],[Status]],Tabela4[[#Headers],[Keyuser - Aguardando tarefa precedente]])</f>
        <v>0</v>
      </c>
      <c r="V28">
        <f>COUNTIFS(Tabela4[[#All],[Cenário]],Tabela4[[#This Row],[Cenário]],Tabela4[[#All],[Status]],Tabela4[[#Headers],[Não liberado  para testes]])</f>
        <v>1</v>
      </c>
      <c r="W28" t="str">
        <f>IF(Tabela4[[#This Row],[Elo - Em correção ]]&gt;0,"Sim","Não")</f>
        <v>Não</v>
      </c>
      <c r="X28" t="str">
        <f>IF(Tabela4[[#This Row],[Keyuser - Aguardando tarefa precedente]]&gt;0,"Sim","Não")</f>
        <v>Não</v>
      </c>
      <c r="Y28" t="str">
        <f>IF(Tabela4[[#This Row],[Não liberado  para testes]]&gt;0,"Sim","Não")</f>
        <v>Sim</v>
      </c>
      <c r="Z28" t="str">
        <f ca="1">IF(Tabela4[[#This Row],[Status]]="Keyuser - Pendente",NETWORKDAYS(Tabela4[[#This Row],[Dt Inicial]],TODAY()),"")</f>
        <v/>
      </c>
      <c r="AA28" t="b">
        <f>AND(Tabela4[[#This Row],[Status]]="Keyuser - Aguardando tarefa precedente",K27="Keyuser - Concluído ")</f>
        <v>0</v>
      </c>
    </row>
    <row r="29" spans="1:27" x14ac:dyDescent="0.25">
      <c r="A29" t="str">
        <f>"OUT-"&amp;IFERROR(MID(Tabela4[[#This Row],[Cenário]],SEARCH("(",Tabela4[[#This Row],[Cenário]])+1,SEARCH(")",Tabela4[[#This Row],[Cenário]])-SEARCH("(",Tabela4[[#This Row],[Cenário]])-1),"")&amp;"_"&amp;ROW()</f>
        <v>OUT-Y002_29</v>
      </c>
      <c r="B29" t="s">
        <v>358</v>
      </c>
      <c r="C29" t="s">
        <v>383</v>
      </c>
      <c r="D29" s="5" t="s">
        <v>375</v>
      </c>
      <c r="E29">
        <v>8</v>
      </c>
      <c r="F29" t="s">
        <v>375</v>
      </c>
      <c r="G29" t="s">
        <v>367</v>
      </c>
      <c r="H29" s="18">
        <v>15603629</v>
      </c>
      <c r="I29" s="9" t="s">
        <v>384</v>
      </c>
      <c r="J29" s="9" t="s">
        <v>364</v>
      </c>
      <c r="K29" s="9" t="s">
        <v>271</v>
      </c>
      <c r="L29" s="78">
        <v>45952</v>
      </c>
      <c r="N29" s="78">
        <v>45952</v>
      </c>
      <c r="O29" s="31"/>
      <c r="P29" s="9"/>
      <c r="Q29" s="9">
        <f>COUNTIF(Tabela4[[#All],[Cenário]],Tabela4[[#This Row],[Cenário]])</f>
        <v>8</v>
      </c>
      <c r="R29">
        <f>COUNTIFS(Tabela4[[#All],[Cenário]],Tabela4[[#This Row],[Cenário]],Tabela4[[#All],[Status]],"Keyuser - Concluído ")</f>
        <v>7</v>
      </c>
      <c r="S29" t="str">
        <f>IF(Tabela4[[#This Row],[Tarefas por Cenário]]-Tabela4[[#This Row],[Tarefas Concluídas]]&gt;0,"Não","Sim")</f>
        <v>Não</v>
      </c>
      <c r="T29">
        <f>COUNTIFS(Tabela4[[#All],[Cenário]],Tabela4[[#This Row],[Cenário]],Tabela4[[#All],[Status]],Tabela4[[#Headers],[Elo - Em correção ]])</f>
        <v>0</v>
      </c>
      <c r="U29">
        <f>COUNTIFS(Tabela4[[#All],[Cenário]],Tabela4[[#This Row],[Cenário]],Tabela4[[#All],[Status]],Tabela4[[#Headers],[Keyuser - Aguardando tarefa precedente]])</f>
        <v>0</v>
      </c>
      <c r="V29">
        <f>COUNTIFS(Tabela4[[#All],[Cenário]],Tabela4[[#This Row],[Cenário]],Tabela4[[#All],[Status]],Tabela4[[#Headers],[Não liberado  para testes]])</f>
        <v>1</v>
      </c>
      <c r="W29" t="str">
        <f>IF(Tabela4[[#This Row],[Elo - Em correção ]]&gt;0,"Sim","Não")</f>
        <v>Não</v>
      </c>
      <c r="X29" t="str">
        <f>IF(Tabela4[[#This Row],[Keyuser - Aguardando tarefa precedente]]&gt;0,"Sim","Não")</f>
        <v>Não</v>
      </c>
      <c r="Y29" t="str">
        <f>IF(Tabela4[[#This Row],[Não liberado  para testes]]&gt;0,"Sim","Não")</f>
        <v>Sim</v>
      </c>
      <c r="Z29" t="str">
        <f ca="1">IF(Tabela4[[#This Row],[Status]]="Keyuser - Pendente",NETWORKDAYS(Tabela4[[#This Row],[Dt Inicial]],TODAY()),"")</f>
        <v/>
      </c>
      <c r="AA29" t="b">
        <f>AND(Tabela4[[#This Row],[Status]]="Keyuser - Aguardando tarefa precedente",K28="Keyuser - Concluído ")</f>
        <v>0</v>
      </c>
    </row>
    <row r="30" spans="1:27" x14ac:dyDescent="0.25">
      <c r="A30" t="str">
        <f>"OUT-"&amp;IFERROR(MID(Tabela4[[#This Row],[Cenário]],SEARCH("(",Tabela4[[#This Row],[Cenário]])+1,SEARCH(")",Tabela4[[#This Row],[Cenário]])-SEARCH("(",Tabela4[[#This Row],[Cenário]])-1),"")&amp;"_"&amp;ROW()</f>
        <v>OUT-YDEV_30</v>
      </c>
      <c r="B30" t="s">
        <v>358</v>
      </c>
      <c r="C30" t="s">
        <v>387</v>
      </c>
      <c r="D30" s="5" t="s">
        <v>360</v>
      </c>
      <c r="E30">
        <v>1</v>
      </c>
      <c r="F30" t="s">
        <v>360</v>
      </c>
      <c r="G30" t="s">
        <v>377</v>
      </c>
      <c r="H30" s="9">
        <v>60668330</v>
      </c>
      <c r="K30" s="9" t="s">
        <v>271</v>
      </c>
      <c r="L30" s="78">
        <v>45958</v>
      </c>
      <c r="N30" s="78">
        <v>45958</v>
      </c>
      <c r="O30" s="31"/>
      <c r="P30" s="9"/>
      <c r="Q30" s="9">
        <f>COUNTIF(Tabela4[[#All],[Cenário]],Tabela4[[#This Row],[Cenário]])</f>
        <v>6</v>
      </c>
      <c r="R30">
        <f>COUNTIFS(Tabela4[[#All],[Cenário]],Tabela4[[#This Row],[Cenário]],Tabela4[[#All],[Status]],"Keyuser - Concluído ")</f>
        <v>5</v>
      </c>
      <c r="S30" t="str">
        <f>IF(Tabela4[[#This Row],[Tarefas por Cenário]]-Tabela4[[#This Row],[Tarefas Concluídas]]&gt;0,"Não","Sim")</f>
        <v>Não</v>
      </c>
      <c r="T30">
        <f>COUNTIFS(Tabela4[[#All],[Cenário]],Tabela4[[#This Row],[Cenário]],Tabela4[[#All],[Status]],Tabela4[[#Headers],[Elo - Em correção ]])</f>
        <v>0</v>
      </c>
      <c r="U30">
        <f>COUNTIFS(Tabela4[[#All],[Cenário]],Tabela4[[#This Row],[Cenário]],Tabela4[[#All],[Status]],Tabela4[[#Headers],[Keyuser - Aguardando tarefa precedente]])</f>
        <v>0</v>
      </c>
      <c r="V30">
        <f>COUNTIFS(Tabela4[[#All],[Cenário]],Tabela4[[#This Row],[Cenário]],Tabela4[[#All],[Status]],Tabela4[[#Headers],[Não liberado  para testes]])</f>
        <v>1</v>
      </c>
      <c r="W30" t="str">
        <f>IF(Tabela4[[#This Row],[Elo - Em correção ]]&gt;0,"Sim","Não")</f>
        <v>Não</v>
      </c>
      <c r="X30" t="str">
        <f>IF(Tabela4[[#This Row],[Keyuser - Aguardando tarefa precedente]]&gt;0,"Sim","Não")</f>
        <v>Não</v>
      </c>
      <c r="Y30" t="str">
        <f>IF(Tabela4[[#This Row],[Não liberado  para testes]]&gt;0,"Sim","Não")</f>
        <v>Sim</v>
      </c>
      <c r="Z30" t="str">
        <f ca="1">IF(Tabela4[[#This Row],[Status]]="Keyuser - Pendente",NETWORKDAYS(Tabela4[[#This Row],[Dt Inicial]],TODAY()),"")</f>
        <v/>
      </c>
      <c r="AA30" t="b">
        <f>AND(Tabela4[[#This Row],[Status]]="Keyuser - Aguardando tarefa precedente",K29="Keyuser - Concluído ")</f>
        <v>0</v>
      </c>
    </row>
    <row r="31" spans="1:27" x14ac:dyDescent="0.25">
      <c r="A31" t="str">
        <f>"OUT-"&amp;IFERROR(MID(Tabela4[[#This Row],[Cenário]],SEARCH("(",Tabela4[[#This Row],[Cenário]])+1,SEARCH(")",Tabela4[[#This Row],[Cenário]])-SEARCH("(",Tabela4[[#This Row],[Cenário]])-1),"")&amp;"_"&amp;ROW()</f>
        <v>OUT-YDEV_31</v>
      </c>
      <c r="B31" t="s">
        <v>358</v>
      </c>
      <c r="C31" t="s">
        <v>387</v>
      </c>
      <c r="D31" s="5" t="s">
        <v>365</v>
      </c>
      <c r="E31">
        <v>2</v>
      </c>
      <c r="F31" t="s">
        <v>365</v>
      </c>
      <c r="G31" t="s">
        <v>310</v>
      </c>
      <c r="H31" s="9">
        <v>60668330</v>
      </c>
      <c r="K31" s="9" t="s">
        <v>271</v>
      </c>
      <c r="L31" s="78">
        <v>45958</v>
      </c>
      <c r="N31" s="78">
        <v>45958</v>
      </c>
      <c r="O31" s="31"/>
      <c r="P31" s="9"/>
      <c r="Q31" s="9">
        <f>COUNTIF(Tabela4[[#All],[Cenário]],Tabela4[[#This Row],[Cenário]])</f>
        <v>6</v>
      </c>
      <c r="R31">
        <f>COUNTIFS(Tabela4[[#All],[Cenário]],Tabela4[[#This Row],[Cenário]],Tabela4[[#All],[Status]],"Keyuser - Concluído ")</f>
        <v>5</v>
      </c>
      <c r="S31" t="str">
        <f>IF(Tabela4[[#This Row],[Tarefas por Cenário]]-Tabela4[[#This Row],[Tarefas Concluídas]]&gt;0,"Não","Sim")</f>
        <v>Não</v>
      </c>
      <c r="T31">
        <f>COUNTIFS(Tabela4[[#All],[Cenário]],Tabela4[[#This Row],[Cenário]],Tabela4[[#All],[Status]],Tabela4[[#Headers],[Elo - Em correção ]])</f>
        <v>0</v>
      </c>
      <c r="U31">
        <f>COUNTIFS(Tabela4[[#All],[Cenário]],Tabela4[[#This Row],[Cenário]],Tabela4[[#All],[Status]],Tabela4[[#Headers],[Keyuser - Aguardando tarefa precedente]])</f>
        <v>0</v>
      </c>
      <c r="V31">
        <f>COUNTIFS(Tabela4[[#All],[Cenário]],Tabela4[[#This Row],[Cenário]],Tabela4[[#All],[Status]],Tabela4[[#Headers],[Não liberado  para testes]])</f>
        <v>1</v>
      </c>
      <c r="W31" t="str">
        <f>IF(Tabela4[[#This Row],[Elo - Em correção ]]&gt;0,"Sim","Não")</f>
        <v>Não</v>
      </c>
      <c r="X31" t="str">
        <f>IF(Tabela4[[#This Row],[Keyuser - Aguardando tarefa precedente]]&gt;0,"Sim","Não")</f>
        <v>Não</v>
      </c>
      <c r="Y31" t="str">
        <f>IF(Tabela4[[#This Row],[Não liberado  para testes]]&gt;0,"Sim","Não")</f>
        <v>Sim</v>
      </c>
      <c r="Z31" t="str">
        <f ca="1">IF(Tabela4[[#This Row],[Status]]="Keyuser - Pendente",NETWORKDAYS(Tabela4[[#This Row],[Dt Inicial]],TODAY()),"")</f>
        <v/>
      </c>
      <c r="AA31" t="b">
        <f>AND(Tabela4[[#This Row],[Status]]="Keyuser - Aguardando tarefa precedente",K30="Keyuser - Concluído ")</f>
        <v>0</v>
      </c>
    </row>
    <row r="32" spans="1:27" x14ac:dyDescent="0.25">
      <c r="A32" t="str">
        <f>"OUT-"&amp;IFERROR(MID(Tabela4[[#This Row],[Cenário]],SEARCH("(",Tabela4[[#This Row],[Cenário]])+1,SEARCH(")",Tabela4[[#This Row],[Cenário]])-SEARCH("(",Tabela4[[#This Row],[Cenário]])-1),"")&amp;"_"&amp;ROW()</f>
        <v>OUT-YDEV_32</v>
      </c>
      <c r="B32" t="s">
        <v>358</v>
      </c>
      <c r="C32" t="s">
        <v>387</v>
      </c>
      <c r="D32" s="5" t="s">
        <v>368</v>
      </c>
      <c r="E32">
        <v>3</v>
      </c>
      <c r="F32" t="s">
        <v>368</v>
      </c>
      <c r="G32" t="s">
        <v>377</v>
      </c>
      <c r="H32" s="9" t="s">
        <v>388</v>
      </c>
      <c r="K32" s="9" t="s">
        <v>271</v>
      </c>
      <c r="L32" s="78">
        <v>45959</v>
      </c>
      <c r="N32" s="78">
        <v>45959</v>
      </c>
      <c r="O32" s="31" t="s">
        <v>389</v>
      </c>
      <c r="P32" s="9"/>
      <c r="Q32" s="9">
        <f>COUNTIF(Tabela4[[#All],[Cenário]],Tabela4[[#This Row],[Cenário]])</f>
        <v>6</v>
      </c>
      <c r="R32">
        <f>COUNTIFS(Tabela4[[#All],[Cenário]],Tabela4[[#This Row],[Cenário]],Tabela4[[#All],[Status]],"Keyuser - Concluído ")</f>
        <v>5</v>
      </c>
      <c r="S32" t="str">
        <f>IF(Tabela4[[#This Row],[Tarefas por Cenário]]-Tabela4[[#This Row],[Tarefas Concluídas]]&gt;0,"Não","Sim")</f>
        <v>Não</v>
      </c>
      <c r="T32">
        <f>COUNTIFS(Tabela4[[#All],[Cenário]],Tabela4[[#This Row],[Cenário]],Tabela4[[#All],[Status]],Tabela4[[#Headers],[Elo - Em correção ]])</f>
        <v>0</v>
      </c>
      <c r="U32">
        <f>COUNTIFS(Tabela4[[#All],[Cenário]],Tabela4[[#This Row],[Cenário]],Tabela4[[#All],[Status]],Tabela4[[#Headers],[Keyuser - Aguardando tarefa precedente]])</f>
        <v>0</v>
      </c>
      <c r="V32">
        <f>COUNTIFS(Tabela4[[#All],[Cenário]],Tabela4[[#This Row],[Cenário]],Tabela4[[#All],[Status]],Tabela4[[#Headers],[Não liberado  para testes]])</f>
        <v>1</v>
      </c>
      <c r="W32" t="str">
        <f>IF(Tabela4[[#This Row],[Elo - Em correção ]]&gt;0,"Sim","Não")</f>
        <v>Não</v>
      </c>
      <c r="X32" t="str">
        <f>IF(Tabela4[[#This Row],[Keyuser - Aguardando tarefa precedente]]&gt;0,"Sim","Não")</f>
        <v>Não</v>
      </c>
      <c r="Y32" t="str">
        <f>IF(Tabela4[[#This Row],[Não liberado  para testes]]&gt;0,"Sim","Não")</f>
        <v>Sim</v>
      </c>
      <c r="Z32" t="str">
        <f ca="1">IF(Tabela4[[#This Row],[Status]]="Keyuser - Pendente",NETWORKDAYS(Tabela4[[#This Row],[Dt Inicial]],TODAY()),"")</f>
        <v/>
      </c>
      <c r="AA32" t="b">
        <f>AND(Tabela4[[#This Row],[Status]]="Keyuser - Aguardando tarefa precedente",K31="Keyuser - Concluído ")</f>
        <v>0</v>
      </c>
    </row>
    <row r="33" spans="1:27" x14ac:dyDescent="0.25">
      <c r="A33" t="str">
        <f>"OUT-"&amp;IFERROR(MID(Tabela4[[#This Row],[Cenário]],SEARCH("(",Tabela4[[#This Row],[Cenário]])+1,SEARCH(")",Tabela4[[#This Row],[Cenário]])-SEARCH("(",Tabela4[[#This Row],[Cenário]])-1),"")&amp;"_"&amp;ROW()</f>
        <v>OUT-YDEV_33</v>
      </c>
      <c r="B33" t="s">
        <v>358</v>
      </c>
      <c r="C33" t="s">
        <v>387</v>
      </c>
      <c r="D33" s="5" t="s">
        <v>371</v>
      </c>
      <c r="E33">
        <v>4</v>
      </c>
      <c r="F33" t="s">
        <v>372</v>
      </c>
      <c r="G33" t="s">
        <v>287</v>
      </c>
      <c r="H33" s="9" t="s">
        <v>388</v>
      </c>
      <c r="K33" s="9" t="s">
        <v>271</v>
      </c>
      <c r="L33" s="78">
        <v>45959</v>
      </c>
      <c r="N33" s="78">
        <v>45959</v>
      </c>
      <c r="O33" s="31"/>
      <c r="P33" s="9"/>
      <c r="Q33" s="9">
        <f>COUNTIF(Tabela4[[#All],[Cenário]],Tabela4[[#This Row],[Cenário]])</f>
        <v>6</v>
      </c>
      <c r="R33">
        <f>COUNTIFS(Tabela4[[#All],[Cenário]],Tabela4[[#This Row],[Cenário]],Tabela4[[#All],[Status]],"Keyuser - Concluído ")</f>
        <v>5</v>
      </c>
      <c r="S33" t="str">
        <f>IF(Tabela4[[#This Row],[Tarefas por Cenário]]-Tabela4[[#This Row],[Tarefas Concluídas]]&gt;0,"Não","Sim")</f>
        <v>Não</v>
      </c>
      <c r="T33">
        <f>COUNTIFS(Tabela4[[#All],[Cenário]],Tabela4[[#This Row],[Cenário]],Tabela4[[#All],[Status]],Tabela4[[#Headers],[Elo - Em correção ]])</f>
        <v>0</v>
      </c>
      <c r="U33">
        <f>COUNTIFS(Tabela4[[#All],[Cenário]],Tabela4[[#This Row],[Cenário]],Tabela4[[#All],[Status]],Tabela4[[#Headers],[Keyuser - Aguardando tarefa precedente]])</f>
        <v>0</v>
      </c>
      <c r="V33">
        <f>COUNTIFS(Tabela4[[#All],[Cenário]],Tabela4[[#This Row],[Cenário]],Tabela4[[#All],[Status]],Tabela4[[#Headers],[Não liberado  para testes]])</f>
        <v>1</v>
      </c>
      <c r="W33" t="str">
        <f>IF(Tabela4[[#This Row],[Elo - Em correção ]]&gt;0,"Sim","Não")</f>
        <v>Não</v>
      </c>
      <c r="X33" t="str">
        <f>IF(Tabela4[[#This Row],[Keyuser - Aguardando tarefa precedente]]&gt;0,"Sim","Não")</f>
        <v>Não</v>
      </c>
      <c r="Y33" t="str">
        <f>IF(Tabela4[[#This Row],[Não liberado  para testes]]&gt;0,"Sim","Não")</f>
        <v>Sim</v>
      </c>
      <c r="Z33" t="str">
        <f ca="1">IF(Tabela4[[#This Row],[Status]]="Keyuser - Pendente",NETWORKDAYS(Tabela4[[#This Row],[Dt Inicial]],TODAY()),"")</f>
        <v/>
      </c>
      <c r="AA33" t="b">
        <f>AND(Tabela4[[#This Row],[Status]]="Keyuser - Aguardando tarefa precedente",K32="Keyuser - Concluído ")</f>
        <v>0</v>
      </c>
    </row>
    <row r="34" spans="1:27" x14ac:dyDescent="0.25">
      <c r="A34" t="str">
        <f>"OUT-"&amp;IFERROR(MID(Tabela4[[#This Row],[Cenário]],SEARCH("(",Tabela4[[#This Row],[Cenário]])+1,SEARCH(")",Tabela4[[#This Row],[Cenário]])-SEARCH("(",Tabela4[[#This Row],[Cenário]])-1),"")&amp;"_"&amp;ROW()</f>
        <v>OUT-YDEV_34</v>
      </c>
      <c r="B34" t="s">
        <v>358</v>
      </c>
      <c r="C34" t="s">
        <v>387</v>
      </c>
      <c r="D34" s="5" t="s">
        <v>373</v>
      </c>
      <c r="E34">
        <v>5</v>
      </c>
      <c r="F34" t="s">
        <v>373</v>
      </c>
      <c r="G34" t="s">
        <v>283</v>
      </c>
      <c r="H34" s="9" t="s">
        <v>388</v>
      </c>
      <c r="K34" s="9" t="s">
        <v>271</v>
      </c>
      <c r="L34" s="78">
        <v>45960</v>
      </c>
      <c r="N34" s="78">
        <v>45960</v>
      </c>
      <c r="O34" s="31"/>
      <c r="P34" s="9"/>
      <c r="Q34" s="9">
        <f>COUNTIF(Tabela4[[#All],[Cenário]],Tabela4[[#This Row],[Cenário]])</f>
        <v>6</v>
      </c>
      <c r="R34">
        <f>COUNTIFS(Tabela4[[#All],[Cenário]],Tabela4[[#This Row],[Cenário]],Tabela4[[#All],[Status]],"Keyuser - Concluído ")</f>
        <v>5</v>
      </c>
      <c r="S34" t="str">
        <f>IF(Tabela4[[#This Row],[Tarefas por Cenário]]-Tabela4[[#This Row],[Tarefas Concluídas]]&gt;0,"Não","Sim")</f>
        <v>Não</v>
      </c>
      <c r="T34">
        <f>COUNTIFS(Tabela4[[#All],[Cenário]],Tabela4[[#This Row],[Cenário]],Tabela4[[#All],[Status]],Tabela4[[#Headers],[Elo - Em correção ]])</f>
        <v>0</v>
      </c>
      <c r="U34">
        <f>COUNTIFS(Tabela4[[#All],[Cenário]],Tabela4[[#This Row],[Cenário]],Tabela4[[#All],[Status]],Tabela4[[#Headers],[Keyuser - Aguardando tarefa precedente]])</f>
        <v>0</v>
      </c>
      <c r="V34">
        <f>COUNTIFS(Tabela4[[#All],[Cenário]],Tabela4[[#This Row],[Cenário]],Tabela4[[#All],[Status]],Tabela4[[#Headers],[Não liberado  para testes]])</f>
        <v>1</v>
      </c>
      <c r="W34" t="str">
        <f>IF(Tabela4[[#This Row],[Elo - Em correção ]]&gt;0,"Sim","Não")</f>
        <v>Não</v>
      </c>
      <c r="X34" t="str">
        <f>IF(Tabela4[[#This Row],[Keyuser - Aguardando tarefa precedente]]&gt;0,"Sim","Não")</f>
        <v>Não</v>
      </c>
      <c r="Y34" t="str">
        <f>IF(Tabela4[[#This Row],[Não liberado  para testes]]&gt;0,"Sim","Não")</f>
        <v>Sim</v>
      </c>
      <c r="Z34" t="str">
        <f ca="1">IF(Tabela4[[#This Row],[Status]]="Keyuser - Pendente",NETWORKDAYS(Tabela4[[#This Row],[Dt Inicial]],TODAY()),"")</f>
        <v/>
      </c>
      <c r="AA34" t="b">
        <f>AND(Tabela4[[#This Row],[Status]]="Keyuser - Aguardando tarefa precedente",K33="Keyuser - Concluído ")</f>
        <v>0</v>
      </c>
    </row>
    <row r="35" spans="1:27" x14ac:dyDescent="0.25">
      <c r="A35" t="str">
        <f>"OUT-"&amp;IFERROR(MID(Tabela4[[#This Row],[Cenário]],SEARCH("(",Tabela4[[#This Row],[Cenário]])+1,SEARCH(")",Tabela4[[#This Row],[Cenário]])-SEARCH("(",Tabela4[[#This Row],[Cenário]])-1),"")&amp;"_"&amp;ROW()</f>
        <v>OUT-YDEV_35</v>
      </c>
      <c r="B35" t="s">
        <v>374</v>
      </c>
      <c r="C35" t="s">
        <v>387</v>
      </c>
      <c r="D35" s="5" t="s">
        <v>286</v>
      </c>
      <c r="E35">
        <v>6</v>
      </c>
      <c r="F35" t="s">
        <v>286</v>
      </c>
      <c r="G35" t="s">
        <v>287</v>
      </c>
      <c r="K35" s="9" t="s">
        <v>262</v>
      </c>
      <c r="N35" s="78"/>
      <c r="O35" s="31"/>
      <c r="P35" s="9"/>
      <c r="Q35" s="9">
        <f>COUNTIF(Tabela4[[#All],[Cenário]],Tabela4[[#This Row],[Cenário]])</f>
        <v>6</v>
      </c>
      <c r="R35">
        <f>COUNTIFS(Tabela4[[#All],[Cenário]],Tabela4[[#This Row],[Cenário]],Tabela4[[#All],[Status]],"Keyuser - Concluído ")</f>
        <v>5</v>
      </c>
      <c r="S35" t="str">
        <f>IF(Tabela4[[#This Row],[Tarefas por Cenário]]-Tabela4[[#This Row],[Tarefas Concluídas]]&gt;0,"Não","Sim")</f>
        <v>Não</v>
      </c>
      <c r="T35">
        <f>COUNTIFS(Tabela4[[#All],[Cenário]],Tabela4[[#This Row],[Cenário]],Tabela4[[#All],[Status]],Tabela4[[#Headers],[Elo - Em correção ]])</f>
        <v>0</v>
      </c>
      <c r="U35">
        <f>COUNTIFS(Tabela4[[#All],[Cenário]],Tabela4[[#This Row],[Cenário]],Tabela4[[#All],[Status]],Tabela4[[#Headers],[Keyuser - Aguardando tarefa precedente]])</f>
        <v>0</v>
      </c>
      <c r="V35">
        <f>COUNTIFS(Tabela4[[#All],[Cenário]],Tabela4[[#This Row],[Cenário]],Tabela4[[#All],[Status]],Tabela4[[#Headers],[Não liberado  para testes]])</f>
        <v>1</v>
      </c>
      <c r="W35" t="str">
        <f>IF(Tabela4[[#This Row],[Elo - Em correção ]]&gt;0,"Sim","Não")</f>
        <v>Não</v>
      </c>
      <c r="X35" t="str">
        <f>IF(Tabela4[[#This Row],[Keyuser - Aguardando tarefa precedente]]&gt;0,"Sim","Não")</f>
        <v>Não</v>
      </c>
      <c r="Y35" t="str">
        <f>IF(Tabela4[[#This Row],[Não liberado  para testes]]&gt;0,"Sim","Não")</f>
        <v>Sim</v>
      </c>
      <c r="Z35" t="str">
        <f ca="1">IF(Tabela4[[#This Row],[Status]]="Keyuser - Pendente",NETWORKDAYS(Tabela4[[#This Row],[Dt Inicial]],TODAY()),"")</f>
        <v/>
      </c>
      <c r="AA35" t="b">
        <f>AND(Tabela4[[#This Row],[Status]]="Keyuser - Aguardando tarefa precedente",K34="Keyuser - Concluído ")</f>
        <v>0</v>
      </c>
    </row>
    <row r="36" spans="1:27" x14ac:dyDescent="0.25">
      <c r="A36" t="str">
        <f>"OUT-"&amp;IFERROR(MID(Tabela4[[#This Row],[Cenário]],SEARCH("(",Tabela4[[#This Row],[Cenário]])+1,SEARCH(")",Tabela4[[#This Row],[Cenário]])-SEARCH("(",Tabela4[[#This Row],[Cenário]])-1),"")&amp;"_"&amp;ROW()</f>
        <v>OUT-YRET_36</v>
      </c>
      <c r="B36" t="s">
        <v>358</v>
      </c>
      <c r="C36" t="s">
        <v>390</v>
      </c>
      <c r="D36" s="5" t="s">
        <v>360</v>
      </c>
      <c r="E36">
        <v>1</v>
      </c>
      <c r="F36" t="s">
        <v>360</v>
      </c>
      <c r="G36" t="s">
        <v>377</v>
      </c>
      <c r="H36" s="9">
        <v>60668337</v>
      </c>
      <c r="K36" s="9" t="s">
        <v>271</v>
      </c>
      <c r="L36" s="78">
        <v>45958</v>
      </c>
      <c r="N36" s="78">
        <v>45958</v>
      </c>
      <c r="O36" s="31"/>
      <c r="P36" s="9"/>
      <c r="Q36" s="9">
        <f>COUNTIF(Tabela4[[#All],[Cenário]],Tabela4[[#This Row],[Cenário]])</f>
        <v>6</v>
      </c>
      <c r="R36">
        <f>COUNTIFS(Tabela4[[#All],[Cenário]],Tabela4[[#This Row],[Cenário]],Tabela4[[#All],[Status]],"Keyuser - Concluído ")</f>
        <v>5</v>
      </c>
      <c r="S36" t="str">
        <f>IF(Tabela4[[#This Row],[Tarefas por Cenário]]-Tabela4[[#This Row],[Tarefas Concluídas]]&gt;0,"Não","Sim")</f>
        <v>Não</v>
      </c>
      <c r="T36">
        <f>COUNTIFS(Tabela4[[#All],[Cenário]],Tabela4[[#This Row],[Cenário]],Tabela4[[#All],[Status]],Tabela4[[#Headers],[Elo - Em correção ]])</f>
        <v>0</v>
      </c>
      <c r="U36">
        <f>COUNTIFS(Tabela4[[#All],[Cenário]],Tabela4[[#This Row],[Cenário]],Tabela4[[#All],[Status]],Tabela4[[#Headers],[Keyuser - Aguardando tarefa precedente]])</f>
        <v>0</v>
      </c>
      <c r="V36">
        <f>COUNTIFS(Tabela4[[#All],[Cenário]],Tabela4[[#This Row],[Cenário]],Tabela4[[#All],[Status]],Tabela4[[#Headers],[Não liberado  para testes]])</f>
        <v>1</v>
      </c>
      <c r="W36" t="str">
        <f>IF(Tabela4[[#This Row],[Elo - Em correção ]]&gt;0,"Sim","Não")</f>
        <v>Não</v>
      </c>
      <c r="X36" t="str">
        <f>IF(Tabela4[[#This Row],[Keyuser - Aguardando tarefa precedente]]&gt;0,"Sim","Não")</f>
        <v>Não</v>
      </c>
      <c r="Y36" t="str">
        <f>IF(Tabela4[[#This Row],[Não liberado  para testes]]&gt;0,"Sim","Não")</f>
        <v>Sim</v>
      </c>
      <c r="Z36" t="str">
        <f ca="1">IF(Tabela4[[#This Row],[Status]]="Keyuser - Pendente",NETWORKDAYS(Tabela4[[#This Row],[Dt Inicial]],TODAY()),"")</f>
        <v/>
      </c>
      <c r="AA36" t="b">
        <f>AND(Tabela4[[#This Row],[Status]]="Keyuser - Aguardando tarefa precedente",K35="Keyuser - Concluído ")</f>
        <v>0</v>
      </c>
    </row>
    <row r="37" spans="1:27" x14ac:dyDescent="0.25">
      <c r="A37" t="str">
        <f>"OUT-"&amp;IFERROR(MID(Tabela4[[#This Row],[Cenário]],SEARCH("(",Tabela4[[#This Row],[Cenário]])+1,SEARCH(")",Tabela4[[#This Row],[Cenário]])-SEARCH("(",Tabela4[[#This Row],[Cenário]])-1),"")&amp;"_"&amp;ROW()</f>
        <v>OUT-YRET_37</v>
      </c>
      <c r="B37" t="s">
        <v>358</v>
      </c>
      <c r="C37" t="s">
        <v>390</v>
      </c>
      <c r="D37" s="5" t="s">
        <v>365</v>
      </c>
      <c r="E37">
        <v>2</v>
      </c>
      <c r="F37" t="s">
        <v>365</v>
      </c>
      <c r="G37" t="s">
        <v>310</v>
      </c>
      <c r="H37" s="9">
        <v>60668337</v>
      </c>
      <c r="K37" s="9" t="s">
        <v>271</v>
      </c>
      <c r="L37" s="78">
        <v>45958</v>
      </c>
      <c r="N37" s="78">
        <v>45958</v>
      </c>
      <c r="O37" s="31"/>
      <c r="P37" s="9"/>
      <c r="Q37" s="9">
        <f>COUNTIF(Tabela4[[#All],[Cenário]],Tabela4[[#This Row],[Cenário]])</f>
        <v>6</v>
      </c>
      <c r="R37">
        <f>COUNTIFS(Tabela4[[#All],[Cenário]],Tabela4[[#This Row],[Cenário]],Tabela4[[#All],[Status]],"Keyuser - Concluído ")</f>
        <v>5</v>
      </c>
      <c r="S37" t="str">
        <f>IF(Tabela4[[#This Row],[Tarefas por Cenário]]-Tabela4[[#This Row],[Tarefas Concluídas]]&gt;0,"Não","Sim")</f>
        <v>Não</v>
      </c>
      <c r="T37">
        <f>COUNTIFS(Tabela4[[#All],[Cenário]],Tabela4[[#This Row],[Cenário]],Tabela4[[#All],[Status]],Tabela4[[#Headers],[Elo - Em correção ]])</f>
        <v>0</v>
      </c>
      <c r="U37">
        <f>COUNTIFS(Tabela4[[#All],[Cenário]],Tabela4[[#This Row],[Cenário]],Tabela4[[#All],[Status]],Tabela4[[#Headers],[Keyuser - Aguardando tarefa precedente]])</f>
        <v>0</v>
      </c>
      <c r="V37">
        <f>COUNTIFS(Tabela4[[#All],[Cenário]],Tabela4[[#This Row],[Cenário]],Tabela4[[#All],[Status]],Tabela4[[#Headers],[Não liberado  para testes]])</f>
        <v>1</v>
      </c>
      <c r="W37" t="str">
        <f>IF(Tabela4[[#This Row],[Elo - Em correção ]]&gt;0,"Sim","Não")</f>
        <v>Não</v>
      </c>
      <c r="X37" t="str">
        <f>IF(Tabela4[[#This Row],[Keyuser - Aguardando tarefa precedente]]&gt;0,"Sim","Não")</f>
        <v>Não</v>
      </c>
      <c r="Y37" t="str">
        <f>IF(Tabela4[[#This Row],[Não liberado  para testes]]&gt;0,"Sim","Não")</f>
        <v>Sim</v>
      </c>
      <c r="Z37" t="str">
        <f ca="1">IF(Tabela4[[#This Row],[Status]]="Keyuser - Pendente",NETWORKDAYS(Tabela4[[#This Row],[Dt Inicial]],TODAY()),"")</f>
        <v/>
      </c>
      <c r="AA37" t="b">
        <f>AND(Tabela4[[#This Row],[Status]]="Keyuser - Aguardando tarefa precedente",K36="Keyuser - Concluído ")</f>
        <v>0</v>
      </c>
    </row>
    <row r="38" spans="1:27" x14ac:dyDescent="0.25">
      <c r="A38" t="str">
        <f>"OUT-"&amp;IFERROR(MID(Tabela4[[#This Row],[Cenário]],SEARCH("(",Tabela4[[#This Row],[Cenário]])+1,SEARCH(")",Tabela4[[#This Row],[Cenário]])-SEARCH("(",Tabela4[[#This Row],[Cenário]])-1),"")&amp;"_"&amp;ROW()</f>
        <v>OUT-YRET_38</v>
      </c>
      <c r="B38" t="s">
        <v>358</v>
      </c>
      <c r="C38" t="s">
        <v>390</v>
      </c>
      <c r="D38" s="5" t="s">
        <v>368</v>
      </c>
      <c r="E38">
        <v>3</v>
      </c>
      <c r="F38" t="s">
        <v>368</v>
      </c>
      <c r="G38" t="s">
        <v>377</v>
      </c>
      <c r="H38" s="9" t="s">
        <v>391</v>
      </c>
      <c r="K38" s="9" t="s">
        <v>271</v>
      </c>
      <c r="L38" s="78">
        <v>45959</v>
      </c>
      <c r="N38" s="78">
        <v>45959</v>
      </c>
      <c r="O38" s="31" t="s">
        <v>392</v>
      </c>
      <c r="P38" s="9"/>
      <c r="Q38" s="9">
        <f>COUNTIF(Tabela4[[#All],[Cenário]],Tabela4[[#This Row],[Cenário]])</f>
        <v>6</v>
      </c>
      <c r="R38">
        <f>COUNTIFS(Tabela4[[#All],[Cenário]],Tabela4[[#This Row],[Cenário]],Tabela4[[#All],[Status]],"Keyuser - Concluído ")</f>
        <v>5</v>
      </c>
      <c r="S38" t="str">
        <f>IF(Tabela4[[#This Row],[Tarefas por Cenário]]-Tabela4[[#This Row],[Tarefas Concluídas]]&gt;0,"Não","Sim")</f>
        <v>Não</v>
      </c>
      <c r="T38">
        <f>COUNTIFS(Tabela4[[#All],[Cenário]],Tabela4[[#This Row],[Cenário]],Tabela4[[#All],[Status]],Tabela4[[#Headers],[Elo - Em correção ]])</f>
        <v>0</v>
      </c>
      <c r="U38">
        <f>COUNTIFS(Tabela4[[#All],[Cenário]],Tabela4[[#This Row],[Cenário]],Tabela4[[#All],[Status]],Tabela4[[#Headers],[Keyuser - Aguardando tarefa precedente]])</f>
        <v>0</v>
      </c>
      <c r="V38">
        <f>COUNTIFS(Tabela4[[#All],[Cenário]],Tabela4[[#This Row],[Cenário]],Tabela4[[#All],[Status]],Tabela4[[#Headers],[Não liberado  para testes]])</f>
        <v>1</v>
      </c>
      <c r="W38" t="str">
        <f>IF(Tabela4[[#This Row],[Elo - Em correção ]]&gt;0,"Sim","Não")</f>
        <v>Não</v>
      </c>
      <c r="X38" t="str">
        <f>IF(Tabela4[[#This Row],[Keyuser - Aguardando tarefa precedente]]&gt;0,"Sim","Não")</f>
        <v>Não</v>
      </c>
      <c r="Y38" t="str">
        <f>IF(Tabela4[[#This Row],[Não liberado  para testes]]&gt;0,"Sim","Não")</f>
        <v>Sim</v>
      </c>
      <c r="Z38" t="str">
        <f ca="1">IF(Tabela4[[#This Row],[Status]]="Keyuser - Pendente",NETWORKDAYS(Tabela4[[#This Row],[Dt Inicial]],TODAY()),"")</f>
        <v/>
      </c>
      <c r="AA38" t="b">
        <f>AND(Tabela4[[#This Row],[Status]]="Keyuser - Aguardando tarefa precedente",K37="Keyuser - Concluído ")</f>
        <v>0</v>
      </c>
    </row>
    <row r="39" spans="1:27" x14ac:dyDescent="0.25">
      <c r="A39" t="str">
        <f>"OUT-"&amp;IFERROR(MID(Tabela4[[#This Row],[Cenário]],SEARCH("(",Tabela4[[#This Row],[Cenário]])+1,SEARCH(")",Tabela4[[#This Row],[Cenário]])-SEARCH("(",Tabela4[[#This Row],[Cenário]])-1),"")&amp;"_"&amp;ROW()</f>
        <v>OUT-YRET_39</v>
      </c>
      <c r="B39" t="s">
        <v>358</v>
      </c>
      <c r="C39" t="s">
        <v>390</v>
      </c>
      <c r="D39" s="5" t="s">
        <v>371</v>
      </c>
      <c r="E39">
        <v>4</v>
      </c>
      <c r="F39" t="s">
        <v>372</v>
      </c>
      <c r="G39" t="s">
        <v>287</v>
      </c>
      <c r="H39" s="9" t="s">
        <v>391</v>
      </c>
      <c r="K39" s="9" t="s">
        <v>271</v>
      </c>
      <c r="L39" s="78">
        <v>45959</v>
      </c>
      <c r="N39" s="78">
        <v>45959</v>
      </c>
      <c r="O39" s="31"/>
      <c r="P39" s="9"/>
      <c r="Q39" s="9">
        <f>COUNTIF(Tabela4[[#All],[Cenário]],Tabela4[[#This Row],[Cenário]])</f>
        <v>6</v>
      </c>
      <c r="R39">
        <f>COUNTIFS(Tabela4[[#All],[Cenário]],Tabela4[[#This Row],[Cenário]],Tabela4[[#All],[Status]],"Keyuser - Concluído ")</f>
        <v>5</v>
      </c>
      <c r="S39" t="str">
        <f>IF(Tabela4[[#This Row],[Tarefas por Cenário]]-Tabela4[[#This Row],[Tarefas Concluídas]]&gt;0,"Não","Sim")</f>
        <v>Não</v>
      </c>
      <c r="T39">
        <f>COUNTIFS(Tabela4[[#All],[Cenário]],Tabela4[[#This Row],[Cenário]],Tabela4[[#All],[Status]],Tabela4[[#Headers],[Elo - Em correção ]])</f>
        <v>0</v>
      </c>
      <c r="U39">
        <f>COUNTIFS(Tabela4[[#All],[Cenário]],Tabela4[[#This Row],[Cenário]],Tabela4[[#All],[Status]],Tabela4[[#Headers],[Keyuser - Aguardando tarefa precedente]])</f>
        <v>0</v>
      </c>
      <c r="V39">
        <f>COUNTIFS(Tabela4[[#All],[Cenário]],Tabela4[[#This Row],[Cenário]],Tabela4[[#All],[Status]],Tabela4[[#Headers],[Não liberado  para testes]])</f>
        <v>1</v>
      </c>
      <c r="W39" t="str">
        <f>IF(Tabela4[[#This Row],[Elo - Em correção ]]&gt;0,"Sim","Não")</f>
        <v>Não</v>
      </c>
      <c r="X39" t="str">
        <f>IF(Tabela4[[#This Row],[Keyuser - Aguardando tarefa precedente]]&gt;0,"Sim","Não")</f>
        <v>Não</v>
      </c>
      <c r="Y39" t="str">
        <f>IF(Tabela4[[#This Row],[Não liberado  para testes]]&gt;0,"Sim","Não")</f>
        <v>Sim</v>
      </c>
      <c r="Z39" t="str">
        <f ca="1">IF(Tabela4[[#This Row],[Status]]="Keyuser - Pendente",NETWORKDAYS(Tabela4[[#This Row],[Dt Inicial]],TODAY()),"")</f>
        <v/>
      </c>
      <c r="AA39" t="b">
        <f>AND(Tabela4[[#This Row],[Status]]="Keyuser - Aguardando tarefa precedente",K38="Keyuser - Concluído ")</f>
        <v>0</v>
      </c>
    </row>
    <row r="40" spans="1:27" x14ac:dyDescent="0.25">
      <c r="A40" t="str">
        <f>"OUT-"&amp;IFERROR(MID(Tabela4[[#This Row],[Cenário]],SEARCH("(",Tabela4[[#This Row],[Cenário]])+1,SEARCH(")",Tabela4[[#This Row],[Cenário]])-SEARCH("(",Tabela4[[#This Row],[Cenário]])-1),"")&amp;"_"&amp;ROW()</f>
        <v>OUT-YRET_40</v>
      </c>
      <c r="B40" t="s">
        <v>358</v>
      </c>
      <c r="C40" t="s">
        <v>390</v>
      </c>
      <c r="D40" s="5" t="s">
        <v>373</v>
      </c>
      <c r="E40">
        <v>5</v>
      </c>
      <c r="F40" t="s">
        <v>373</v>
      </c>
      <c r="G40" t="s">
        <v>283</v>
      </c>
      <c r="H40" s="9" t="s">
        <v>391</v>
      </c>
      <c r="K40" s="9" t="s">
        <v>271</v>
      </c>
      <c r="L40" s="78">
        <v>45960</v>
      </c>
      <c r="N40" s="78">
        <v>45960</v>
      </c>
      <c r="O40" s="31"/>
      <c r="P40" s="9"/>
      <c r="Q40" s="9">
        <f>COUNTIF(Tabela4[[#All],[Cenário]],Tabela4[[#This Row],[Cenário]])</f>
        <v>6</v>
      </c>
      <c r="R40">
        <f>COUNTIFS(Tabela4[[#All],[Cenário]],Tabela4[[#This Row],[Cenário]],Tabela4[[#All],[Status]],"Keyuser - Concluído ")</f>
        <v>5</v>
      </c>
      <c r="S40" t="str">
        <f>IF(Tabela4[[#This Row],[Tarefas por Cenário]]-Tabela4[[#This Row],[Tarefas Concluídas]]&gt;0,"Não","Sim")</f>
        <v>Não</v>
      </c>
      <c r="T40">
        <f>COUNTIFS(Tabela4[[#All],[Cenário]],Tabela4[[#This Row],[Cenário]],Tabela4[[#All],[Status]],Tabela4[[#Headers],[Elo - Em correção ]])</f>
        <v>0</v>
      </c>
      <c r="U40">
        <f>COUNTIFS(Tabela4[[#All],[Cenário]],Tabela4[[#This Row],[Cenário]],Tabela4[[#All],[Status]],Tabela4[[#Headers],[Keyuser - Aguardando tarefa precedente]])</f>
        <v>0</v>
      </c>
      <c r="V40">
        <f>COUNTIFS(Tabela4[[#All],[Cenário]],Tabela4[[#This Row],[Cenário]],Tabela4[[#All],[Status]],Tabela4[[#Headers],[Não liberado  para testes]])</f>
        <v>1</v>
      </c>
      <c r="W40" t="str">
        <f>IF(Tabela4[[#This Row],[Elo - Em correção ]]&gt;0,"Sim","Não")</f>
        <v>Não</v>
      </c>
      <c r="X40" t="str">
        <f>IF(Tabela4[[#This Row],[Keyuser - Aguardando tarefa precedente]]&gt;0,"Sim","Não")</f>
        <v>Não</v>
      </c>
      <c r="Y40" t="str">
        <f>IF(Tabela4[[#This Row],[Não liberado  para testes]]&gt;0,"Sim","Não")</f>
        <v>Sim</v>
      </c>
      <c r="Z40" t="str">
        <f ca="1">IF(Tabela4[[#This Row],[Status]]="Keyuser - Pendente",NETWORKDAYS(Tabela4[[#This Row],[Dt Inicial]],TODAY()),"")</f>
        <v/>
      </c>
      <c r="AA40" t="b">
        <f>AND(Tabela4[[#This Row],[Status]]="Keyuser - Aguardando tarefa precedente",K39="Keyuser - Concluído ")</f>
        <v>0</v>
      </c>
    </row>
    <row r="41" spans="1:27" x14ac:dyDescent="0.25">
      <c r="A41" t="str">
        <f>"OUT-"&amp;IFERROR(MID(Tabela4[[#This Row],[Cenário]],SEARCH("(",Tabela4[[#This Row],[Cenário]])+1,SEARCH(")",Tabela4[[#This Row],[Cenário]])-SEARCH("(",Tabela4[[#This Row],[Cenário]])-1),"")&amp;"_"&amp;ROW()</f>
        <v>OUT-YRET_41</v>
      </c>
      <c r="B41" t="s">
        <v>374</v>
      </c>
      <c r="C41" t="s">
        <v>390</v>
      </c>
      <c r="D41" s="5" t="s">
        <v>286</v>
      </c>
      <c r="E41">
        <v>6</v>
      </c>
      <c r="F41" t="s">
        <v>286</v>
      </c>
      <c r="G41" t="s">
        <v>287</v>
      </c>
      <c r="K41" s="9" t="s">
        <v>262</v>
      </c>
      <c r="N41" s="78"/>
      <c r="O41" s="31"/>
      <c r="P41" s="9"/>
      <c r="Q41" s="9">
        <f>COUNTIF(Tabela4[[#All],[Cenário]],Tabela4[[#This Row],[Cenário]])</f>
        <v>6</v>
      </c>
      <c r="R41">
        <f>COUNTIFS(Tabela4[[#All],[Cenário]],Tabela4[[#This Row],[Cenário]],Tabela4[[#All],[Status]],"Keyuser - Concluído ")</f>
        <v>5</v>
      </c>
      <c r="S41" t="str">
        <f>IF(Tabela4[[#This Row],[Tarefas por Cenário]]-Tabela4[[#This Row],[Tarefas Concluídas]]&gt;0,"Não","Sim")</f>
        <v>Não</v>
      </c>
      <c r="T41">
        <f>COUNTIFS(Tabela4[[#All],[Cenário]],Tabela4[[#This Row],[Cenário]],Tabela4[[#All],[Status]],Tabela4[[#Headers],[Elo - Em correção ]])</f>
        <v>0</v>
      </c>
      <c r="U41">
        <f>COUNTIFS(Tabela4[[#All],[Cenário]],Tabela4[[#This Row],[Cenário]],Tabela4[[#All],[Status]],Tabela4[[#Headers],[Keyuser - Aguardando tarefa precedente]])</f>
        <v>0</v>
      </c>
      <c r="V41">
        <f>COUNTIFS(Tabela4[[#All],[Cenário]],Tabela4[[#This Row],[Cenário]],Tabela4[[#All],[Status]],Tabela4[[#Headers],[Não liberado  para testes]])</f>
        <v>1</v>
      </c>
      <c r="W41" t="str">
        <f>IF(Tabela4[[#This Row],[Elo - Em correção ]]&gt;0,"Sim","Não")</f>
        <v>Não</v>
      </c>
      <c r="X41" t="str">
        <f>IF(Tabela4[[#This Row],[Keyuser - Aguardando tarefa precedente]]&gt;0,"Sim","Não")</f>
        <v>Não</v>
      </c>
      <c r="Y41" t="str">
        <f>IF(Tabela4[[#This Row],[Não liberado  para testes]]&gt;0,"Sim","Não")</f>
        <v>Sim</v>
      </c>
      <c r="Z41" t="str">
        <f ca="1">IF(Tabela4[[#This Row],[Status]]="Keyuser - Pendente",NETWORKDAYS(Tabela4[[#This Row],[Dt Inicial]],TODAY()),"")</f>
        <v/>
      </c>
      <c r="AA41" t="b">
        <f>AND(Tabela4[[#This Row],[Status]]="Keyuser - Aguardando tarefa precedente",K40="Keyuser - Concluído ")</f>
        <v>0</v>
      </c>
    </row>
    <row r="42" spans="1:27" x14ac:dyDescent="0.25">
      <c r="A42" t="str">
        <f>"OUT-"&amp;IFERROR(MID(Tabela4[[#This Row],[Cenário]],SEARCH("(",Tabela4[[#This Row],[Cenário]])+1,SEARCH(")",Tabela4[[#This Row],[Cenário]])-SEARCH("(",Tabela4[[#This Row],[Cenário]])-1),"")&amp;"_"&amp;ROW()</f>
        <v>OUT-Y002_42</v>
      </c>
      <c r="B42" t="s">
        <v>358</v>
      </c>
      <c r="C42" t="s">
        <v>393</v>
      </c>
      <c r="D42" t="s">
        <v>360</v>
      </c>
      <c r="E42">
        <v>1</v>
      </c>
      <c r="F42" t="s">
        <v>360</v>
      </c>
      <c r="G42" t="s">
        <v>361</v>
      </c>
      <c r="H42" s="18">
        <v>15603605</v>
      </c>
      <c r="I42" s="13" t="s">
        <v>394</v>
      </c>
      <c r="J42" s="9" t="s">
        <v>364</v>
      </c>
      <c r="K42" s="9" t="s">
        <v>271</v>
      </c>
      <c r="L42" s="78">
        <v>45946</v>
      </c>
      <c r="N42" s="78">
        <v>45946</v>
      </c>
      <c r="O42" s="31"/>
      <c r="P42" s="9"/>
      <c r="Q42" s="9">
        <f>COUNTIF(Tabela4[[#All],[Cenário]],Tabela4[[#This Row],[Cenário]])</f>
        <v>8</v>
      </c>
      <c r="R42">
        <f>COUNTIFS(Tabela4[[#All],[Cenário]],Tabela4[[#This Row],[Cenário]],Tabela4[[#All],[Status]],"Keyuser - Concluído ")</f>
        <v>7</v>
      </c>
      <c r="S42" t="str">
        <f>IF(Tabela4[[#This Row],[Tarefas por Cenário]]-Tabela4[[#This Row],[Tarefas Concluídas]]&gt;0,"Não","Sim")</f>
        <v>Não</v>
      </c>
      <c r="T42">
        <f>COUNTIFS(Tabela4[[#All],[Cenário]],Tabela4[[#This Row],[Cenário]],Tabela4[[#All],[Status]],Tabela4[[#Headers],[Elo - Em correção ]])</f>
        <v>0</v>
      </c>
      <c r="U42">
        <f>COUNTIFS(Tabela4[[#All],[Cenário]],Tabela4[[#This Row],[Cenário]],Tabela4[[#All],[Status]],Tabela4[[#Headers],[Keyuser - Aguardando tarefa precedente]])</f>
        <v>0</v>
      </c>
      <c r="V42">
        <f>COUNTIFS(Tabela4[[#All],[Cenário]],Tabela4[[#This Row],[Cenário]],Tabela4[[#All],[Status]],Tabela4[[#Headers],[Não liberado  para testes]])</f>
        <v>1</v>
      </c>
      <c r="W42" t="str">
        <f>IF(Tabela4[[#This Row],[Elo - Em correção ]]&gt;0,"Sim","Não")</f>
        <v>Não</v>
      </c>
      <c r="X42" t="str">
        <f>IF(Tabela4[[#This Row],[Keyuser - Aguardando tarefa precedente]]&gt;0,"Sim","Não")</f>
        <v>Não</v>
      </c>
      <c r="Y42" t="str">
        <f>IF(Tabela4[[#This Row],[Não liberado  para testes]]&gt;0,"Sim","Não")</f>
        <v>Sim</v>
      </c>
      <c r="Z42" t="str">
        <f ca="1">IF(Tabela4[[#This Row],[Status]]="Keyuser - Pendente",NETWORKDAYS(Tabela4[[#This Row],[Dt Inicial]],TODAY()),"")</f>
        <v/>
      </c>
      <c r="AA42" t="b">
        <f>AND(Tabela4[[#This Row],[Status]]="Keyuser - Aguardando tarefa precedente",K41="Keyuser - Concluído ")</f>
        <v>0</v>
      </c>
    </row>
    <row r="43" spans="1:27" x14ac:dyDescent="0.25">
      <c r="A43" t="str">
        <f>"OUT-"&amp;IFERROR(MID(Tabela4[[#This Row],[Cenário]],SEARCH("(",Tabela4[[#This Row],[Cenário]])+1,SEARCH(")",Tabela4[[#This Row],[Cenário]])-SEARCH("(",Tabela4[[#This Row],[Cenário]])-1),"")&amp;"_"&amp;ROW()</f>
        <v>OUT-Y002_43</v>
      </c>
      <c r="B43" t="s">
        <v>358</v>
      </c>
      <c r="C43" t="s">
        <v>393</v>
      </c>
      <c r="D43" t="s">
        <v>365</v>
      </c>
      <c r="E43">
        <v>2</v>
      </c>
      <c r="F43" t="s">
        <v>365</v>
      </c>
      <c r="G43" t="s">
        <v>310</v>
      </c>
      <c r="H43" s="18">
        <v>15603605</v>
      </c>
      <c r="I43" s="15" t="s">
        <v>394</v>
      </c>
      <c r="J43" s="9" t="s">
        <v>364</v>
      </c>
      <c r="K43" s="9" t="s">
        <v>271</v>
      </c>
      <c r="L43" s="78">
        <v>45946</v>
      </c>
      <c r="N43" s="78">
        <v>45946</v>
      </c>
      <c r="O43" s="31"/>
      <c r="P43" s="9"/>
      <c r="Q43" s="9">
        <f>COUNTIF(Tabela4[[#All],[Cenário]],Tabela4[[#This Row],[Cenário]])</f>
        <v>8</v>
      </c>
      <c r="R43">
        <f>COUNTIFS(Tabela4[[#All],[Cenário]],Tabela4[[#This Row],[Cenário]],Tabela4[[#All],[Status]],"Keyuser - Concluído ")</f>
        <v>7</v>
      </c>
      <c r="S43" t="str">
        <f>IF(Tabela4[[#This Row],[Tarefas por Cenário]]-Tabela4[[#This Row],[Tarefas Concluídas]]&gt;0,"Não","Sim")</f>
        <v>Não</v>
      </c>
      <c r="T43">
        <f>COUNTIFS(Tabela4[[#All],[Cenário]],Tabela4[[#This Row],[Cenário]],Tabela4[[#All],[Status]],Tabela4[[#Headers],[Elo - Em correção ]])</f>
        <v>0</v>
      </c>
      <c r="U43">
        <f>COUNTIFS(Tabela4[[#All],[Cenário]],Tabela4[[#This Row],[Cenário]],Tabela4[[#All],[Status]],Tabela4[[#Headers],[Keyuser - Aguardando tarefa precedente]])</f>
        <v>0</v>
      </c>
      <c r="V43">
        <f>COUNTIFS(Tabela4[[#All],[Cenário]],Tabela4[[#This Row],[Cenário]],Tabela4[[#All],[Status]],Tabela4[[#Headers],[Não liberado  para testes]])</f>
        <v>1</v>
      </c>
      <c r="W43" t="str">
        <f>IF(Tabela4[[#This Row],[Elo - Em correção ]]&gt;0,"Sim","Não")</f>
        <v>Não</v>
      </c>
      <c r="X43" t="str">
        <f>IF(Tabela4[[#This Row],[Keyuser - Aguardando tarefa precedente]]&gt;0,"Sim","Não")</f>
        <v>Não</v>
      </c>
      <c r="Y43" t="str">
        <f>IF(Tabela4[[#This Row],[Não liberado  para testes]]&gt;0,"Sim","Não")</f>
        <v>Sim</v>
      </c>
      <c r="Z43" t="str">
        <f ca="1">IF(Tabela4[[#This Row],[Status]]="Keyuser - Pendente",NETWORKDAYS(Tabela4[[#This Row],[Dt Inicial]],TODAY()),"")</f>
        <v/>
      </c>
      <c r="AA43" t="b">
        <f>AND(Tabela4[[#This Row],[Status]]="Keyuser - Aguardando tarefa precedente",K42="Keyuser - Concluído ")</f>
        <v>0</v>
      </c>
    </row>
    <row r="44" spans="1:27" x14ac:dyDescent="0.25">
      <c r="A44" t="str">
        <f>"OUT-"&amp;IFERROR(MID(Tabela4[[#This Row],[Cenário]],SEARCH("(",Tabela4[[#This Row],[Cenário]])+1,SEARCH(")",Tabela4[[#This Row],[Cenário]])-SEARCH("(",Tabela4[[#This Row],[Cenário]])-1),"")&amp;"_"&amp;ROW()</f>
        <v>OUT-Y002_44</v>
      </c>
      <c r="B44" t="s">
        <v>358</v>
      </c>
      <c r="C44" t="s">
        <v>393</v>
      </c>
      <c r="D44" t="s">
        <v>366</v>
      </c>
      <c r="E44">
        <v>3</v>
      </c>
      <c r="F44" t="s">
        <v>366</v>
      </c>
      <c r="G44" t="s">
        <v>367</v>
      </c>
      <c r="H44" s="18">
        <v>15603605</v>
      </c>
      <c r="I44" s="15" t="s">
        <v>394</v>
      </c>
      <c r="J44" s="9" t="s">
        <v>364</v>
      </c>
      <c r="K44" s="9" t="s">
        <v>271</v>
      </c>
      <c r="L44" s="78">
        <v>45946</v>
      </c>
      <c r="N44" s="78">
        <v>45946</v>
      </c>
      <c r="O44" s="31"/>
      <c r="P44" s="9"/>
      <c r="Q44" s="9">
        <f>COUNTIF(Tabela4[[#All],[Cenário]],Tabela4[[#This Row],[Cenário]])</f>
        <v>8</v>
      </c>
      <c r="R44">
        <f>COUNTIFS(Tabela4[[#All],[Cenário]],Tabela4[[#This Row],[Cenário]],Tabela4[[#All],[Status]],"Keyuser - Concluído ")</f>
        <v>7</v>
      </c>
      <c r="S44" t="str">
        <f>IF(Tabela4[[#This Row],[Tarefas por Cenário]]-Tabela4[[#This Row],[Tarefas Concluídas]]&gt;0,"Não","Sim")</f>
        <v>Não</v>
      </c>
      <c r="T44">
        <f>COUNTIFS(Tabela4[[#All],[Cenário]],Tabela4[[#This Row],[Cenário]],Tabela4[[#All],[Status]],Tabela4[[#Headers],[Elo - Em correção ]])</f>
        <v>0</v>
      </c>
      <c r="U44">
        <f>COUNTIFS(Tabela4[[#All],[Cenário]],Tabela4[[#This Row],[Cenário]],Tabela4[[#All],[Status]],Tabela4[[#Headers],[Keyuser - Aguardando tarefa precedente]])</f>
        <v>0</v>
      </c>
      <c r="V44">
        <f>COUNTIFS(Tabela4[[#All],[Cenário]],Tabela4[[#This Row],[Cenário]],Tabela4[[#All],[Status]],Tabela4[[#Headers],[Não liberado  para testes]])</f>
        <v>1</v>
      </c>
      <c r="W44" t="str">
        <f>IF(Tabela4[[#This Row],[Elo - Em correção ]]&gt;0,"Sim","Não")</f>
        <v>Não</v>
      </c>
      <c r="X44" t="str">
        <f>IF(Tabela4[[#This Row],[Keyuser - Aguardando tarefa precedente]]&gt;0,"Sim","Não")</f>
        <v>Não</v>
      </c>
      <c r="Y44" t="str">
        <f>IF(Tabela4[[#This Row],[Não liberado  para testes]]&gt;0,"Sim","Não")</f>
        <v>Sim</v>
      </c>
      <c r="Z44" t="str">
        <f ca="1">IF(Tabela4[[#This Row],[Status]]="Keyuser - Pendente",NETWORKDAYS(Tabela4[[#This Row],[Dt Inicial]],TODAY()),"")</f>
        <v/>
      </c>
      <c r="AA44" t="b">
        <f>AND(Tabela4[[#This Row],[Status]]="Keyuser - Aguardando tarefa precedente",K43="Keyuser - Concluído ")</f>
        <v>0</v>
      </c>
    </row>
    <row r="45" spans="1:27" x14ac:dyDescent="0.25">
      <c r="A45" t="str">
        <f>"OUT-"&amp;IFERROR(MID(Tabela4[[#This Row],[Cenário]],SEARCH("(",Tabela4[[#This Row],[Cenário]])+1,SEARCH(")",Tabela4[[#This Row],[Cenário]])-SEARCH("(",Tabela4[[#This Row],[Cenário]])-1),"")&amp;"_"&amp;ROW()</f>
        <v>OUT-Y002_45</v>
      </c>
      <c r="B45" t="s">
        <v>358</v>
      </c>
      <c r="C45" t="s">
        <v>393</v>
      </c>
      <c r="D45" t="s">
        <v>368</v>
      </c>
      <c r="E45">
        <v>4</v>
      </c>
      <c r="F45" t="s">
        <v>368</v>
      </c>
      <c r="G45" t="s">
        <v>369</v>
      </c>
      <c r="H45" s="13" t="s">
        <v>395</v>
      </c>
      <c r="I45" s="13"/>
      <c r="J45" s="13"/>
      <c r="K45" s="9" t="s">
        <v>271</v>
      </c>
      <c r="L45" s="78">
        <v>45947</v>
      </c>
      <c r="N45" s="78">
        <v>45947</v>
      </c>
      <c r="O45" s="31"/>
      <c r="P45" s="9"/>
      <c r="Q45" s="9">
        <f>COUNTIF(Tabela4[[#All],[Cenário]],Tabela4[[#This Row],[Cenário]])</f>
        <v>8</v>
      </c>
      <c r="R45">
        <f>COUNTIFS(Tabela4[[#All],[Cenário]],Tabela4[[#This Row],[Cenário]],Tabela4[[#All],[Status]],"Keyuser - Concluído ")</f>
        <v>7</v>
      </c>
      <c r="S45" t="str">
        <f>IF(Tabela4[[#This Row],[Tarefas por Cenário]]-Tabela4[[#This Row],[Tarefas Concluídas]]&gt;0,"Não","Sim")</f>
        <v>Não</v>
      </c>
      <c r="T45">
        <f>COUNTIFS(Tabela4[[#All],[Cenário]],Tabela4[[#This Row],[Cenário]],Tabela4[[#All],[Status]],Tabela4[[#Headers],[Elo - Em correção ]])</f>
        <v>0</v>
      </c>
      <c r="U45">
        <f>COUNTIFS(Tabela4[[#All],[Cenário]],Tabela4[[#This Row],[Cenário]],Tabela4[[#All],[Status]],Tabela4[[#Headers],[Keyuser - Aguardando tarefa precedente]])</f>
        <v>0</v>
      </c>
      <c r="V45">
        <f>COUNTIFS(Tabela4[[#All],[Cenário]],Tabela4[[#This Row],[Cenário]],Tabela4[[#All],[Status]],Tabela4[[#Headers],[Não liberado  para testes]])</f>
        <v>1</v>
      </c>
      <c r="W45" t="str">
        <f>IF(Tabela4[[#This Row],[Elo - Em correção ]]&gt;0,"Sim","Não")</f>
        <v>Não</v>
      </c>
      <c r="X45" t="str">
        <f>IF(Tabela4[[#This Row],[Keyuser - Aguardando tarefa precedente]]&gt;0,"Sim","Não")</f>
        <v>Não</v>
      </c>
      <c r="Y45" t="str">
        <f>IF(Tabela4[[#This Row],[Não liberado  para testes]]&gt;0,"Sim","Não")</f>
        <v>Sim</v>
      </c>
      <c r="Z45" t="str">
        <f ca="1">IF(Tabela4[[#This Row],[Status]]="Keyuser - Pendente",NETWORKDAYS(Tabela4[[#This Row],[Dt Inicial]],TODAY()),"")</f>
        <v/>
      </c>
      <c r="AA45" t="b">
        <f>AND(Tabela4[[#This Row],[Status]]="Keyuser - Aguardando tarefa precedente",K44="Keyuser - Concluído ")</f>
        <v>0</v>
      </c>
    </row>
    <row r="46" spans="1:27" x14ac:dyDescent="0.25">
      <c r="A46" t="str">
        <f>"OUT-"&amp;IFERROR(MID(Tabela4[[#This Row],[Cenário]],SEARCH("(",Tabela4[[#This Row],[Cenário]])+1,SEARCH(")",Tabela4[[#This Row],[Cenário]])-SEARCH("(",Tabela4[[#This Row],[Cenário]])-1),"")&amp;"_"&amp;ROW()</f>
        <v>OUT-Y002_46</v>
      </c>
      <c r="B46" t="s">
        <v>358</v>
      </c>
      <c r="C46" t="s">
        <v>393</v>
      </c>
      <c r="D46" t="s">
        <v>371</v>
      </c>
      <c r="E46">
        <v>5</v>
      </c>
      <c r="F46" t="s">
        <v>372</v>
      </c>
      <c r="G46" t="s">
        <v>287</v>
      </c>
      <c r="H46" s="13" t="s">
        <v>395</v>
      </c>
      <c r="I46" s="13"/>
      <c r="J46" s="13"/>
      <c r="K46" s="9" t="s">
        <v>271</v>
      </c>
      <c r="L46" s="78">
        <v>45947</v>
      </c>
      <c r="N46" s="78">
        <v>45947</v>
      </c>
      <c r="O46" s="31"/>
      <c r="P46" s="9"/>
      <c r="Q46" s="9">
        <f>COUNTIF(Tabela4[[#All],[Cenário]],Tabela4[[#This Row],[Cenário]])</f>
        <v>8</v>
      </c>
      <c r="R46">
        <f>COUNTIFS(Tabela4[[#All],[Cenário]],Tabela4[[#This Row],[Cenário]],Tabela4[[#All],[Status]],"Keyuser - Concluído ")</f>
        <v>7</v>
      </c>
      <c r="S46" t="str">
        <f>IF(Tabela4[[#This Row],[Tarefas por Cenário]]-Tabela4[[#This Row],[Tarefas Concluídas]]&gt;0,"Não","Sim")</f>
        <v>Não</v>
      </c>
      <c r="T46">
        <f>COUNTIFS(Tabela4[[#All],[Cenário]],Tabela4[[#This Row],[Cenário]],Tabela4[[#All],[Status]],Tabela4[[#Headers],[Elo - Em correção ]])</f>
        <v>0</v>
      </c>
      <c r="U46">
        <f>COUNTIFS(Tabela4[[#All],[Cenário]],Tabela4[[#This Row],[Cenário]],Tabela4[[#All],[Status]],Tabela4[[#Headers],[Keyuser - Aguardando tarefa precedente]])</f>
        <v>0</v>
      </c>
      <c r="V46">
        <f>COUNTIFS(Tabela4[[#All],[Cenário]],Tabela4[[#This Row],[Cenário]],Tabela4[[#All],[Status]],Tabela4[[#Headers],[Não liberado  para testes]])</f>
        <v>1</v>
      </c>
      <c r="W46" t="str">
        <f>IF(Tabela4[[#This Row],[Elo - Em correção ]]&gt;0,"Sim","Não")</f>
        <v>Não</v>
      </c>
      <c r="X46" t="str">
        <f>IF(Tabela4[[#This Row],[Keyuser - Aguardando tarefa precedente]]&gt;0,"Sim","Não")</f>
        <v>Não</v>
      </c>
      <c r="Y46" t="str">
        <f>IF(Tabela4[[#This Row],[Não liberado  para testes]]&gt;0,"Sim","Não")</f>
        <v>Sim</v>
      </c>
      <c r="Z46" t="str">
        <f ca="1">IF(Tabela4[[#This Row],[Status]]="Keyuser - Pendente",NETWORKDAYS(Tabela4[[#This Row],[Dt Inicial]],TODAY()),"")</f>
        <v/>
      </c>
      <c r="AA46" t="b">
        <f>AND(Tabela4[[#This Row],[Status]]="Keyuser - Aguardando tarefa precedente",K45="Keyuser - Concluído ")</f>
        <v>0</v>
      </c>
    </row>
    <row r="47" spans="1:27" x14ac:dyDescent="0.25">
      <c r="A47" t="str">
        <f>"OUT-"&amp;IFERROR(MID(Tabela4[[#This Row],[Cenário]],SEARCH("(",Tabela4[[#This Row],[Cenário]])+1,SEARCH(")",Tabela4[[#This Row],[Cenário]])-SEARCH("(",Tabela4[[#This Row],[Cenário]])-1),"")&amp;"_"&amp;ROW()</f>
        <v>OUT-Y002_47</v>
      </c>
      <c r="B47" t="s">
        <v>358</v>
      </c>
      <c r="C47" t="s">
        <v>393</v>
      </c>
      <c r="D47" t="s">
        <v>373</v>
      </c>
      <c r="E47">
        <v>6</v>
      </c>
      <c r="F47" t="s">
        <v>373</v>
      </c>
      <c r="G47" t="s">
        <v>283</v>
      </c>
      <c r="H47" s="13" t="s">
        <v>395</v>
      </c>
      <c r="I47" s="15"/>
      <c r="J47" s="15"/>
      <c r="K47" s="9" t="s">
        <v>271</v>
      </c>
      <c r="L47" s="78">
        <v>45950</v>
      </c>
      <c r="N47" s="78">
        <v>45950</v>
      </c>
      <c r="O47" s="31"/>
      <c r="P47" s="9"/>
      <c r="Q47" s="9">
        <f>COUNTIF(Tabela4[[#All],[Cenário]],Tabela4[[#This Row],[Cenário]])</f>
        <v>8</v>
      </c>
      <c r="R47">
        <f>COUNTIFS(Tabela4[[#All],[Cenário]],Tabela4[[#This Row],[Cenário]],Tabela4[[#All],[Status]],"Keyuser - Concluído ")</f>
        <v>7</v>
      </c>
      <c r="S47" t="str">
        <f>IF(Tabela4[[#This Row],[Tarefas por Cenário]]-Tabela4[[#This Row],[Tarefas Concluídas]]&gt;0,"Não","Sim")</f>
        <v>Não</v>
      </c>
      <c r="T47">
        <f>COUNTIFS(Tabela4[[#All],[Cenário]],Tabela4[[#This Row],[Cenário]],Tabela4[[#All],[Status]],Tabela4[[#Headers],[Elo - Em correção ]])</f>
        <v>0</v>
      </c>
      <c r="U47">
        <f>COUNTIFS(Tabela4[[#All],[Cenário]],Tabela4[[#This Row],[Cenário]],Tabela4[[#All],[Status]],Tabela4[[#Headers],[Keyuser - Aguardando tarefa precedente]])</f>
        <v>0</v>
      </c>
      <c r="V47">
        <f>COUNTIFS(Tabela4[[#All],[Cenário]],Tabela4[[#This Row],[Cenário]],Tabela4[[#All],[Status]],Tabela4[[#Headers],[Não liberado  para testes]])</f>
        <v>1</v>
      </c>
      <c r="W47" t="str">
        <f>IF(Tabela4[[#This Row],[Elo - Em correção ]]&gt;0,"Sim","Não")</f>
        <v>Não</v>
      </c>
      <c r="X47" t="str">
        <f>IF(Tabela4[[#This Row],[Keyuser - Aguardando tarefa precedente]]&gt;0,"Sim","Não")</f>
        <v>Não</v>
      </c>
      <c r="Y47" t="str">
        <f>IF(Tabela4[[#This Row],[Não liberado  para testes]]&gt;0,"Sim","Não")</f>
        <v>Sim</v>
      </c>
      <c r="Z47" t="str">
        <f ca="1">IF(Tabela4[[#This Row],[Status]]="Keyuser - Pendente",NETWORKDAYS(Tabela4[[#This Row],[Dt Inicial]],TODAY()),"")</f>
        <v/>
      </c>
      <c r="AA47" t="b">
        <f>AND(Tabela4[[#This Row],[Status]]="Keyuser - Aguardando tarefa precedente",K46="Keyuser - Concluído ")</f>
        <v>0</v>
      </c>
    </row>
    <row r="48" spans="1:27" x14ac:dyDescent="0.25">
      <c r="A48" t="str">
        <f>"OUT-"&amp;IFERROR(MID(Tabela4[[#This Row],[Cenário]],SEARCH("(",Tabela4[[#This Row],[Cenário]])+1,SEARCH(")",Tabela4[[#This Row],[Cenário]])-SEARCH("(",Tabela4[[#This Row],[Cenário]])-1),"")&amp;"_"&amp;ROW()</f>
        <v>OUT-Y002_48</v>
      </c>
      <c r="B48" t="s">
        <v>374</v>
      </c>
      <c r="C48" t="s">
        <v>393</v>
      </c>
      <c r="D48" t="s">
        <v>286</v>
      </c>
      <c r="E48">
        <v>7</v>
      </c>
      <c r="F48" t="s">
        <v>286</v>
      </c>
      <c r="G48" t="s">
        <v>287</v>
      </c>
      <c r="H48" s="13"/>
      <c r="I48" s="13"/>
      <c r="J48" s="13"/>
      <c r="K48" s="9" t="s">
        <v>262</v>
      </c>
      <c r="N48" s="78"/>
      <c r="O48" s="31"/>
      <c r="P48" s="9"/>
      <c r="Q48" s="9">
        <f>COUNTIF(Tabela4[[#All],[Cenário]],Tabela4[[#This Row],[Cenário]])</f>
        <v>8</v>
      </c>
      <c r="R48">
        <f>COUNTIFS(Tabela4[[#All],[Cenário]],Tabela4[[#This Row],[Cenário]],Tabela4[[#All],[Status]],"Keyuser - Concluído ")</f>
        <v>7</v>
      </c>
      <c r="S48" t="str">
        <f>IF(Tabela4[[#This Row],[Tarefas por Cenário]]-Tabela4[[#This Row],[Tarefas Concluídas]]&gt;0,"Não","Sim")</f>
        <v>Não</v>
      </c>
      <c r="T48">
        <f>COUNTIFS(Tabela4[[#All],[Cenário]],Tabela4[[#This Row],[Cenário]],Tabela4[[#All],[Status]],Tabela4[[#Headers],[Elo - Em correção ]])</f>
        <v>0</v>
      </c>
      <c r="U48">
        <f>COUNTIFS(Tabela4[[#All],[Cenário]],Tabela4[[#This Row],[Cenário]],Tabela4[[#All],[Status]],Tabela4[[#Headers],[Keyuser - Aguardando tarefa precedente]])</f>
        <v>0</v>
      </c>
      <c r="V48">
        <f>COUNTIFS(Tabela4[[#All],[Cenário]],Tabela4[[#This Row],[Cenário]],Tabela4[[#All],[Status]],Tabela4[[#Headers],[Não liberado  para testes]])</f>
        <v>1</v>
      </c>
      <c r="W48" t="str">
        <f>IF(Tabela4[[#This Row],[Elo - Em correção ]]&gt;0,"Sim","Não")</f>
        <v>Não</v>
      </c>
      <c r="X48" t="str">
        <f>IF(Tabela4[[#This Row],[Keyuser - Aguardando tarefa precedente]]&gt;0,"Sim","Não")</f>
        <v>Não</v>
      </c>
      <c r="Y48" t="str">
        <f>IF(Tabela4[[#This Row],[Não liberado  para testes]]&gt;0,"Sim","Não")</f>
        <v>Sim</v>
      </c>
      <c r="Z48" t="str">
        <f ca="1">IF(Tabela4[[#This Row],[Status]]="Keyuser - Pendente",NETWORKDAYS(Tabela4[[#This Row],[Dt Inicial]],TODAY()),"")</f>
        <v/>
      </c>
      <c r="AA48" t="b">
        <f>AND(Tabela4[[#This Row],[Status]]="Keyuser - Aguardando tarefa precedente",K47="Keyuser - Concluído ")</f>
        <v>0</v>
      </c>
    </row>
    <row r="49" spans="1:27" x14ac:dyDescent="0.25">
      <c r="A49" t="str">
        <f>"OUT-"&amp;IFERROR(MID(Tabela4[[#This Row],[Cenário]],SEARCH("(",Tabela4[[#This Row],[Cenário]])+1,SEARCH(")",Tabela4[[#This Row],[Cenário]])-SEARCH("(",Tabela4[[#This Row],[Cenário]])-1),"")&amp;"_"&amp;ROW()</f>
        <v>OUT-Y002_49</v>
      </c>
      <c r="B49" t="s">
        <v>358</v>
      </c>
      <c r="C49" t="s">
        <v>393</v>
      </c>
      <c r="D49" t="s">
        <v>375</v>
      </c>
      <c r="E49">
        <v>8</v>
      </c>
      <c r="F49" t="s">
        <v>375</v>
      </c>
      <c r="G49" t="s">
        <v>367</v>
      </c>
      <c r="H49" s="18">
        <v>15603605</v>
      </c>
      <c r="I49" s="35" t="s">
        <v>394</v>
      </c>
      <c r="J49" s="9" t="s">
        <v>364</v>
      </c>
      <c r="K49" s="9" t="s">
        <v>271</v>
      </c>
      <c r="L49" s="78">
        <v>45951</v>
      </c>
      <c r="N49" s="78">
        <v>45951</v>
      </c>
      <c r="O49" s="31"/>
      <c r="P49" s="9"/>
      <c r="Q49" s="9">
        <f>COUNTIF(Tabela4[[#All],[Cenário]],Tabela4[[#This Row],[Cenário]])</f>
        <v>8</v>
      </c>
      <c r="R49">
        <f>COUNTIFS(Tabela4[[#All],[Cenário]],Tabela4[[#This Row],[Cenário]],Tabela4[[#All],[Status]],"Keyuser - Concluído ")</f>
        <v>7</v>
      </c>
      <c r="S49" t="str">
        <f>IF(Tabela4[[#This Row],[Tarefas por Cenário]]-Tabela4[[#This Row],[Tarefas Concluídas]]&gt;0,"Não","Sim")</f>
        <v>Não</v>
      </c>
      <c r="T49">
        <f>COUNTIFS(Tabela4[[#All],[Cenário]],Tabela4[[#This Row],[Cenário]],Tabela4[[#All],[Status]],Tabela4[[#Headers],[Elo - Em correção ]])</f>
        <v>0</v>
      </c>
      <c r="U49">
        <f>COUNTIFS(Tabela4[[#All],[Cenário]],Tabela4[[#This Row],[Cenário]],Tabela4[[#All],[Status]],Tabela4[[#Headers],[Keyuser - Aguardando tarefa precedente]])</f>
        <v>0</v>
      </c>
      <c r="V49">
        <f>COUNTIFS(Tabela4[[#All],[Cenário]],Tabela4[[#This Row],[Cenário]],Tabela4[[#All],[Status]],Tabela4[[#Headers],[Não liberado  para testes]])</f>
        <v>1</v>
      </c>
      <c r="W49" t="str">
        <f>IF(Tabela4[[#This Row],[Elo - Em correção ]]&gt;0,"Sim","Não")</f>
        <v>Não</v>
      </c>
      <c r="X49" t="str">
        <f>IF(Tabela4[[#This Row],[Keyuser - Aguardando tarefa precedente]]&gt;0,"Sim","Não")</f>
        <v>Não</v>
      </c>
      <c r="Y49" t="str">
        <f>IF(Tabela4[[#This Row],[Não liberado  para testes]]&gt;0,"Sim","Não")</f>
        <v>Sim</v>
      </c>
      <c r="Z49" t="str">
        <f ca="1">IF(Tabela4[[#This Row],[Status]]="Keyuser - Pendente",NETWORKDAYS(Tabela4[[#This Row],[Dt Inicial]],TODAY()),"")</f>
        <v/>
      </c>
      <c r="AA49" t="b">
        <f>AND(Tabela4[[#This Row],[Status]]="Keyuser - Aguardando tarefa precedente",K48="Keyuser - Concluído ")</f>
        <v>0</v>
      </c>
    </row>
    <row r="50" spans="1:27" x14ac:dyDescent="0.25">
      <c r="A50" t="str">
        <f>"OUT-"&amp;IFERROR(MID(Tabela4[[#This Row],[Cenário]],SEARCH("(",Tabela4[[#This Row],[Cenário]])+1,SEARCH(")",Tabela4[[#This Row],[Cenário]])-SEARCH("(",Tabela4[[#This Row],[Cenário]])-1),"")&amp;"_"&amp;ROW()</f>
        <v>OUT-YDEV_50</v>
      </c>
      <c r="B50" t="s">
        <v>358</v>
      </c>
      <c r="C50" t="s">
        <v>396</v>
      </c>
      <c r="D50" t="s">
        <v>360</v>
      </c>
      <c r="E50">
        <v>1</v>
      </c>
      <c r="F50" t="s">
        <v>360</v>
      </c>
      <c r="G50" t="s">
        <v>377</v>
      </c>
      <c r="H50" s="13">
        <v>60668331</v>
      </c>
      <c r="I50" s="13"/>
      <c r="J50" s="13"/>
      <c r="K50" s="9" t="s">
        <v>271</v>
      </c>
      <c r="L50" s="78">
        <v>45958</v>
      </c>
      <c r="N50" s="78">
        <v>45958</v>
      </c>
      <c r="O50" s="31"/>
      <c r="P50" s="9"/>
      <c r="Q50" s="9">
        <f>COUNTIF(Tabela4[[#All],[Cenário]],Tabela4[[#This Row],[Cenário]])</f>
        <v>6</v>
      </c>
      <c r="R50">
        <f>COUNTIFS(Tabela4[[#All],[Cenário]],Tabela4[[#This Row],[Cenário]],Tabela4[[#All],[Status]],"Keyuser - Concluído ")</f>
        <v>5</v>
      </c>
      <c r="S50" t="str">
        <f>IF(Tabela4[[#This Row],[Tarefas por Cenário]]-Tabela4[[#This Row],[Tarefas Concluídas]]&gt;0,"Não","Sim")</f>
        <v>Não</v>
      </c>
      <c r="T50">
        <f>COUNTIFS(Tabela4[[#All],[Cenário]],Tabela4[[#This Row],[Cenário]],Tabela4[[#All],[Status]],Tabela4[[#Headers],[Elo - Em correção ]])</f>
        <v>0</v>
      </c>
      <c r="U50">
        <f>COUNTIFS(Tabela4[[#All],[Cenário]],Tabela4[[#This Row],[Cenário]],Tabela4[[#All],[Status]],Tabela4[[#Headers],[Keyuser - Aguardando tarefa precedente]])</f>
        <v>0</v>
      </c>
      <c r="V50">
        <f>COUNTIFS(Tabela4[[#All],[Cenário]],Tabela4[[#This Row],[Cenário]],Tabela4[[#All],[Status]],Tabela4[[#Headers],[Não liberado  para testes]])</f>
        <v>1</v>
      </c>
      <c r="W50" t="str">
        <f>IF(Tabela4[[#This Row],[Elo - Em correção ]]&gt;0,"Sim","Não")</f>
        <v>Não</v>
      </c>
      <c r="X50" t="str">
        <f>IF(Tabela4[[#This Row],[Keyuser - Aguardando tarefa precedente]]&gt;0,"Sim","Não")</f>
        <v>Não</v>
      </c>
      <c r="Y50" t="str">
        <f>IF(Tabela4[[#This Row],[Não liberado  para testes]]&gt;0,"Sim","Não")</f>
        <v>Sim</v>
      </c>
      <c r="Z50" t="str">
        <f ca="1">IF(Tabela4[[#This Row],[Status]]="Keyuser - Pendente",NETWORKDAYS(Tabela4[[#This Row],[Dt Inicial]],TODAY()),"")</f>
        <v/>
      </c>
      <c r="AA50" t="b">
        <f>AND(Tabela4[[#This Row],[Status]]="Keyuser - Aguardando tarefa precedente",K49="Keyuser - Concluído ")</f>
        <v>0</v>
      </c>
    </row>
    <row r="51" spans="1:27" x14ac:dyDescent="0.25">
      <c r="A51" t="str">
        <f>"OUT-"&amp;IFERROR(MID(Tabela4[[#This Row],[Cenário]],SEARCH("(",Tabela4[[#This Row],[Cenário]])+1,SEARCH(")",Tabela4[[#This Row],[Cenário]])-SEARCH("(",Tabela4[[#This Row],[Cenário]])-1),"")&amp;"_"&amp;ROW()</f>
        <v>OUT-YDEV_51</v>
      </c>
      <c r="B51" t="s">
        <v>358</v>
      </c>
      <c r="C51" t="s">
        <v>396</v>
      </c>
      <c r="D51" t="s">
        <v>365</v>
      </c>
      <c r="E51">
        <v>2</v>
      </c>
      <c r="F51" t="s">
        <v>365</v>
      </c>
      <c r="G51" t="s">
        <v>310</v>
      </c>
      <c r="H51" s="13">
        <v>60668331</v>
      </c>
      <c r="I51" s="13"/>
      <c r="J51" s="13"/>
      <c r="K51" s="9" t="s">
        <v>271</v>
      </c>
      <c r="L51" s="78">
        <v>45958</v>
      </c>
      <c r="N51" s="78">
        <v>45958</v>
      </c>
      <c r="O51" s="31"/>
      <c r="P51" s="9"/>
      <c r="Q51" s="9">
        <f>COUNTIF(Tabela4[[#All],[Cenário]],Tabela4[[#This Row],[Cenário]])</f>
        <v>6</v>
      </c>
      <c r="R51">
        <f>COUNTIFS(Tabela4[[#All],[Cenário]],Tabela4[[#This Row],[Cenário]],Tabela4[[#All],[Status]],"Keyuser - Concluído ")</f>
        <v>5</v>
      </c>
      <c r="S51" t="str">
        <f>IF(Tabela4[[#This Row],[Tarefas por Cenário]]-Tabela4[[#This Row],[Tarefas Concluídas]]&gt;0,"Não","Sim")</f>
        <v>Não</v>
      </c>
      <c r="T51">
        <f>COUNTIFS(Tabela4[[#All],[Cenário]],Tabela4[[#This Row],[Cenário]],Tabela4[[#All],[Status]],Tabela4[[#Headers],[Elo - Em correção ]])</f>
        <v>0</v>
      </c>
      <c r="U51">
        <f>COUNTIFS(Tabela4[[#All],[Cenário]],Tabela4[[#This Row],[Cenário]],Tabela4[[#All],[Status]],Tabela4[[#Headers],[Keyuser - Aguardando tarefa precedente]])</f>
        <v>0</v>
      </c>
      <c r="V51">
        <f>COUNTIFS(Tabela4[[#All],[Cenário]],Tabela4[[#This Row],[Cenário]],Tabela4[[#All],[Status]],Tabela4[[#Headers],[Não liberado  para testes]])</f>
        <v>1</v>
      </c>
      <c r="W51" t="str">
        <f>IF(Tabela4[[#This Row],[Elo - Em correção ]]&gt;0,"Sim","Não")</f>
        <v>Não</v>
      </c>
      <c r="X51" t="str">
        <f>IF(Tabela4[[#This Row],[Keyuser - Aguardando tarefa precedente]]&gt;0,"Sim","Não")</f>
        <v>Não</v>
      </c>
      <c r="Y51" t="str">
        <f>IF(Tabela4[[#This Row],[Não liberado  para testes]]&gt;0,"Sim","Não")</f>
        <v>Sim</v>
      </c>
      <c r="Z51" t="str">
        <f ca="1">IF(Tabela4[[#This Row],[Status]]="Keyuser - Pendente",NETWORKDAYS(Tabela4[[#This Row],[Dt Inicial]],TODAY()),"")</f>
        <v/>
      </c>
      <c r="AA51" t="b">
        <f>AND(Tabela4[[#This Row],[Status]]="Keyuser - Aguardando tarefa precedente",K50="Keyuser - Concluído ")</f>
        <v>0</v>
      </c>
    </row>
    <row r="52" spans="1:27" x14ac:dyDescent="0.25">
      <c r="A52" t="str">
        <f>"OUT-"&amp;IFERROR(MID(Tabela4[[#This Row],[Cenário]],SEARCH("(",Tabela4[[#This Row],[Cenário]])+1,SEARCH(")",Tabela4[[#This Row],[Cenário]])-SEARCH("(",Tabela4[[#This Row],[Cenário]])-1),"")&amp;"_"&amp;ROW()</f>
        <v>OUT-YDEV_52</v>
      </c>
      <c r="B52" t="s">
        <v>358</v>
      </c>
      <c r="C52" t="s">
        <v>396</v>
      </c>
      <c r="D52" t="s">
        <v>368</v>
      </c>
      <c r="E52">
        <v>3</v>
      </c>
      <c r="F52" t="s">
        <v>368</v>
      </c>
      <c r="G52" t="s">
        <v>377</v>
      </c>
      <c r="H52" s="13" t="s">
        <v>397</v>
      </c>
      <c r="I52" s="13"/>
      <c r="J52" s="13"/>
      <c r="K52" s="9" t="s">
        <v>271</v>
      </c>
      <c r="L52" s="78">
        <v>45959</v>
      </c>
      <c r="N52" s="78">
        <v>45959</v>
      </c>
      <c r="O52" s="31" t="s">
        <v>398</v>
      </c>
      <c r="P52" s="9"/>
      <c r="Q52" s="9">
        <f>COUNTIF(Tabela4[[#All],[Cenário]],Tabela4[[#This Row],[Cenário]])</f>
        <v>6</v>
      </c>
      <c r="R52">
        <f>COUNTIFS(Tabela4[[#All],[Cenário]],Tabela4[[#This Row],[Cenário]],Tabela4[[#All],[Status]],"Keyuser - Concluído ")</f>
        <v>5</v>
      </c>
      <c r="S52" t="str">
        <f>IF(Tabela4[[#This Row],[Tarefas por Cenário]]-Tabela4[[#This Row],[Tarefas Concluídas]]&gt;0,"Não","Sim")</f>
        <v>Não</v>
      </c>
      <c r="T52">
        <f>COUNTIFS(Tabela4[[#All],[Cenário]],Tabela4[[#This Row],[Cenário]],Tabela4[[#All],[Status]],Tabela4[[#Headers],[Elo - Em correção ]])</f>
        <v>0</v>
      </c>
      <c r="U52">
        <f>COUNTIFS(Tabela4[[#All],[Cenário]],Tabela4[[#This Row],[Cenário]],Tabela4[[#All],[Status]],Tabela4[[#Headers],[Keyuser - Aguardando tarefa precedente]])</f>
        <v>0</v>
      </c>
      <c r="V52">
        <f>COUNTIFS(Tabela4[[#All],[Cenário]],Tabela4[[#This Row],[Cenário]],Tabela4[[#All],[Status]],Tabela4[[#Headers],[Não liberado  para testes]])</f>
        <v>1</v>
      </c>
      <c r="W52" t="str">
        <f>IF(Tabela4[[#This Row],[Elo - Em correção ]]&gt;0,"Sim","Não")</f>
        <v>Não</v>
      </c>
      <c r="X52" t="str">
        <f>IF(Tabela4[[#This Row],[Keyuser - Aguardando tarefa precedente]]&gt;0,"Sim","Não")</f>
        <v>Não</v>
      </c>
      <c r="Y52" t="str">
        <f>IF(Tabela4[[#This Row],[Não liberado  para testes]]&gt;0,"Sim","Não")</f>
        <v>Sim</v>
      </c>
      <c r="Z52" t="str">
        <f ca="1">IF(Tabela4[[#This Row],[Status]]="Keyuser - Pendente",NETWORKDAYS(Tabela4[[#This Row],[Dt Inicial]],TODAY()),"")</f>
        <v/>
      </c>
      <c r="AA52" t="b">
        <f>AND(Tabela4[[#This Row],[Status]]="Keyuser - Aguardando tarefa precedente",K51="Keyuser - Concluído ")</f>
        <v>0</v>
      </c>
    </row>
    <row r="53" spans="1:27" x14ac:dyDescent="0.25">
      <c r="A53" t="str">
        <f>"OUT-"&amp;IFERROR(MID(Tabela4[[#This Row],[Cenário]],SEARCH("(",Tabela4[[#This Row],[Cenário]])+1,SEARCH(")",Tabela4[[#This Row],[Cenário]])-SEARCH("(",Tabela4[[#This Row],[Cenário]])-1),"")&amp;"_"&amp;ROW()</f>
        <v>OUT-YDEV_53</v>
      </c>
      <c r="B53" t="s">
        <v>358</v>
      </c>
      <c r="C53" t="s">
        <v>396</v>
      </c>
      <c r="D53" t="s">
        <v>371</v>
      </c>
      <c r="E53">
        <v>4</v>
      </c>
      <c r="F53" t="s">
        <v>372</v>
      </c>
      <c r="G53" t="s">
        <v>287</v>
      </c>
      <c r="H53" s="13" t="s">
        <v>397</v>
      </c>
      <c r="I53" s="14"/>
      <c r="J53" s="14"/>
      <c r="K53" s="9" t="s">
        <v>271</v>
      </c>
      <c r="L53" s="78">
        <v>45959</v>
      </c>
      <c r="N53" s="78">
        <v>45959</v>
      </c>
      <c r="O53" s="31"/>
      <c r="P53" s="9"/>
      <c r="Q53" s="9">
        <f>COUNTIF(Tabela4[[#All],[Cenário]],Tabela4[[#This Row],[Cenário]])</f>
        <v>6</v>
      </c>
      <c r="R53">
        <f>COUNTIFS(Tabela4[[#All],[Cenário]],Tabela4[[#This Row],[Cenário]],Tabela4[[#All],[Status]],"Keyuser - Concluído ")</f>
        <v>5</v>
      </c>
      <c r="S53" t="str">
        <f>IF(Tabela4[[#This Row],[Tarefas por Cenário]]-Tabela4[[#This Row],[Tarefas Concluídas]]&gt;0,"Não","Sim")</f>
        <v>Não</v>
      </c>
      <c r="T53">
        <f>COUNTIFS(Tabela4[[#All],[Cenário]],Tabela4[[#This Row],[Cenário]],Tabela4[[#All],[Status]],Tabela4[[#Headers],[Elo - Em correção ]])</f>
        <v>0</v>
      </c>
      <c r="U53">
        <f>COUNTIFS(Tabela4[[#All],[Cenário]],Tabela4[[#This Row],[Cenário]],Tabela4[[#All],[Status]],Tabela4[[#Headers],[Keyuser - Aguardando tarefa precedente]])</f>
        <v>0</v>
      </c>
      <c r="V53">
        <f>COUNTIFS(Tabela4[[#All],[Cenário]],Tabela4[[#This Row],[Cenário]],Tabela4[[#All],[Status]],Tabela4[[#Headers],[Não liberado  para testes]])</f>
        <v>1</v>
      </c>
      <c r="W53" t="str">
        <f>IF(Tabela4[[#This Row],[Elo - Em correção ]]&gt;0,"Sim","Não")</f>
        <v>Não</v>
      </c>
      <c r="X53" t="str">
        <f>IF(Tabela4[[#This Row],[Keyuser - Aguardando tarefa precedente]]&gt;0,"Sim","Não")</f>
        <v>Não</v>
      </c>
      <c r="Y53" t="str">
        <f>IF(Tabela4[[#This Row],[Não liberado  para testes]]&gt;0,"Sim","Não")</f>
        <v>Sim</v>
      </c>
      <c r="Z53" t="str">
        <f ca="1">IF(Tabela4[[#This Row],[Status]]="Keyuser - Pendente",NETWORKDAYS(Tabela4[[#This Row],[Dt Inicial]],TODAY()),"")</f>
        <v/>
      </c>
      <c r="AA53" t="b">
        <f>AND(Tabela4[[#This Row],[Status]]="Keyuser - Aguardando tarefa precedente",K52="Keyuser - Concluído ")</f>
        <v>0</v>
      </c>
    </row>
    <row r="54" spans="1:27" x14ac:dyDescent="0.25">
      <c r="A54" t="str">
        <f>"OUT-"&amp;IFERROR(MID(Tabela4[[#This Row],[Cenário]],SEARCH("(",Tabela4[[#This Row],[Cenário]])+1,SEARCH(")",Tabela4[[#This Row],[Cenário]])-SEARCH("(",Tabela4[[#This Row],[Cenário]])-1),"")&amp;"_"&amp;ROW()</f>
        <v>OUT-YDEV_54</v>
      </c>
      <c r="B54" t="s">
        <v>358</v>
      </c>
      <c r="C54" t="s">
        <v>396</v>
      </c>
      <c r="D54" t="s">
        <v>373</v>
      </c>
      <c r="E54">
        <v>5</v>
      </c>
      <c r="F54" t="s">
        <v>373</v>
      </c>
      <c r="G54" t="s">
        <v>283</v>
      </c>
      <c r="H54" s="13" t="s">
        <v>397</v>
      </c>
      <c r="I54" s="15"/>
      <c r="J54" s="15"/>
      <c r="K54" s="9" t="s">
        <v>271</v>
      </c>
      <c r="L54" s="78">
        <v>45960</v>
      </c>
      <c r="N54" s="78">
        <v>45960</v>
      </c>
      <c r="O54" s="31"/>
      <c r="P54" s="9"/>
      <c r="Q54" s="9">
        <f>COUNTIF(Tabela4[[#All],[Cenário]],Tabela4[[#This Row],[Cenário]])</f>
        <v>6</v>
      </c>
      <c r="R54">
        <f>COUNTIFS(Tabela4[[#All],[Cenário]],Tabela4[[#This Row],[Cenário]],Tabela4[[#All],[Status]],"Keyuser - Concluído ")</f>
        <v>5</v>
      </c>
      <c r="S54" t="str">
        <f>IF(Tabela4[[#This Row],[Tarefas por Cenário]]-Tabela4[[#This Row],[Tarefas Concluídas]]&gt;0,"Não","Sim")</f>
        <v>Não</v>
      </c>
      <c r="T54">
        <f>COUNTIFS(Tabela4[[#All],[Cenário]],Tabela4[[#This Row],[Cenário]],Tabela4[[#All],[Status]],Tabela4[[#Headers],[Elo - Em correção ]])</f>
        <v>0</v>
      </c>
      <c r="U54">
        <f>COUNTIFS(Tabela4[[#All],[Cenário]],Tabela4[[#This Row],[Cenário]],Tabela4[[#All],[Status]],Tabela4[[#Headers],[Keyuser - Aguardando tarefa precedente]])</f>
        <v>0</v>
      </c>
      <c r="V54">
        <f>COUNTIFS(Tabela4[[#All],[Cenário]],Tabela4[[#This Row],[Cenário]],Tabela4[[#All],[Status]],Tabela4[[#Headers],[Não liberado  para testes]])</f>
        <v>1</v>
      </c>
      <c r="W54" t="str">
        <f>IF(Tabela4[[#This Row],[Elo - Em correção ]]&gt;0,"Sim","Não")</f>
        <v>Não</v>
      </c>
      <c r="X54" t="str">
        <f>IF(Tabela4[[#This Row],[Keyuser - Aguardando tarefa precedente]]&gt;0,"Sim","Não")</f>
        <v>Não</v>
      </c>
      <c r="Y54" t="str">
        <f>IF(Tabela4[[#This Row],[Não liberado  para testes]]&gt;0,"Sim","Não")</f>
        <v>Sim</v>
      </c>
      <c r="Z54" t="str">
        <f ca="1">IF(Tabela4[[#This Row],[Status]]="Keyuser - Pendente",NETWORKDAYS(Tabela4[[#This Row],[Dt Inicial]],TODAY()),"")</f>
        <v/>
      </c>
      <c r="AA54" t="b">
        <f>AND(Tabela4[[#This Row],[Status]]="Keyuser - Aguardando tarefa precedente",K53="Keyuser - Concluído ")</f>
        <v>0</v>
      </c>
    </row>
    <row r="55" spans="1:27" x14ac:dyDescent="0.25">
      <c r="A55" t="str">
        <f>"OUT-"&amp;IFERROR(MID(Tabela4[[#This Row],[Cenário]],SEARCH("(",Tabela4[[#This Row],[Cenário]])+1,SEARCH(")",Tabela4[[#This Row],[Cenário]])-SEARCH("(",Tabela4[[#This Row],[Cenário]])-1),"")&amp;"_"&amp;ROW()</f>
        <v>OUT-YDEV_55</v>
      </c>
      <c r="B55" t="s">
        <v>374</v>
      </c>
      <c r="C55" t="s">
        <v>396</v>
      </c>
      <c r="D55" t="s">
        <v>286</v>
      </c>
      <c r="E55">
        <v>6</v>
      </c>
      <c r="F55" t="s">
        <v>286</v>
      </c>
      <c r="G55" t="s">
        <v>287</v>
      </c>
      <c r="H55" s="13"/>
      <c r="I55" s="13"/>
      <c r="J55" s="13"/>
      <c r="K55" s="9" t="s">
        <v>262</v>
      </c>
      <c r="N55" s="78"/>
      <c r="O55" s="31"/>
      <c r="P55" s="9"/>
      <c r="Q55" s="9">
        <f>COUNTIF(Tabela4[[#All],[Cenário]],Tabela4[[#This Row],[Cenário]])</f>
        <v>6</v>
      </c>
      <c r="R55">
        <f>COUNTIFS(Tabela4[[#All],[Cenário]],Tabela4[[#This Row],[Cenário]],Tabela4[[#All],[Status]],"Keyuser - Concluído ")</f>
        <v>5</v>
      </c>
      <c r="S55" t="str">
        <f>IF(Tabela4[[#This Row],[Tarefas por Cenário]]-Tabela4[[#This Row],[Tarefas Concluídas]]&gt;0,"Não","Sim")</f>
        <v>Não</v>
      </c>
      <c r="T55">
        <f>COUNTIFS(Tabela4[[#All],[Cenário]],Tabela4[[#This Row],[Cenário]],Tabela4[[#All],[Status]],Tabela4[[#Headers],[Elo - Em correção ]])</f>
        <v>0</v>
      </c>
      <c r="U55">
        <f>COUNTIFS(Tabela4[[#All],[Cenário]],Tabela4[[#This Row],[Cenário]],Tabela4[[#All],[Status]],Tabela4[[#Headers],[Keyuser - Aguardando tarefa precedente]])</f>
        <v>0</v>
      </c>
      <c r="V55">
        <f>COUNTIFS(Tabela4[[#All],[Cenário]],Tabela4[[#This Row],[Cenário]],Tabela4[[#All],[Status]],Tabela4[[#Headers],[Não liberado  para testes]])</f>
        <v>1</v>
      </c>
      <c r="W55" t="str">
        <f>IF(Tabela4[[#This Row],[Elo - Em correção ]]&gt;0,"Sim","Não")</f>
        <v>Não</v>
      </c>
      <c r="X55" t="str">
        <f>IF(Tabela4[[#This Row],[Keyuser - Aguardando tarefa precedente]]&gt;0,"Sim","Não")</f>
        <v>Não</v>
      </c>
      <c r="Y55" t="str">
        <f>IF(Tabela4[[#This Row],[Não liberado  para testes]]&gt;0,"Sim","Não")</f>
        <v>Sim</v>
      </c>
      <c r="Z55" t="str">
        <f ca="1">IF(Tabela4[[#This Row],[Status]]="Keyuser - Pendente",NETWORKDAYS(Tabela4[[#This Row],[Dt Inicial]],TODAY()),"")</f>
        <v/>
      </c>
      <c r="AA55" t="b">
        <f>AND(Tabela4[[#This Row],[Status]]="Keyuser - Aguardando tarefa precedente",K54="Keyuser - Concluído ")</f>
        <v>0</v>
      </c>
    </row>
    <row r="56" spans="1:27" x14ac:dyDescent="0.25">
      <c r="A56" t="str">
        <f>"OUT-"&amp;IFERROR(MID(Tabela4[[#This Row],[Cenário]],SEARCH("(",Tabela4[[#This Row],[Cenário]])+1,SEARCH(")",Tabela4[[#This Row],[Cenário]])-SEARCH("(",Tabela4[[#This Row],[Cenário]])-1),"")&amp;"_"&amp;ROW()</f>
        <v>OUT-YRET_56</v>
      </c>
      <c r="B56" t="s">
        <v>358</v>
      </c>
      <c r="C56" t="s">
        <v>399</v>
      </c>
      <c r="D56" t="s">
        <v>360</v>
      </c>
      <c r="E56">
        <v>1</v>
      </c>
      <c r="F56" t="s">
        <v>360</v>
      </c>
      <c r="G56" t="s">
        <v>377</v>
      </c>
      <c r="H56" s="13">
        <v>60668338</v>
      </c>
      <c r="I56" s="13"/>
      <c r="J56" s="13"/>
      <c r="K56" s="9" t="s">
        <v>271</v>
      </c>
      <c r="L56" s="78">
        <v>45958</v>
      </c>
      <c r="N56" s="78">
        <v>45958</v>
      </c>
      <c r="O56" s="31"/>
      <c r="P56" s="9"/>
      <c r="Q56" s="9">
        <f>COUNTIF(Tabela4[[#All],[Cenário]],Tabela4[[#This Row],[Cenário]])</f>
        <v>6</v>
      </c>
      <c r="R56">
        <f>COUNTIFS(Tabela4[[#All],[Cenário]],Tabela4[[#This Row],[Cenário]],Tabela4[[#All],[Status]],"Keyuser - Concluído ")</f>
        <v>5</v>
      </c>
      <c r="S56" t="str">
        <f>IF(Tabela4[[#This Row],[Tarefas por Cenário]]-Tabela4[[#This Row],[Tarefas Concluídas]]&gt;0,"Não","Sim")</f>
        <v>Não</v>
      </c>
      <c r="T56">
        <f>COUNTIFS(Tabela4[[#All],[Cenário]],Tabela4[[#This Row],[Cenário]],Tabela4[[#All],[Status]],Tabela4[[#Headers],[Elo - Em correção ]])</f>
        <v>0</v>
      </c>
      <c r="U56">
        <f>COUNTIFS(Tabela4[[#All],[Cenário]],Tabela4[[#This Row],[Cenário]],Tabela4[[#All],[Status]],Tabela4[[#Headers],[Keyuser - Aguardando tarefa precedente]])</f>
        <v>0</v>
      </c>
      <c r="V56">
        <f>COUNTIFS(Tabela4[[#All],[Cenário]],Tabela4[[#This Row],[Cenário]],Tabela4[[#All],[Status]],Tabela4[[#Headers],[Não liberado  para testes]])</f>
        <v>1</v>
      </c>
      <c r="W56" t="str">
        <f>IF(Tabela4[[#This Row],[Elo - Em correção ]]&gt;0,"Sim","Não")</f>
        <v>Não</v>
      </c>
      <c r="X56" t="str">
        <f>IF(Tabela4[[#This Row],[Keyuser - Aguardando tarefa precedente]]&gt;0,"Sim","Não")</f>
        <v>Não</v>
      </c>
      <c r="Y56" t="str">
        <f>IF(Tabela4[[#This Row],[Não liberado  para testes]]&gt;0,"Sim","Não")</f>
        <v>Sim</v>
      </c>
      <c r="Z56" t="str">
        <f ca="1">IF(Tabela4[[#This Row],[Status]]="Keyuser - Pendente",NETWORKDAYS(Tabela4[[#This Row],[Dt Inicial]],TODAY()),"")</f>
        <v/>
      </c>
      <c r="AA56" t="b">
        <f>AND(Tabela4[[#This Row],[Status]]="Keyuser - Aguardando tarefa precedente",K55="Keyuser - Concluído ")</f>
        <v>0</v>
      </c>
    </row>
    <row r="57" spans="1:27" x14ac:dyDescent="0.25">
      <c r="A57" t="str">
        <f>"OUT-"&amp;IFERROR(MID(Tabela4[[#This Row],[Cenário]],SEARCH("(",Tabela4[[#This Row],[Cenário]])+1,SEARCH(")",Tabela4[[#This Row],[Cenário]])-SEARCH("(",Tabela4[[#This Row],[Cenário]])-1),"")&amp;"_"&amp;ROW()</f>
        <v>OUT-YRET_57</v>
      </c>
      <c r="B57" t="s">
        <v>358</v>
      </c>
      <c r="C57" t="s">
        <v>399</v>
      </c>
      <c r="D57" t="s">
        <v>365</v>
      </c>
      <c r="E57">
        <v>2</v>
      </c>
      <c r="F57" t="s">
        <v>365</v>
      </c>
      <c r="G57" t="s">
        <v>310</v>
      </c>
      <c r="H57" s="13">
        <v>60668338</v>
      </c>
      <c r="I57" s="13"/>
      <c r="J57" s="13"/>
      <c r="K57" s="9" t="s">
        <v>271</v>
      </c>
      <c r="L57" s="78">
        <v>45958</v>
      </c>
      <c r="N57" s="78">
        <v>45958</v>
      </c>
      <c r="O57" s="31"/>
      <c r="P57" s="9"/>
      <c r="Q57" s="9">
        <f>COUNTIF(Tabela4[[#All],[Cenário]],Tabela4[[#This Row],[Cenário]])</f>
        <v>6</v>
      </c>
      <c r="R57">
        <f>COUNTIFS(Tabela4[[#All],[Cenário]],Tabela4[[#This Row],[Cenário]],Tabela4[[#All],[Status]],"Keyuser - Concluído ")</f>
        <v>5</v>
      </c>
      <c r="S57" t="str">
        <f>IF(Tabela4[[#This Row],[Tarefas por Cenário]]-Tabela4[[#This Row],[Tarefas Concluídas]]&gt;0,"Não","Sim")</f>
        <v>Não</v>
      </c>
      <c r="T57">
        <f>COUNTIFS(Tabela4[[#All],[Cenário]],Tabela4[[#This Row],[Cenário]],Tabela4[[#All],[Status]],Tabela4[[#Headers],[Elo - Em correção ]])</f>
        <v>0</v>
      </c>
      <c r="U57">
        <f>COUNTIFS(Tabela4[[#All],[Cenário]],Tabela4[[#This Row],[Cenário]],Tabela4[[#All],[Status]],Tabela4[[#Headers],[Keyuser - Aguardando tarefa precedente]])</f>
        <v>0</v>
      </c>
      <c r="V57">
        <f>COUNTIFS(Tabela4[[#All],[Cenário]],Tabela4[[#This Row],[Cenário]],Tabela4[[#All],[Status]],Tabela4[[#Headers],[Não liberado  para testes]])</f>
        <v>1</v>
      </c>
      <c r="W57" t="str">
        <f>IF(Tabela4[[#This Row],[Elo - Em correção ]]&gt;0,"Sim","Não")</f>
        <v>Não</v>
      </c>
      <c r="X57" t="str">
        <f>IF(Tabela4[[#This Row],[Keyuser - Aguardando tarefa precedente]]&gt;0,"Sim","Não")</f>
        <v>Não</v>
      </c>
      <c r="Y57" t="str">
        <f>IF(Tabela4[[#This Row],[Não liberado  para testes]]&gt;0,"Sim","Não")</f>
        <v>Sim</v>
      </c>
      <c r="Z57" t="str">
        <f ca="1">IF(Tabela4[[#This Row],[Status]]="Keyuser - Pendente",NETWORKDAYS(Tabela4[[#This Row],[Dt Inicial]],TODAY()),"")</f>
        <v/>
      </c>
      <c r="AA57" t="b">
        <f>AND(Tabela4[[#This Row],[Status]]="Keyuser - Aguardando tarefa precedente",K56="Keyuser - Concluído ")</f>
        <v>0</v>
      </c>
    </row>
    <row r="58" spans="1:27" x14ac:dyDescent="0.25">
      <c r="A58" t="str">
        <f>"OUT-"&amp;IFERROR(MID(Tabela4[[#This Row],[Cenário]],SEARCH("(",Tabela4[[#This Row],[Cenário]])+1,SEARCH(")",Tabela4[[#This Row],[Cenário]])-SEARCH("(",Tabela4[[#This Row],[Cenário]])-1),"")&amp;"_"&amp;ROW()</f>
        <v>OUT-YRET_58</v>
      </c>
      <c r="B58" t="s">
        <v>358</v>
      </c>
      <c r="C58" t="s">
        <v>399</v>
      </c>
      <c r="D58" t="s">
        <v>368</v>
      </c>
      <c r="E58">
        <v>3</v>
      </c>
      <c r="F58" t="s">
        <v>368</v>
      </c>
      <c r="G58" t="s">
        <v>377</v>
      </c>
      <c r="H58" s="13" t="s">
        <v>400</v>
      </c>
      <c r="I58" s="13"/>
      <c r="J58" s="13"/>
      <c r="K58" s="9" t="s">
        <v>271</v>
      </c>
      <c r="L58" s="78">
        <v>45959</v>
      </c>
      <c r="N58" s="78">
        <v>45959</v>
      </c>
      <c r="O58" s="31" t="s">
        <v>401</v>
      </c>
      <c r="P58" s="9"/>
      <c r="Q58" s="9">
        <f>COUNTIF(Tabela4[[#All],[Cenário]],Tabela4[[#This Row],[Cenário]])</f>
        <v>6</v>
      </c>
      <c r="R58">
        <f>COUNTIFS(Tabela4[[#All],[Cenário]],Tabela4[[#This Row],[Cenário]],Tabela4[[#All],[Status]],"Keyuser - Concluído ")</f>
        <v>5</v>
      </c>
      <c r="S58" t="str">
        <f>IF(Tabela4[[#This Row],[Tarefas por Cenário]]-Tabela4[[#This Row],[Tarefas Concluídas]]&gt;0,"Não","Sim")</f>
        <v>Não</v>
      </c>
      <c r="T58">
        <f>COUNTIFS(Tabela4[[#All],[Cenário]],Tabela4[[#This Row],[Cenário]],Tabela4[[#All],[Status]],Tabela4[[#Headers],[Elo - Em correção ]])</f>
        <v>0</v>
      </c>
      <c r="U58">
        <f>COUNTIFS(Tabela4[[#All],[Cenário]],Tabela4[[#This Row],[Cenário]],Tabela4[[#All],[Status]],Tabela4[[#Headers],[Keyuser - Aguardando tarefa precedente]])</f>
        <v>0</v>
      </c>
      <c r="V58">
        <f>COUNTIFS(Tabela4[[#All],[Cenário]],Tabela4[[#This Row],[Cenário]],Tabela4[[#All],[Status]],Tabela4[[#Headers],[Não liberado  para testes]])</f>
        <v>1</v>
      </c>
      <c r="W58" t="str">
        <f>IF(Tabela4[[#This Row],[Elo - Em correção ]]&gt;0,"Sim","Não")</f>
        <v>Não</v>
      </c>
      <c r="X58" t="str">
        <f>IF(Tabela4[[#This Row],[Keyuser - Aguardando tarefa precedente]]&gt;0,"Sim","Não")</f>
        <v>Não</v>
      </c>
      <c r="Y58" t="str">
        <f>IF(Tabela4[[#This Row],[Não liberado  para testes]]&gt;0,"Sim","Não")</f>
        <v>Sim</v>
      </c>
      <c r="Z58" t="str">
        <f ca="1">IF(Tabela4[[#This Row],[Status]]="Keyuser - Pendente",NETWORKDAYS(Tabela4[[#This Row],[Dt Inicial]],TODAY()),"")</f>
        <v/>
      </c>
      <c r="AA58" t="b">
        <f>AND(Tabela4[[#This Row],[Status]]="Keyuser - Aguardando tarefa precedente",K57="Keyuser - Concluído ")</f>
        <v>0</v>
      </c>
    </row>
    <row r="59" spans="1:27" x14ac:dyDescent="0.25">
      <c r="A59" t="str">
        <f>"OUT-"&amp;IFERROR(MID(Tabela4[[#This Row],[Cenário]],SEARCH("(",Tabela4[[#This Row],[Cenário]])+1,SEARCH(")",Tabela4[[#This Row],[Cenário]])-SEARCH("(",Tabela4[[#This Row],[Cenário]])-1),"")&amp;"_"&amp;ROW()</f>
        <v>OUT-YRET_59</v>
      </c>
      <c r="B59" t="s">
        <v>358</v>
      </c>
      <c r="C59" t="s">
        <v>399</v>
      </c>
      <c r="D59" t="s">
        <v>371</v>
      </c>
      <c r="E59">
        <v>4</v>
      </c>
      <c r="F59" t="s">
        <v>372</v>
      </c>
      <c r="G59" t="s">
        <v>287</v>
      </c>
      <c r="H59" s="13" t="s">
        <v>400</v>
      </c>
      <c r="I59" s="13"/>
      <c r="J59" s="13"/>
      <c r="K59" s="9" t="s">
        <v>271</v>
      </c>
      <c r="L59" s="78">
        <v>45960</v>
      </c>
      <c r="N59" s="78">
        <v>45960</v>
      </c>
      <c r="O59" s="31"/>
      <c r="P59" s="9"/>
      <c r="Q59" s="9">
        <f>COUNTIF(Tabela4[[#All],[Cenário]],Tabela4[[#This Row],[Cenário]])</f>
        <v>6</v>
      </c>
      <c r="R59">
        <f>COUNTIFS(Tabela4[[#All],[Cenário]],Tabela4[[#This Row],[Cenário]],Tabela4[[#All],[Status]],"Keyuser - Concluído ")</f>
        <v>5</v>
      </c>
      <c r="S59" t="str">
        <f>IF(Tabela4[[#This Row],[Tarefas por Cenário]]-Tabela4[[#This Row],[Tarefas Concluídas]]&gt;0,"Não","Sim")</f>
        <v>Não</v>
      </c>
      <c r="T59">
        <f>COUNTIFS(Tabela4[[#All],[Cenário]],Tabela4[[#This Row],[Cenário]],Tabela4[[#All],[Status]],Tabela4[[#Headers],[Elo - Em correção ]])</f>
        <v>0</v>
      </c>
      <c r="U59">
        <f>COUNTIFS(Tabela4[[#All],[Cenário]],Tabela4[[#This Row],[Cenário]],Tabela4[[#All],[Status]],Tabela4[[#Headers],[Keyuser - Aguardando tarefa precedente]])</f>
        <v>0</v>
      </c>
      <c r="V59">
        <f>COUNTIFS(Tabela4[[#All],[Cenário]],Tabela4[[#This Row],[Cenário]],Tabela4[[#All],[Status]],Tabela4[[#Headers],[Não liberado  para testes]])</f>
        <v>1</v>
      </c>
      <c r="W59" t="str">
        <f>IF(Tabela4[[#This Row],[Elo - Em correção ]]&gt;0,"Sim","Não")</f>
        <v>Não</v>
      </c>
      <c r="X59" t="str">
        <f>IF(Tabela4[[#This Row],[Keyuser - Aguardando tarefa precedente]]&gt;0,"Sim","Não")</f>
        <v>Não</v>
      </c>
      <c r="Y59" t="str">
        <f>IF(Tabela4[[#This Row],[Não liberado  para testes]]&gt;0,"Sim","Não")</f>
        <v>Sim</v>
      </c>
      <c r="Z59" t="str">
        <f ca="1">IF(Tabela4[[#This Row],[Status]]="Keyuser - Pendente",NETWORKDAYS(Tabela4[[#This Row],[Dt Inicial]],TODAY()),"")</f>
        <v/>
      </c>
      <c r="AA59" t="b">
        <f>AND(Tabela4[[#This Row],[Status]]="Keyuser - Aguardando tarefa precedente",K58="Keyuser - Concluído ")</f>
        <v>0</v>
      </c>
    </row>
    <row r="60" spans="1:27" x14ac:dyDescent="0.25">
      <c r="A60" t="str">
        <f>"OUT-"&amp;IFERROR(MID(Tabela4[[#This Row],[Cenário]],SEARCH("(",Tabela4[[#This Row],[Cenário]])+1,SEARCH(")",Tabela4[[#This Row],[Cenário]])-SEARCH("(",Tabela4[[#This Row],[Cenário]])-1),"")&amp;"_"&amp;ROW()</f>
        <v>OUT-YRET_60</v>
      </c>
      <c r="B60" t="s">
        <v>358</v>
      </c>
      <c r="C60" t="s">
        <v>399</v>
      </c>
      <c r="D60" t="s">
        <v>373</v>
      </c>
      <c r="E60">
        <v>5</v>
      </c>
      <c r="F60" t="s">
        <v>373</v>
      </c>
      <c r="G60" t="s">
        <v>283</v>
      </c>
      <c r="H60" s="13" t="s">
        <v>400</v>
      </c>
      <c r="I60" s="13"/>
      <c r="J60" s="13"/>
      <c r="K60" s="9" t="s">
        <v>271</v>
      </c>
      <c r="L60" s="78">
        <v>45960</v>
      </c>
      <c r="N60" s="78">
        <v>45960</v>
      </c>
      <c r="O60" s="31"/>
      <c r="P60" s="9"/>
      <c r="Q60" s="9">
        <f>COUNTIF(Tabela4[[#All],[Cenário]],Tabela4[[#This Row],[Cenário]])</f>
        <v>6</v>
      </c>
      <c r="R60">
        <f>COUNTIFS(Tabela4[[#All],[Cenário]],Tabela4[[#This Row],[Cenário]],Tabela4[[#All],[Status]],"Keyuser - Concluído ")</f>
        <v>5</v>
      </c>
      <c r="S60" t="str">
        <f>IF(Tabela4[[#This Row],[Tarefas por Cenário]]-Tabela4[[#This Row],[Tarefas Concluídas]]&gt;0,"Não","Sim")</f>
        <v>Não</v>
      </c>
      <c r="T60">
        <f>COUNTIFS(Tabela4[[#All],[Cenário]],Tabela4[[#This Row],[Cenário]],Tabela4[[#All],[Status]],Tabela4[[#Headers],[Elo - Em correção ]])</f>
        <v>0</v>
      </c>
      <c r="U60">
        <f>COUNTIFS(Tabela4[[#All],[Cenário]],Tabela4[[#This Row],[Cenário]],Tabela4[[#All],[Status]],Tabela4[[#Headers],[Keyuser - Aguardando tarefa precedente]])</f>
        <v>0</v>
      </c>
      <c r="V60">
        <f>COUNTIFS(Tabela4[[#All],[Cenário]],Tabela4[[#This Row],[Cenário]],Tabela4[[#All],[Status]],Tabela4[[#Headers],[Não liberado  para testes]])</f>
        <v>1</v>
      </c>
      <c r="W60" t="str">
        <f>IF(Tabela4[[#This Row],[Elo - Em correção ]]&gt;0,"Sim","Não")</f>
        <v>Não</v>
      </c>
      <c r="X60" t="str">
        <f>IF(Tabela4[[#This Row],[Keyuser - Aguardando tarefa precedente]]&gt;0,"Sim","Não")</f>
        <v>Não</v>
      </c>
      <c r="Y60" t="str">
        <f>IF(Tabela4[[#This Row],[Não liberado  para testes]]&gt;0,"Sim","Não")</f>
        <v>Sim</v>
      </c>
      <c r="Z60" t="str">
        <f ca="1">IF(Tabela4[[#This Row],[Status]]="Keyuser - Pendente",NETWORKDAYS(Tabela4[[#This Row],[Dt Inicial]],TODAY()),"")</f>
        <v/>
      </c>
      <c r="AA60" t="b">
        <f>AND(Tabela4[[#This Row],[Status]]="Keyuser - Aguardando tarefa precedente",K59="Keyuser - Concluído ")</f>
        <v>0</v>
      </c>
    </row>
    <row r="61" spans="1:27" x14ac:dyDescent="0.25">
      <c r="A61" t="str">
        <f>"OUT-"&amp;IFERROR(MID(Tabela4[[#This Row],[Cenário]],SEARCH("(",Tabela4[[#This Row],[Cenário]])+1,SEARCH(")",Tabela4[[#This Row],[Cenário]])-SEARCH("(",Tabela4[[#This Row],[Cenário]])-1),"")&amp;"_"&amp;ROW()</f>
        <v>OUT-YRET_61</v>
      </c>
      <c r="B61" t="s">
        <v>374</v>
      </c>
      <c r="C61" t="s">
        <v>399</v>
      </c>
      <c r="D61" t="s">
        <v>286</v>
      </c>
      <c r="E61">
        <v>6</v>
      </c>
      <c r="F61" t="s">
        <v>286</v>
      </c>
      <c r="G61" t="s">
        <v>287</v>
      </c>
      <c r="H61" s="13"/>
      <c r="I61" s="13"/>
      <c r="J61" s="13"/>
      <c r="K61" s="9" t="s">
        <v>262</v>
      </c>
      <c r="N61" s="78"/>
      <c r="O61" s="31"/>
      <c r="P61" s="9"/>
      <c r="Q61" s="9">
        <f>COUNTIF(Tabela4[[#All],[Cenário]],Tabela4[[#This Row],[Cenário]])</f>
        <v>6</v>
      </c>
      <c r="R61">
        <f>COUNTIFS(Tabela4[[#All],[Cenário]],Tabela4[[#This Row],[Cenário]],Tabela4[[#All],[Status]],"Keyuser - Concluído ")</f>
        <v>5</v>
      </c>
      <c r="S61" t="str">
        <f>IF(Tabela4[[#This Row],[Tarefas por Cenário]]-Tabela4[[#This Row],[Tarefas Concluídas]]&gt;0,"Não","Sim")</f>
        <v>Não</v>
      </c>
      <c r="T61">
        <f>COUNTIFS(Tabela4[[#All],[Cenário]],Tabela4[[#This Row],[Cenário]],Tabela4[[#All],[Status]],Tabela4[[#Headers],[Elo - Em correção ]])</f>
        <v>0</v>
      </c>
      <c r="U61">
        <f>COUNTIFS(Tabela4[[#All],[Cenário]],Tabela4[[#This Row],[Cenário]],Tabela4[[#All],[Status]],Tabela4[[#Headers],[Keyuser - Aguardando tarefa precedente]])</f>
        <v>0</v>
      </c>
      <c r="V61">
        <f>COUNTIFS(Tabela4[[#All],[Cenário]],Tabela4[[#This Row],[Cenário]],Tabela4[[#All],[Status]],Tabela4[[#Headers],[Não liberado  para testes]])</f>
        <v>1</v>
      </c>
      <c r="W61" t="str">
        <f>IF(Tabela4[[#This Row],[Elo - Em correção ]]&gt;0,"Sim","Não")</f>
        <v>Não</v>
      </c>
      <c r="X61" t="str">
        <f>IF(Tabela4[[#This Row],[Keyuser - Aguardando tarefa precedente]]&gt;0,"Sim","Não")</f>
        <v>Não</v>
      </c>
      <c r="Y61" t="str">
        <f>IF(Tabela4[[#This Row],[Não liberado  para testes]]&gt;0,"Sim","Não")</f>
        <v>Sim</v>
      </c>
      <c r="Z61" t="str">
        <f ca="1">IF(Tabela4[[#This Row],[Status]]="Keyuser - Pendente",NETWORKDAYS(Tabela4[[#This Row],[Dt Inicial]],TODAY()),"")</f>
        <v/>
      </c>
      <c r="AA61" t="b">
        <f>AND(Tabela4[[#This Row],[Status]]="Keyuser - Aguardando tarefa precedente",K60="Keyuser - Concluído ")</f>
        <v>0</v>
      </c>
    </row>
    <row r="62" spans="1:27" x14ac:dyDescent="0.25">
      <c r="A62" t="str">
        <f>"OUT-"&amp;IFERROR(MID(Tabela4[[#This Row],[Cenário]],SEARCH("(",Tabela4[[#This Row],[Cenário]])+1,SEARCH(")",Tabela4[[#This Row],[Cenário]])-SEARCH("(",Tabela4[[#This Row],[Cenário]])-1),"")&amp;"_"&amp;ROW()</f>
        <v>OUT-Y002_62</v>
      </c>
      <c r="B62" t="s">
        <v>358</v>
      </c>
      <c r="C62" t="s">
        <v>402</v>
      </c>
      <c r="D62" t="s">
        <v>360</v>
      </c>
      <c r="E62">
        <v>1</v>
      </c>
      <c r="F62" t="s">
        <v>360</v>
      </c>
      <c r="G62" t="s">
        <v>361</v>
      </c>
      <c r="H62" s="18" t="s">
        <v>403</v>
      </c>
      <c r="I62" s="9" t="s">
        <v>404</v>
      </c>
      <c r="J62" s="9" t="s">
        <v>364</v>
      </c>
      <c r="K62" s="9" t="s">
        <v>271</v>
      </c>
      <c r="L62" s="78">
        <v>45951</v>
      </c>
      <c r="N62" s="78">
        <v>45951</v>
      </c>
      <c r="O62" s="31"/>
      <c r="P62" s="9"/>
      <c r="Q62" s="9">
        <f>COUNTIF(Tabela4[[#All],[Cenário]],Tabela4[[#This Row],[Cenário]])</f>
        <v>8</v>
      </c>
      <c r="R62">
        <f>COUNTIFS(Tabela4[[#All],[Cenário]],Tabela4[[#This Row],[Cenário]],Tabela4[[#All],[Status]],"Keyuser - Concluído ")</f>
        <v>7</v>
      </c>
      <c r="S62" t="str">
        <f>IF(Tabela4[[#This Row],[Tarefas por Cenário]]-Tabela4[[#This Row],[Tarefas Concluídas]]&gt;0,"Não","Sim")</f>
        <v>Não</v>
      </c>
      <c r="T62">
        <f>COUNTIFS(Tabela4[[#All],[Cenário]],Tabela4[[#This Row],[Cenário]],Tabela4[[#All],[Status]],Tabela4[[#Headers],[Elo - Em correção ]])</f>
        <v>0</v>
      </c>
      <c r="U62">
        <f>COUNTIFS(Tabela4[[#All],[Cenário]],Tabela4[[#This Row],[Cenário]],Tabela4[[#All],[Status]],Tabela4[[#Headers],[Keyuser - Aguardando tarefa precedente]])</f>
        <v>0</v>
      </c>
      <c r="V62">
        <f>COUNTIFS(Tabela4[[#All],[Cenário]],Tabela4[[#This Row],[Cenário]],Tabela4[[#All],[Status]],Tabela4[[#Headers],[Não liberado  para testes]])</f>
        <v>1</v>
      </c>
      <c r="W62" t="str">
        <f>IF(Tabela4[[#This Row],[Elo - Em correção ]]&gt;0,"Sim","Não")</f>
        <v>Não</v>
      </c>
      <c r="X62" t="str">
        <f>IF(Tabela4[[#This Row],[Keyuser - Aguardando tarefa precedente]]&gt;0,"Sim","Não")</f>
        <v>Não</v>
      </c>
      <c r="Y62" t="str">
        <f>IF(Tabela4[[#This Row],[Não liberado  para testes]]&gt;0,"Sim","Não")</f>
        <v>Sim</v>
      </c>
      <c r="Z62" t="str">
        <f ca="1">IF(Tabela4[[#This Row],[Status]]="Keyuser - Pendente",NETWORKDAYS(Tabela4[[#This Row],[Dt Inicial]],TODAY()),"")</f>
        <v/>
      </c>
      <c r="AA62" t="b">
        <f>AND(Tabela4[[#This Row],[Status]]="Keyuser - Aguardando tarefa precedente",K61="Keyuser - Concluído ")</f>
        <v>0</v>
      </c>
    </row>
    <row r="63" spans="1:27" x14ac:dyDescent="0.25">
      <c r="A63" t="str">
        <f>"OUT-"&amp;IFERROR(MID(Tabela4[[#This Row],[Cenário]],SEARCH("(",Tabela4[[#This Row],[Cenário]])+1,SEARCH(")",Tabela4[[#This Row],[Cenário]])-SEARCH("(",Tabela4[[#This Row],[Cenário]])-1),"")&amp;"_"&amp;ROW()</f>
        <v>OUT-Y002_63</v>
      </c>
      <c r="B63" t="s">
        <v>358</v>
      </c>
      <c r="C63" t="s">
        <v>402</v>
      </c>
      <c r="D63" t="s">
        <v>365</v>
      </c>
      <c r="E63">
        <v>2</v>
      </c>
      <c r="F63" t="s">
        <v>365</v>
      </c>
      <c r="G63" t="s">
        <v>310</v>
      </c>
      <c r="H63" s="18" t="s">
        <v>403</v>
      </c>
      <c r="I63" s="9" t="s">
        <v>404</v>
      </c>
      <c r="J63" s="9" t="s">
        <v>364</v>
      </c>
      <c r="K63" s="9" t="s">
        <v>271</v>
      </c>
      <c r="L63" s="78">
        <v>45951</v>
      </c>
      <c r="N63" s="78">
        <v>45951</v>
      </c>
      <c r="O63" s="31"/>
      <c r="P63" s="9"/>
      <c r="Q63" s="9">
        <f>COUNTIF(Tabela4[[#All],[Cenário]],Tabela4[[#This Row],[Cenário]])</f>
        <v>8</v>
      </c>
      <c r="R63">
        <f>COUNTIFS(Tabela4[[#All],[Cenário]],Tabela4[[#This Row],[Cenário]],Tabela4[[#All],[Status]],"Keyuser - Concluído ")</f>
        <v>7</v>
      </c>
      <c r="S63" t="str">
        <f>IF(Tabela4[[#This Row],[Tarefas por Cenário]]-Tabela4[[#This Row],[Tarefas Concluídas]]&gt;0,"Não","Sim")</f>
        <v>Não</v>
      </c>
      <c r="T63">
        <f>COUNTIFS(Tabela4[[#All],[Cenário]],Tabela4[[#This Row],[Cenário]],Tabela4[[#All],[Status]],Tabela4[[#Headers],[Elo - Em correção ]])</f>
        <v>0</v>
      </c>
      <c r="U63">
        <f>COUNTIFS(Tabela4[[#All],[Cenário]],Tabela4[[#This Row],[Cenário]],Tabela4[[#All],[Status]],Tabela4[[#Headers],[Keyuser - Aguardando tarefa precedente]])</f>
        <v>0</v>
      </c>
      <c r="V63">
        <f>COUNTIFS(Tabela4[[#All],[Cenário]],Tabela4[[#This Row],[Cenário]],Tabela4[[#All],[Status]],Tabela4[[#Headers],[Não liberado  para testes]])</f>
        <v>1</v>
      </c>
      <c r="W63" t="str">
        <f>IF(Tabela4[[#This Row],[Elo - Em correção ]]&gt;0,"Sim","Não")</f>
        <v>Não</v>
      </c>
      <c r="X63" t="str">
        <f>IF(Tabela4[[#This Row],[Keyuser - Aguardando tarefa precedente]]&gt;0,"Sim","Não")</f>
        <v>Não</v>
      </c>
      <c r="Y63" t="str">
        <f>IF(Tabela4[[#This Row],[Não liberado  para testes]]&gt;0,"Sim","Não")</f>
        <v>Sim</v>
      </c>
      <c r="Z63" t="str">
        <f ca="1">IF(Tabela4[[#This Row],[Status]]="Keyuser - Pendente",NETWORKDAYS(Tabela4[[#This Row],[Dt Inicial]],TODAY()),"")</f>
        <v/>
      </c>
      <c r="AA63" t="b">
        <f>AND(Tabela4[[#This Row],[Status]]="Keyuser - Aguardando tarefa precedente",K62="Keyuser - Concluído ")</f>
        <v>0</v>
      </c>
    </row>
    <row r="64" spans="1:27" x14ac:dyDescent="0.25">
      <c r="A64" t="str">
        <f>"OUT-"&amp;IFERROR(MID(Tabela4[[#This Row],[Cenário]],SEARCH("(",Tabela4[[#This Row],[Cenário]])+1,SEARCH(")",Tabela4[[#This Row],[Cenário]])-SEARCH("(",Tabela4[[#This Row],[Cenário]])-1),"")&amp;"_"&amp;ROW()</f>
        <v>OUT-Y002_64</v>
      </c>
      <c r="B64" t="s">
        <v>358</v>
      </c>
      <c r="C64" t="s">
        <v>402</v>
      </c>
      <c r="D64" t="s">
        <v>366</v>
      </c>
      <c r="E64">
        <v>3</v>
      </c>
      <c r="F64" t="s">
        <v>366</v>
      </c>
      <c r="G64" t="s">
        <v>367</v>
      </c>
      <c r="H64" s="18" t="s">
        <v>403</v>
      </c>
      <c r="I64" s="9" t="s">
        <v>404</v>
      </c>
      <c r="J64" s="9" t="s">
        <v>364</v>
      </c>
      <c r="K64" s="9" t="s">
        <v>271</v>
      </c>
      <c r="L64" s="78">
        <v>45951</v>
      </c>
      <c r="N64" s="78">
        <v>45951</v>
      </c>
      <c r="O64" s="31"/>
      <c r="P64" s="9"/>
      <c r="Q64" s="9">
        <f>COUNTIF(Tabela4[[#All],[Cenário]],Tabela4[[#This Row],[Cenário]])</f>
        <v>8</v>
      </c>
      <c r="R64">
        <f>COUNTIFS(Tabela4[[#All],[Cenário]],Tabela4[[#This Row],[Cenário]],Tabela4[[#All],[Status]],"Keyuser - Concluído ")</f>
        <v>7</v>
      </c>
      <c r="S64" t="str">
        <f>IF(Tabela4[[#This Row],[Tarefas por Cenário]]-Tabela4[[#This Row],[Tarefas Concluídas]]&gt;0,"Não","Sim")</f>
        <v>Não</v>
      </c>
      <c r="T64">
        <f>COUNTIFS(Tabela4[[#All],[Cenário]],Tabela4[[#This Row],[Cenário]],Tabela4[[#All],[Status]],Tabela4[[#Headers],[Elo - Em correção ]])</f>
        <v>0</v>
      </c>
      <c r="U64">
        <f>COUNTIFS(Tabela4[[#All],[Cenário]],Tabela4[[#This Row],[Cenário]],Tabela4[[#All],[Status]],Tabela4[[#Headers],[Keyuser - Aguardando tarefa precedente]])</f>
        <v>0</v>
      </c>
      <c r="V64">
        <f>COUNTIFS(Tabela4[[#All],[Cenário]],Tabela4[[#This Row],[Cenário]],Tabela4[[#All],[Status]],Tabela4[[#Headers],[Não liberado  para testes]])</f>
        <v>1</v>
      </c>
      <c r="W64" t="str">
        <f>IF(Tabela4[[#This Row],[Elo - Em correção ]]&gt;0,"Sim","Não")</f>
        <v>Não</v>
      </c>
      <c r="X64" t="str">
        <f>IF(Tabela4[[#This Row],[Keyuser - Aguardando tarefa precedente]]&gt;0,"Sim","Não")</f>
        <v>Não</v>
      </c>
      <c r="Y64" t="str">
        <f>IF(Tabela4[[#This Row],[Não liberado  para testes]]&gt;0,"Sim","Não")</f>
        <v>Sim</v>
      </c>
      <c r="Z64" t="str">
        <f ca="1">IF(Tabela4[[#This Row],[Status]]="Keyuser - Pendente",NETWORKDAYS(Tabela4[[#This Row],[Dt Inicial]],TODAY()),"")</f>
        <v/>
      </c>
      <c r="AA64" t="b">
        <f>AND(Tabela4[[#This Row],[Status]]="Keyuser - Aguardando tarefa precedente",K63="Keyuser - Concluído ")</f>
        <v>0</v>
      </c>
    </row>
    <row r="65" spans="1:27" x14ac:dyDescent="0.25">
      <c r="A65" t="str">
        <f>"OUT-"&amp;IFERROR(MID(Tabela4[[#This Row],[Cenário]],SEARCH("(",Tabela4[[#This Row],[Cenário]])+1,SEARCH(")",Tabela4[[#This Row],[Cenário]])-SEARCH("(",Tabela4[[#This Row],[Cenário]])-1),"")&amp;"_"&amp;ROW()</f>
        <v>OUT-Y002_65</v>
      </c>
      <c r="B65" t="s">
        <v>358</v>
      </c>
      <c r="C65" t="s">
        <v>402</v>
      </c>
      <c r="D65" t="s">
        <v>368</v>
      </c>
      <c r="E65">
        <v>4</v>
      </c>
      <c r="F65" t="s">
        <v>368</v>
      </c>
      <c r="G65" t="s">
        <v>369</v>
      </c>
      <c r="H65" s="9" t="s">
        <v>405</v>
      </c>
      <c r="K65" s="9" t="s">
        <v>271</v>
      </c>
      <c r="L65" s="78">
        <v>45951</v>
      </c>
      <c r="N65" s="78">
        <v>45951</v>
      </c>
      <c r="O65" s="31"/>
      <c r="P65" s="9"/>
      <c r="Q65" s="9">
        <f>COUNTIF(Tabela4[[#All],[Cenário]],Tabela4[[#This Row],[Cenário]])</f>
        <v>8</v>
      </c>
      <c r="R65">
        <f>COUNTIFS(Tabela4[[#All],[Cenário]],Tabela4[[#This Row],[Cenário]],Tabela4[[#All],[Status]],"Keyuser - Concluído ")</f>
        <v>7</v>
      </c>
      <c r="S65" t="str">
        <f>IF(Tabela4[[#This Row],[Tarefas por Cenário]]-Tabela4[[#This Row],[Tarefas Concluídas]]&gt;0,"Não","Sim")</f>
        <v>Não</v>
      </c>
      <c r="T65">
        <f>COUNTIFS(Tabela4[[#All],[Cenário]],Tabela4[[#This Row],[Cenário]],Tabela4[[#All],[Status]],Tabela4[[#Headers],[Elo - Em correção ]])</f>
        <v>0</v>
      </c>
      <c r="U65">
        <f>COUNTIFS(Tabela4[[#All],[Cenário]],Tabela4[[#This Row],[Cenário]],Tabela4[[#All],[Status]],Tabela4[[#Headers],[Keyuser - Aguardando tarefa precedente]])</f>
        <v>0</v>
      </c>
      <c r="V65">
        <f>COUNTIFS(Tabela4[[#All],[Cenário]],Tabela4[[#This Row],[Cenário]],Tabela4[[#All],[Status]],Tabela4[[#Headers],[Não liberado  para testes]])</f>
        <v>1</v>
      </c>
      <c r="W65" t="str">
        <f>IF(Tabela4[[#This Row],[Elo - Em correção ]]&gt;0,"Sim","Não")</f>
        <v>Não</v>
      </c>
      <c r="X65" t="str">
        <f>IF(Tabela4[[#This Row],[Keyuser - Aguardando tarefa precedente]]&gt;0,"Sim","Não")</f>
        <v>Não</v>
      </c>
      <c r="Y65" t="str">
        <f>IF(Tabela4[[#This Row],[Não liberado  para testes]]&gt;0,"Sim","Não")</f>
        <v>Sim</v>
      </c>
      <c r="Z65" t="str">
        <f ca="1">IF(Tabela4[[#This Row],[Status]]="Keyuser - Pendente",NETWORKDAYS(Tabela4[[#This Row],[Dt Inicial]],TODAY()),"")</f>
        <v/>
      </c>
      <c r="AA65" t="b">
        <f>AND(Tabela4[[#This Row],[Status]]="Keyuser - Aguardando tarefa precedente",K64="Keyuser - Concluído ")</f>
        <v>0</v>
      </c>
    </row>
    <row r="66" spans="1:27" x14ac:dyDescent="0.25">
      <c r="A66" t="str">
        <f>"OUT-"&amp;IFERROR(MID(Tabela4[[#This Row],[Cenário]],SEARCH("(",Tabela4[[#This Row],[Cenário]])+1,SEARCH(")",Tabela4[[#This Row],[Cenário]])-SEARCH("(",Tabela4[[#This Row],[Cenário]])-1),"")&amp;"_"&amp;ROW()</f>
        <v>OUT-Y002_66</v>
      </c>
      <c r="B66" t="s">
        <v>358</v>
      </c>
      <c r="C66" t="s">
        <v>402</v>
      </c>
      <c r="D66" t="s">
        <v>371</v>
      </c>
      <c r="E66">
        <v>5</v>
      </c>
      <c r="F66" t="s">
        <v>372</v>
      </c>
      <c r="G66" t="s">
        <v>287</v>
      </c>
      <c r="H66" s="9" t="s">
        <v>405</v>
      </c>
      <c r="K66" s="9" t="s">
        <v>271</v>
      </c>
      <c r="L66" s="78">
        <v>45952</v>
      </c>
      <c r="N66" s="78">
        <v>45952</v>
      </c>
      <c r="O66" s="31"/>
      <c r="P66" s="9"/>
      <c r="Q66" s="9">
        <f>COUNTIF(Tabela4[[#All],[Cenário]],Tabela4[[#This Row],[Cenário]])</f>
        <v>8</v>
      </c>
      <c r="R66">
        <f>COUNTIFS(Tabela4[[#All],[Cenário]],Tabela4[[#This Row],[Cenário]],Tabela4[[#All],[Status]],"Keyuser - Concluído ")</f>
        <v>7</v>
      </c>
      <c r="S66" t="str">
        <f>IF(Tabela4[[#This Row],[Tarefas por Cenário]]-Tabela4[[#This Row],[Tarefas Concluídas]]&gt;0,"Não","Sim")</f>
        <v>Não</v>
      </c>
      <c r="T66">
        <f>COUNTIFS(Tabela4[[#All],[Cenário]],Tabela4[[#This Row],[Cenário]],Tabela4[[#All],[Status]],Tabela4[[#Headers],[Elo - Em correção ]])</f>
        <v>0</v>
      </c>
      <c r="U66">
        <f>COUNTIFS(Tabela4[[#All],[Cenário]],Tabela4[[#This Row],[Cenário]],Tabela4[[#All],[Status]],Tabela4[[#Headers],[Keyuser - Aguardando tarefa precedente]])</f>
        <v>0</v>
      </c>
      <c r="V66">
        <f>COUNTIFS(Tabela4[[#All],[Cenário]],Tabela4[[#This Row],[Cenário]],Tabela4[[#All],[Status]],Tabela4[[#Headers],[Não liberado  para testes]])</f>
        <v>1</v>
      </c>
      <c r="W66" t="str">
        <f>IF(Tabela4[[#This Row],[Elo - Em correção ]]&gt;0,"Sim","Não")</f>
        <v>Não</v>
      </c>
      <c r="X66" t="str">
        <f>IF(Tabela4[[#This Row],[Keyuser - Aguardando tarefa precedente]]&gt;0,"Sim","Não")</f>
        <v>Não</v>
      </c>
      <c r="Y66" t="str">
        <f>IF(Tabela4[[#This Row],[Não liberado  para testes]]&gt;0,"Sim","Não")</f>
        <v>Sim</v>
      </c>
      <c r="Z66" t="str">
        <f ca="1">IF(Tabela4[[#This Row],[Status]]="Keyuser - Pendente",NETWORKDAYS(Tabela4[[#This Row],[Dt Inicial]],TODAY()),"")</f>
        <v/>
      </c>
      <c r="AA66" t="b">
        <f>AND(Tabela4[[#This Row],[Status]]="Keyuser - Aguardando tarefa precedente",K65="Keyuser - Concluído ")</f>
        <v>0</v>
      </c>
    </row>
    <row r="67" spans="1:27" x14ac:dyDescent="0.25">
      <c r="A67" t="str">
        <f>"OUT-"&amp;IFERROR(MID(Tabela4[[#This Row],[Cenário]],SEARCH("(",Tabela4[[#This Row],[Cenário]])+1,SEARCH(")",Tabela4[[#This Row],[Cenário]])-SEARCH("(",Tabela4[[#This Row],[Cenário]])-1),"")&amp;"_"&amp;ROW()</f>
        <v>OUT-Y002_67</v>
      </c>
      <c r="B67" t="s">
        <v>358</v>
      </c>
      <c r="C67" t="s">
        <v>402</v>
      </c>
      <c r="D67" t="s">
        <v>373</v>
      </c>
      <c r="E67">
        <v>6</v>
      </c>
      <c r="F67" t="s">
        <v>373</v>
      </c>
      <c r="G67" t="s">
        <v>283</v>
      </c>
      <c r="H67" s="9" t="s">
        <v>406</v>
      </c>
      <c r="K67" s="9" t="s">
        <v>271</v>
      </c>
      <c r="L67" s="78">
        <v>45952</v>
      </c>
      <c r="N67" s="78">
        <v>45952</v>
      </c>
      <c r="O67" s="31"/>
      <c r="P67" s="9"/>
      <c r="Q67" s="9">
        <f>COUNTIF(Tabela4[[#All],[Cenário]],Tabela4[[#This Row],[Cenário]])</f>
        <v>8</v>
      </c>
      <c r="R67">
        <f>COUNTIFS(Tabela4[[#All],[Cenário]],Tabela4[[#This Row],[Cenário]],Tabela4[[#All],[Status]],"Keyuser - Concluído ")</f>
        <v>7</v>
      </c>
      <c r="S67" t="str">
        <f>IF(Tabela4[[#This Row],[Tarefas por Cenário]]-Tabela4[[#This Row],[Tarefas Concluídas]]&gt;0,"Não","Sim")</f>
        <v>Não</v>
      </c>
      <c r="T67">
        <f>COUNTIFS(Tabela4[[#All],[Cenário]],Tabela4[[#This Row],[Cenário]],Tabela4[[#All],[Status]],Tabela4[[#Headers],[Elo - Em correção ]])</f>
        <v>0</v>
      </c>
      <c r="U67">
        <f>COUNTIFS(Tabela4[[#All],[Cenário]],Tabela4[[#This Row],[Cenário]],Tabela4[[#All],[Status]],Tabela4[[#Headers],[Keyuser - Aguardando tarefa precedente]])</f>
        <v>0</v>
      </c>
      <c r="V67">
        <f>COUNTIFS(Tabela4[[#All],[Cenário]],Tabela4[[#This Row],[Cenário]],Tabela4[[#All],[Status]],Tabela4[[#Headers],[Não liberado  para testes]])</f>
        <v>1</v>
      </c>
      <c r="W67" t="str">
        <f>IF(Tabela4[[#This Row],[Elo - Em correção ]]&gt;0,"Sim","Não")</f>
        <v>Não</v>
      </c>
      <c r="X67" t="str">
        <f>IF(Tabela4[[#This Row],[Keyuser - Aguardando tarefa precedente]]&gt;0,"Sim","Não")</f>
        <v>Não</v>
      </c>
      <c r="Y67" t="str">
        <f>IF(Tabela4[[#This Row],[Não liberado  para testes]]&gt;0,"Sim","Não")</f>
        <v>Sim</v>
      </c>
      <c r="Z67" t="str">
        <f ca="1">IF(Tabela4[[#This Row],[Status]]="Keyuser - Pendente",NETWORKDAYS(Tabela4[[#This Row],[Dt Inicial]],TODAY()),"")</f>
        <v/>
      </c>
      <c r="AA67" t="b">
        <f>AND(Tabela4[[#This Row],[Status]]="Keyuser - Aguardando tarefa precedente",K66="Keyuser - Concluído ")</f>
        <v>0</v>
      </c>
    </row>
    <row r="68" spans="1:27" x14ac:dyDescent="0.25">
      <c r="A68" t="str">
        <f>"OUT-"&amp;IFERROR(MID(Tabela4[[#This Row],[Cenário]],SEARCH("(",Tabela4[[#This Row],[Cenário]])+1,SEARCH(")",Tabela4[[#This Row],[Cenário]])-SEARCH("(",Tabela4[[#This Row],[Cenário]])-1),"")&amp;"_"&amp;ROW()</f>
        <v>OUT-Y002_68</v>
      </c>
      <c r="B68" t="s">
        <v>374</v>
      </c>
      <c r="C68" t="s">
        <v>402</v>
      </c>
      <c r="D68" t="s">
        <v>286</v>
      </c>
      <c r="E68">
        <v>7</v>
      </c>
      <c r="F68" t="s">
        <v>286</v>
      </c>
      <c r="G68" t="s">
        <v>287</v>
      </c>
      <c r="K68" s="9" t="s">
        <v>262</v>
      </c>
      <c r="N68" s="78"/>
      <c r="O68" s="31"/>
      <c r="P68" s="9"/>
      <c r="Q68" s="9">
        <f>COUNTIF(Tabela4[[#All],[Cenário]],Tabela4[[#This Row],[Cenário]])</f>
        <v>8</v>
      </c>
      <c r="R68">
        <f>COUNTIFS(Tabela4[[#All],[Cenário]],Tabela4[[#This Row],[Cenário]],Tabela4[[#All],[Status]],"Keyuser - Concluído ")</f>
        <v>7</v>
      </c>
      <c r="S68" t="str">
        <f>IF(Tabela4[[#This Row],[Tarefas por Cenário]]-Tabela4[[#This Row],[Tarefas Concluídas]]&gt;0,"Não","Sim")</f>
        <v>Não</v>
      </c>
      <c r="T68">
        <f>COUNTIFS(Tabela4[[#All],[Cenário]],Tabela4[[#This Row],[Cenário]],Tabela4[[#All],[Status]],Tabela4[[#Headers],[Elo - Em correção ]])</f>
        <v>0</v>
      </c>
      <c r="U68">
        <f>COUNTIFS(Tabela4[[#All],[Cenário]],Tabela4[[#This Row],[Cenário]],Tabela4[[#All],[Status]],Tabela4[[#Headers],[Keyuser - Aguardando tarefa precedente]])</f>
        <v>0</v>
      </c>
      <c r="V68">
        <f>COUNTIFS(Tabela4[[#All],[Cenário]],Tabela4[[#This Row],[Cenário]],Tabela4[[#All],[Status]],Tabela4[[#Headers],[Não liberado  para testes]])</f>
        <v>1</v>
      </c>
      <c r="W68" t="str">
        <f>IF(Tabela4[[#This Row],[Elo - Em correção ]]&gt;0,"Sim","Não")</f>
        <v>Não</v>
      </c>
      <c r="X68" t="str">
        <f>IF(Tabela4[[#This Row],[Keyuser - Aguardando tarefa precedente]]&gt;0,"Sim","Não")</f>
        <v>Não</v>
      </c>
      <c r="Y68" t="str">
        <f>IF(Tabela4[[#This Row],[Não liberado  para testes]]&gt;0,"Sim","Não")</f>
        <v>Sim</v>
      </c>
      <c r="Z68" t="str">
        <f ca="1">IF(Tabela4[[#This Row],[Status]]="Keyuser - Pendente",NETWORKDAYS(Tabela4[[#This Row],[Dt Inicial]],TODAY()),"")</f>
        <v/>
      </c>
      <c r="AA68" t="b">
        <f>AND(Tabela4[[#This Row],[Status]]="Keyuser - Aguardando tarefa precedente",K67="Keyuser - Concluído ")</f>
        <v>0</v>
      </c>
    </row>
    <row r="69" spans="1:27" x14ac:dyDescent="0.25">
      <c r="A69" t="str">
        <f>"OUT-"&amp;IFERROR(MID(Tabela4[[#This Row],[Cenário]],SEARCH("(",Tabela4[[#This Row],[Cenário]])+1,SEARCH(")",Tabela4[[#This Row],[Cenário]])-SEARCH("(",Tabela4[[#This Row],[Cenário]])-1),"")&amp;"_"&amp;ROW()</f>
        <v>OUT-Y002_69</v>
      </c>
      <c r="B69" t="s">
        <v>358</v>
      </c>
      <c r="C69" t="s">
        <v>402</v>
      </c>
      <c r="D69" t="s">
        <v>375</v>
      </c>
      <c r="E69">
        <v>8</v>
      </c>
      <c r="F69" t="s">
        <v>375</v>
      </c>
      <c r="G69" t="s">
        <v>367</v>
      </c>
      <c r="H69" s="18" t="s">
        <v>403</v>
      </c>
      <c r="I69" s="9" t="s">
        <v>404</v>
      </c>
      <c r="J69" s="9" t="s">
        <v>364</v>
      </c>
      <c r="K69" s="9" t="s">
        <v>271</v>
      </c>
      <c r="L69" s="78">
        <v>45952</v>
      </c>
      <c r="N69" s="78">
        <v>45952</v>
      </c>
      <c r="O69" s="31"/>
      <c r="P69" s="9"/>
      <c r="Q69" s="9">
        <f>COUNTIF(Tabela4[[#All],[Cenário]],Tabela4[[#This Row],[Cenário]])</f>
        <v>8</v>
      </c>
      <c r="R69">
        <f>COUNTIFS(Tabela4[[#All],[Cenário]],Tabela4[[#This Row],[Cenário]],Tabela4[[#All],[Status]],"Keyuser - Concluído ")</f>
        <v>7</v>
      </c>
      <c r="S69" t="str">
        <f>IF(Tabela4[[#This Row],[Tarefas por Cenário]]-Tabela4[[#This Row],[Tarefas Concluídas]]&gt;0,"Não","Sim")</f>
        <v>Não</v>
      </c>
      <c r="T69">
        <f>COUNTIFS(Tabela4[[#All],[Cenário]],Tabela4[[#This Row],[Cenário]],Tabela4[[#All],[Status]],Tabela4[[#Headers],[Elo - Em correção ]])</f>
        <v>0</v>
      </c>
      <c r="U69">
        <f>COUNTIFS(Tabela4[[#All],[Cenário]],Tabela4[[#This Row],[Cenário]],Tabela4[[#All],[Status]],Tabela4[[#Headers],[Keyuser - Aguardando tarefa precedente]])</f>
        <v>0</v>
      </c>
      <c r="V69">
        <f>COUNTIFS(Tabela4[[#All],[Cenário]],Tabela4[[#This Row],[Cenário]],Tabela4[[#All],[Status]],Tabela4[[#Headers],[Não liberado  para testes]])</f>
        <v>1</v>
      </c>
      <c r="W69" t="str">
        <f>IF(Tabela4[[#This Row],[Elo - Em correção ]]&gt;0,"Sim","Não")</f>
        <v>Não</v>
      </c>
      <c r="X69" t="str">
        <f>IF(Tabela4[[#This Row],[Keyuser - Aguardando tarefa precedente]]&gt;0,"Sim","Não")</f>
        <v>Não</v>
      </c>
      <c r="Y69" t="str">
        <f>IF(Tabela4[[#This Row],[Não liberado  para testes]]&gt;0,"Sim","Não")</f>
        <v>Sim</v>
      </c>
      <c r="Z69" t="str">
        <f ca="1">IF(Tabela4[[#This Row],[Status]]="Keyuser - Pendente",NETWORKDAYS(Tabela4[[#This Row],[Dt Inicial]],TODAY()),"")</f>
        <v/>
      </c>
      <c r="AA69" t="b">
        <f>AND(Tabela4[[#This Row],[Status]]="Keyuser - Aguardando tarefa precedente",K68="Keyuser - Concluído ")</f>
        <v>0</v>
      </c>
    </row>
    <row r="70" spans="1:27" x14ac:dyDescent="0.25">
      <c r="A70" t="str">
        <f>"OUT-"&amp;IFERROR(MID(Tabela4[[#This Row],[Cenário]],SEARCH("(",Tabela4[[#This Row],[Cenário]])+1,SEARCH(")",Tabela4[[#This Row],[Cenário]])-SEARCH("(",Tabela4[[#This Row],[Cenário]])-1),"")&amp;"_"&amp;ROW()</f>
        <v>OUT-YDEV_70</v>
      </c>
      <c r="B70" t="s">
        <v>358</v>
      </c>
      <c r="C70" t="s">
        <v>407</v>
      </c>
      <c r="D70" t="s">
        <v>360</v>
      </c>
      <c r="E70">
        <v>1</v>
      </c>
      <c r="F70" t="s">
        <v>360</v>
      </c>
      <c r="G70" t="s">
        <v>377</v>
      </c>
      <c r="H70" s="13">
        <v>60668332</v>
      </c>
      <c r="I70" s="13"/>
      <c r="J70" s="13"/>
      <c r="K70" s="9" t="s">
        <v>271</v>
      </c>
      <c r="L70" s="78">
        <v>45958</v>
      </c>
      <c r="N70" s="78">
        <v>45958</v>
      </c>
      <c r="O70" s="31"/>
      <c r="P70" s="9"/>
      <c r="Q70" s="9">
        <f>COUNTIF(Tabela4[[#All],[Cenário]],Tabela4[[#This Row],[Cenário]])</f>
        <v>6</v>
      </c>
      <c r="R70">
        <f>COUNTIFS(Tabela4[[#All],[Cenário]],Tabela4[[#This Row],[Cenário]],Tabela4[[#All],[Status]],"Keyuser - Concluído ")</f>
        <v>5</v>
      </c>
      <c r="S70" t="str">
        <f>IF(Tabela4[[#This Row],[Tarefas por Cenário]]-Tabela4[[#This Row],[Tarefas Concluídas]]&gt;0,"Não","Sim")</f>
        <v>Não</v>
      </c>
      <c r="T70">
        <f>COUNTIFS(Tabela4[[#All],[Cenário]],Tabela4[[#This Row],[Cenário]],Tabela4[[#All],[Status]],Tabela4[[#Headers],[Elo - Em correção ]])</f>
        <v>0</v>
      </c>
      <c r="U70">
        <f>COUNTIFS(Tabela4[[#All],[Cenário]],Tabela4[[#This Row],[Cenário]],Tabela4[[#All],[Status]],Tabela4[[#Headers],[Keyuser - Aguardando tarefa precedente]])</f>
        <v>0</v>
      </c>
      <c r="V70">
        <f>COUNTIFS(Tabela4[[#All],[Cenário]],Tabela4[[#This Row],[Cenário]],Tabela4[[#All],[Status]],Tabela4[[#Headers],[Não liberado  para testes]])</f>
        <v>1</v>
      </c>
      <c r="W70" t="str">
        <f>IF(Tabela4[[#This Row],[Elo - Em correção ]]&gt;0,"Sim","Não")</f>
        <v>Não</v>
      </c>
      <c r="X70" t="str">
        <f>IF(Tabela4[[#This Row],[Keyuser - Aguardando tarefa precedente]]&gt;0,"Sim","Não")</f>
        <v>Não</v>
      </c>
      <c r="Y70" t="str">
        <f>IF(Tabela4[[#This Row],[Não liberado  para testes]]&gt;0,"Sim","Não")</f>
        <v>Sim</v>
      </c>
      <c r="Z70" t="str">
        <f ca="1">IF(Tabela4[[#This Row],[Status]]="Keyuser - Pendente",NETWORKDAYS(Tabela4[[#This Row],[Dt Inicial]],TODAY()),"")</f>
        <v/>
      </c>
      <c r="AA70" t="b">
        <f>AND(Tabela4[[#This Row],[Status]]="Keyuser - Aguardando tarefa precedente",K69="Keyuser - Concluído ")</f>
        <v>0</v>
      </c>
    </row>
    <row r="71" spans="1:27" x14ac:dyDescent="0.25">
      <c r="A71" t="str">
        <f>"OUT-"&amp;IFERROR(MID(Tabela4[[#This Row],[Cenário]],SEARCH("(",Tabela4[[#This Row],[Cenário]])+1,SEARCH(")",Tabela4[[#This Row],[Cenário]])-SEARCH("(",Tabela4[[#This Row],[Cenário]])-1),"")&amp;"_"&amp;ROW()</f>
        <v>OUT-YDEV_71</v>
      </c>
      <c r="B71" t="s">
        <v>358</v>
      </c>
      <c r="C71" t="s">
        <v>407</v>
      </c>
      <c r="D71" t="s">
        <v>365</v>
      </c>
      <c r="E71">
        <v>2</v>
      </c>
      <c r="F71" t="s">
        <v>365</v>
      </c>
      <c r="G71" t="s">
        <v>310</v>
      </c>
      <c r="H71" s="13">
        <v>60668332</v>
      </c>
      <c r="I71" s="13"/>
      <c r="J71" s="13"/>
      <c r="K71" s="9" t="s">
        <v>271</v>
      </c>
      <c r="L71" s="78">
        <v>45958</v>
      </c>
      <c r="N71" s="78">
        <v>45958</v>
      </c>
      <c r="O71" s="31"/>
      <c r="P71" s="9"/>
      <c r="Q71" s="9">
        <f>COUNTIF(Tabela4[[#All],[Cenário]],Tabela4[[#This Row],[Cenário]])</f>
        <v>6</v>
      </c>
      <c r="R71">
        <f>COUNTIFS(Tabela4[[#All],[Cenário]],Tabela4[[#This Row],[Cenário]],Tabela4[[#All],[Status]],"Keyuser - Concluído ")</f>
        <v>5</v>
      </c>
      <c r="S71" t="str">
        <f>IF(Tabela4[[#This Row],[Tarefas por Cenário]]-Tabela4[[#This Row],[Tarefas Concluídas]]&gt;0,"Não","Sim")</f>
        <v>Não</v>
      </c>
      <c r="T71">
        <f>COUNTIFS(Tabela4[[#All],[Cenário]],Tabela4[[#This Row],[Cenário]],Tabela4[[#All],[Status]],Tabela4[[#Headers],[Elo - Em correção ]])</f>
        <v>0</v>
      </c>
      <c r="U71">
        <f>COUNTIFS(Tabela4[[#All],[Cenário]],Tabela4[[#This Row],[Cenário]],Tabela4[[#All],[Status]],Tabela4[[#Headers],[Keyuser - Aguardando tarefa precedente]])</f>
        <v>0</v>
      </c>
      <c r="V71">
        <f>COUNTIFS(Tabela4[[#All],[Cenário]],Tabela4[[#This Row],[Cenário]],Tabela4[[#All],[Status]],Tabela4[[#Headers],[Não liberado  para testes]])</f>
        <v>1</v>
      </c>
      <c r="W71" t="str">
        <f>IF(Tabela4[[#This Row],[Elo - Em correção ]]&gt;0,"Sim","Não")</f>
        <v>Não</v>
      </c>
      <c r="X71" t="str">
        <f>IF(Tabela4[[#This Row],[Keyuser - Aguardando tarefa precedente]]&gt;0,"Sim","Não")</f>
        <v>Não</v>
      </c>
      <c r="Y71" t="str">
        <f>IF(Tabela4[[#This Row],[Não liberado  para testes]]&gt;0,"Sim","Não")</f>
        <v>Sim</v>
      </c>
      <c r="Z71" t="str">
        <f ca="1">IF(Tabela4[[#This Row],[Status]]="Keyuser - Pendente",NETWORKDAYS(Tabela4[[#This Row],[Dt Inicial]],TODAY()),"")</f>
        <v/>
      </c>
      <c r="AA71" t="b">
        <f>AND(Tabela4[[#This Row],[Status]]="Keyuser - Aguardando tarefa precedente",K70="Keyuser - Concluído ")</f>
        <v>0</v>
      </c>
    </row>
    <row r="72" spans="1:27" x14ac:dyDescent="0.25">
      <c r="A72" t="str">
        <f>"OUT-"&amp;IFERROR(MID(Tabela4[[#This Row],[Cenário]],SEARCH("(",Tabela4[[#This Row],[Cenário]])+1,SEARCH(")",Tabela4[[#This Row],[Cenário]])-SEARCH("(",Tabela4[[#This Row],[Cenário]])-1),"")&amp;"_"&amp;ROW()</f>
        <v>OUT-YDEV_72</v>
      </c>
      <c r="B72" t="s">
        <v>358</v>
      </c>
      <c r="C72" t="s">
        <v>407</v>
      </c>
      <c r="D72" t="s">
        <v>368</v>
      </c>
      <c r="E72">
        <v>3</v>
      </c>
      <c r="F72" t="s">
        <v>368</v>
      </c>
      <c r="G72" t="s">
        <v>377</v>
      </c>
      <c r="H72" s="13" t="s">
        <v>408</v>
      </c>
      <c r="I72" s="13"/>
      <c r="J72" s="13"/>
      <c r="K72" s="9" t="s">
        <v>271</v>
      </c>
      <c r="L72" s="78">
        <v>45959</v>
      </c>
      <c r="N72" s="78">
        <v>45959</v>
      </c>
      <c r="O72" s="31" t="s">
        <v>409</v>
      </c>
      <c r="P72" s="9"/>
      <c r="Q72" s="9">
        <f>COUNTIF(Tabela4[[#All],[Cenário]],Tabela4[[#This Row],[Cenário]])</f>
        <v>6</v>
      </c>
      <c r="R72">
        <f>COUNTIFS(Tabela4[[#All],[Cenário]],Tabela4[[#This Row],[Cenário]],Tabela4[[#All],[Status]],"Keyuser - Concluído ")</f>
        <v>5</v>
      </c>
      <c r="S72" t="str">
        <f>IF(Tabela4[[#This Row],[Tarefas por Cenário]]-Tabela4[[#This Row],[Tarefas Concluídas]]&gt;0,"Não","Sim")</f>
        <v>Não</v>
      </c>
      <c r="T72">
        <f>COUNTIFS(Tabela4[[#All],[Cenário]],Tabela4[[#This Row],[Cenário]],Tabela4[[#All],[Status]],Tabela4[[#Headers],[Elo - Em correção ]])</f>
        <v>0</v>
      </c>
      <c r="U72">
        <f>COUNTIFS(Tabela4[[#All],[Cenário]],Tabela4[[#This Row],[Cenário]],Tabela4[[#All],[Status]],Tabela4[[#Headers],[Keyuser - Aguardando tarefa precedente]])</f>
        <v>0</v>
      </c>
      <c r="V72">
        <f>COUNTIFS(Tabela4[[#All],[Cenário]],Tabela4[[#This Row],[Cenário]],Tabela4[[#All],[Status]],Tabela4[[#Headers],[Não liberado  para testes]])</f>
        <v>1</v>
      </c>
      <c r="W72" t="str">
        <f>IF(Tabela4[[#This Row],[Elo - Em correção ]]&gt;0,"Sim","Não")</f>
        <v>Não</v>
      </c>
      <c r="X72" t="str">
        <f>IF(Tabela4[[#This Row],[Keyuser - Aguardando tarefa precedente]]&gt;0,"Sim","Não")</f>
        <v>Não</v>
      </c>
      <c r="Y72" t="str">
        <f>IF(Tabela4[[#This Row],[Não liberado  para testes]]&gt;0,"Sim","Não")</f>
        <v>Sim</v>
      </c>
      <c r="Z72" t="str">
        <f ca="1">IF(Tabela4[[#This Row],[Status]]="Keyuser - Pendente",NETWORKDAYS(Tabela4[[#This Row],[Dt Inicial]],TODAY()),"")</f>
        <v/>
      </c>
      <c r="AA72" t="b">
        <f>AND(Tabela4[[#This Row],[Status]]="Keyuser - Aguardando tarefa precedente",K71="Keyuser - Concluído ")</f>
        <v>0</v>
      </c>
    </row>
    <row r="73" spans="1:27" x14ac:dyDescent="0.25">
      <c r="A73" t="str">
        <f>"OUT-"&amp;IFERROR(MID(Tabela4[[#This Row],[Cenário]],SEARCH("(",Tabela4[[#This Row],[Cenário]])+1,SEARCH(")",Tabela4[[#This Row],[Cenário]])-SEARCH("(",Tabela4[[#This Row],[Cenário]])-1),"")&amp;"_"&amp;ROW()</f>
        <v>OUT-YDEV_73</v>
      </c>
      <c r="B73" t="s">
        <v>358</v>
      </c>
      <c r="C73" t="s">
        <v>407</v>
      </c>
      <c r="D73" t="s">
        <v>371</v>
      </c>
      <c r="E73">
        <v>4</v>
      </c>
      <c r="F73" t="s">
        <v>372</v>
      </c>
      <c r="G73" t="s">
        <v>287</v>
      </c>
      <c r="H73" s="13" t="s">
        <v>408</v>
      </c>
      <c r="I73" s="13"/>
      <c r="J73" s="13"/>
      <c r="K73" s="9" t="s">
        <v>271</v>
      </c>
      <c r="L73" s="78">
        <v>45959</v>
      </c>
      <c r="N73" s="78">
        <v>45959</v>
      </c>
      <c r="O73" s="31"/>
      <c r="P73" s="9"/>
      <c r="Q73" s="9">
        <f>COUNTIF(Tabela4[[#All],[Cenário]],Tabela4[[#This Row],[Cenário]])</f>
        <v>6</v>
      </c>
      <c r="R73">
        <f>COUNTIFS(Tabela4[[#All],[Cenário]],Tabela4[[#This Row],[Cenário]],Tabela4[[#All],[Status]],"Keyuser - Concluído ")</f>
        <v>5</v>
      </c>
      <c r="S73" t="str">
        <f>IF(Tabela4[[#This Row],[Tarefas por Cenário]]-Tabela4[[#This Row],[Tarefas Concluídas]]&gt;0,"Não","Sim")</f>
        <v>Não</v>
      </c>
      <c r="T73">
        <f>COUNTIFS(Tabela4[[#All],[Cenário]],Tabela4[[#This Row],[Cenário]],Tabela4[[#All],[Status]],Tabela4[[#Headers],[Elo - Em correção ]])</f>
        <v>0</v>
      </c>
      <c r="U73">
        <f>COUNTIFS(Tabela4[[#All],[Cenário]],Tabela4[[#This Row],[Cenário]],Tabela4[[#All],[Status]],Tabela4[[#Headers],[Keyuser - Aguardando tarefa precedente]])</f>
        <v>0</v>
      </c>
      <c r="V73">
        <f>COUNTIFS(Tabela4[[#All],[Cenário]],Tabela4[[#This Row],[Cenário]],Tabela4[[#All],[Status]],Tabela4[[#Headers],[Não liberado  para testes]])</f>
        <v>1</v>
      </c>
      <c r="W73" t="str">
        <f>IF(Tabela4[[#This Row],[Elo - Em correção ]]&gt;0,"Sim","Não")</f>
        <v>Não</v>
      </c>
      <c r="X73" t="str">
        <f>IF(Tabela4[[#This Row],[Keyuser - Aguardando tarefa precedente]]&gt;0,"Sim","Não")</f>
        <v>Não</v>
      </c>
      <c r="Y73" t="str">
        <f>IF(Tabela4[[#This Row],[Não liberado  para testes]]&gt;0,"Sim","Não")</f>
        <v>Sim</v>
      </c>
      <c r="Z73" t="str">
        <f ca="1">IF(Tabela4[[#This Row],[Status]]="Keyuser - Pendente",NETWORKDAYS(Tabela4[[#This Row],[Dt Inicial]],TODAY()),"")</f>
        <v/>
      </c>
      <c r="AA73" t="b">
        <f>AND(Tabela4[[#This Row],[Status]]="Keyuser - Aguardando tarefa precedente",K72="Keyuser - Concluído ")</f>
        <v>0</v>
      </c>
    </row>
    <row r="74" spans="1:27" x14ac:dyDescent="0.25">
      <c r="A74" t="str">
        <f>"OUT-"&amp;IFERROR(MID(Tabela4[[#This Row],[Cenário]],SEARCH("(",Tabela4[[#This Row],[Cenário]])+1,SEARCH(")",Tabela4[[#This Row],[Cenário]])-SEARCH("(",Tabela4[[#This Row],[Cenário]])-1),"")&amp;"_"&amp;ROW()</f>
        <v>OUT-YDEV_74</v>
      </c>
      <c r="B74" t="s">
        <v>358</v>
      </c>
      <c r="C74" t="s">
        <v>407</v>
      </c>
      <c r="D74" t="s">
        <v>373</v>
      </c>
      <c r="E74">
        <v>5</v>
      </c>
      <c r="F74" t="s">
        <v>373</v>
      </c>
      <c r="G74" t="s">
        <v>283</v>
      </c>
      <c r="H74" s="13" t="s">
        <v>408</v>
      </c>
      <c r="I74" s="13"/>
      <c r="J74" s="13"/>
      <c r="K74" s="9" t="s">
        <v>271</v>
      </c>
      <c r="L74" s="78">
        <v>45960</v>
      </c>
      <c r="N74" s="78">
        <v>45960</v>
      </c>
      <c r="O74" s="31"/>
      <c r="P74" s="9"/>
      <c r="Q74" s="9">
        <f>COUNTIF(Tabela4[[#All],[Cenário]],Tabela4[[#This Row],[Cenário]])</f>
        <v>6</v>
      </c>
      <c r="R74">
        <f>COUNTIFS(Tabela4[[#All],[Cenário]],Tabela4[[#This Row],[Cenário]],Tabela4[[#All],[Status]],"Keyuser - Concluído ")</f>
        <v>5</v>
      </c>
      <c r="S74" t="str">
        <f>IF(Tabela4[[#This Row],[Tarefas por Cenário]]-Tabela4[[#This Row],[Tarefas Concluídas]]&gt;0,"Não","Sim")</f>
        <v>Não</v>
      </c>
      <c r="T74">
        <f>COUNTIFS(Tabela4[[#All],[Cenário]],Tabela4[[#This Row],[Cenário]],Tabela4[[#All],[Status]],Tabela4[[#Headers],[Elo - Em correção ]])</f>
        <v>0</v>
      </c>
      <c r="U74">
        <f>COUNTIFS(Tabela4[[#All],[Cenário]],Tabela4[[#This Row],[Cenário]],Tabela4[[#All],[Status]],Tabela4[[#Headers],[Keyuser - Aguardando tarefa precedente]])</f>
        <v>0</v>
      </c>
      <c r="V74">
        <f>COUNTIFS(Tabela4[[#All],[Cenário]],Tabela4[[#This Row],[Cenário]],Tabela4[[#All],[Status]],Tabela4[[#Headers],[Não liberado  para testes]])</f>
        <v>1</v>
      </c>
      <c r="W74" t="str">
        <f>IF(Tabela4[[#This Row],[Elo - Em correção ]]&gt;0,"Sim","Não")</f>
        <v>Não</v>
      </c>
      <c r="X74" t="str">
        <f>IF(Tabela4[[#This Row],[Keyuser - Aguardando tarefa precedente]]&gt;0,"Sim","Não")</f>
        <v>Não</v>
      </c>
      <c r="Y74" t="str">
        <f>IF(Tabela4[[#This Row],[Não liberado  para testes]]&gt;0,"Sim","Não")</f>
        <v>Sim</v>
      </c>
      <c r="Z74" t="str">
        <f ca="1">IF(Tabela4[[#This Row],[Status]]="Keyuser - Pendente",NETWORKDAYS(Tabela4[[#This Row],[Dt Inicial]],TODAY()),"")</f>
        <v/>
      </c>
      <c r="AA74" t="b">
        <f>AND(Tabela4[[#This Row],[Status]]="Keyuser - Aguardando tarefa precedente",K73="Keyuser - Concluído ")</f>
        <v>0</v>
      </c>
    </row>
    <row r="75" spans="1:27" x14ac:dyDescent="0.25">
      <c r="A75" t="str">
        <f>"OUT-"&amp;IFERROR(MID(Tabela4[[#This Row],[Cenário]],SEARCH("(",Tabela4[[#This Row],[Cenário]])+1,SEARCH(")",Tabela4[[#This Row],[Cenário]])-SEARCH("(",Tabela4[[#This Row],[Cenário]])-1),"")&amp;"_"&amp;ROW()</f>
        <v>OUT-YDEV_75</v>
      </c>
      <c r="B75" t="s">
        <v>374</v>
      </c>
      <c r="C75" t="s">
        <v>407</v>
      </c>
      <c r="D75" t="s">
        <v>286</v>
      </c>
      <c r="E75">
        <v>6</v>
      </c>
      <c r="F75" t="s">
        <v>286</v>
      </c>
      <c r="G75" t="s">
        <v>287</v>
      </c>
      <c r="H75" s="13"/>
      <c r="I75" s="13"/>
      <c r="J75" s="13"/>
      <c r="K75" s="9" t="s">
        <v>262</v>
      </c>
      <c r="N75" s="78"/>
      <c r="O75" s="31"/>
      <c r="P75" s="9"/>
      <c r="Q75" s="9">
        <f>COUNTIF(Tabela4[[#All],[Cenário]],Tabela4[[#This Row],[Cenário]])</f>
        <v>6</v>
      </c>
      <c r="R75">
        <f>COUNTIFS(Tabela4[[#All],[Cenário]],Tabela4[[#This Row],[Cenário]],Tabela4[[#All],[Status]],"Keyuser - Concluído ")</f>
        <v>5</v>
      </c>
      <c r="S75" t="str">
        <f>IF(Tabela4[[#This Row],[Tarefas por Cenário]]-Tabela4[[#This Row],[Tarefas Concluídas]]&gt;0,"Não","Sim")</f>
        <v>Não</v>
      </c>
      <c r="T75">
        <f>COUNTIFS(Tabela4[[#All],[Cenário]],Tabela4[[#This Row],[Cenário]],Tabela4[[#All],[Status]],Tabela4[[#Headers],[Elo - Em correção ]])</f>
        <v>0</v>
      </c>
      <c r="U75">
        <f>COUNTIFS(Tabela4[[#All],[Cenário]],Tabela4[[#This Row],[Cenário]],Tabela4[[#All],[Status]],Tabela4[[#Headers],[Keyuser - Aguardando tarefa precedente]])</f>
        <v>0</v>
      </c>
      <c r="V75">
        <f>COUNTIFS(Tabela4[[#All],[Cenário]],Tabela4[[#This Row],[Cenário]],Tabela4[[#All],[Status]],Tabela4[[#Headers],[Não liberado  para testes]])</f>
        <v>1</v>
      </c>
      <c r="W75" t="str">
        <f>IF(Tabela4[[#This Row],[Elo - Em correção ]]&gt;0,"Sim","Não")</f>
        <v>Não</v>
      </c>
      <c r="X75" t="str">
        <f>IF(Tabela4[[#This Row],[Keyuser - Aguardando tarefa precedente]]&gt;0,"Sim","Não")</f>
        <v>Não</v>
      </c>
      <c r="Y75" t="str">
        <f>IF(Tabela4[[#This Row],[Não liberado  para testes]]&gt;0,"Sim","Não")</f>
        <v>Sim</v>
      </c>
      <c r="Z75" t="str">
        <f ca="1">IF(Tabela4[[#This Row],[Status]]="Keyuser - Pendente",NETWORKDAYS(Tabela4[[#This Row],[Dt Inicial]],TODAY()),"")</f>
        <v/>
      </c>
      <c r="AA75" t="b">
        <f>AND(Tabela4[[#This Row],[Status]]="Keyuser - Aguardando tarefa precedente",K74="Keyuser - Concluído ")</f>
        <v>0</v>
      </c>
    </row>
    <row r="76" spans="1:27" x14ac:dyDescent="0.25">
      <c r="A76" t="str">
        <f>"OUT-"&amp;IFERROR(MID(Tabela4[[#This Row],[Cenário]],SEARCH("(",Tabela4[[#This Row],[Cenário]])+1,SEARCH(")",Tabela4[[#This Row],[Cenário]])-SEARCH("(",Tabela4[[#This Row],[Cenário]])-1),"")&amp;"_"&amp;ROW()</f>
        <v>OUT-YRET_76</v>
      </c>
      <c r="B76" t="s">
        <v>358</v>
      </c>
      <c r="C76" t="s">
        <v>410</v>
      </c>
      <c r="D76" t="s">
        <v>360</v>
      </c>
      <c r="E76">
        <v>1</v>
      </c>
      <c r="F76" t="s">
        <v>360</v>
      </c>
      <c r="G76" t="s">
        <v>377</v>
      </c>
      <c r="H76" s="13">
        <v>60668339</v>
      </c>
      <c r="I76" s="13"/>
      <c r="J76" s="13"/>
      <c r="K76" s="9" t="s">
        <v>271</v>
      </c>
      <c r="L76" s="78">
        <v>45958</v>
      </c>
      <c r="N76" s="78">
        <v>45958</v>
      </c>
      <c r="O76" s="31"/>
      <c r="P76" s="9"/>
      <c r="Q76" s="9">
        <f>COUNTIF(Tabela4[[#All],[Cenário]],Tabela4[[#This Row],[Cenário]])</f>
        <v>6</v>
      </c>
      <c r="R76">
        <f>COUNTIFS(Tabela4[[#All],[Cenário]],Tabela4[[#This Row],[Cenário]],Tabela4[[#All],[Status]],"Keyuser - Concluído ")</f>
        <v>5</v>
      </c>
      <c r="S76" t="str">
        <f>IF(Tabela4[[#This Row],[Tarefas por Cenário]]-Tabela4[[#This Row],[Tarefas Concluídas]]&gt;0,"Não","Sim")</f>
        <v>Não</v>
      </c>
      <c r="T76">
        <f>COUNTIFS(Tabela4[[#All],[Cenário]],Tabela4[[#This Row],[Cenário]],Tabela4[[#All],[Status]],Tabela4[[#Headers],[Elo - Em correção ]])</f>
        <v>0</v>
      </c>
      <c r="U76">
        <f>COUNTIFS(Tabela4[[#All],[Cenário]],Tabela4[[#This Row],[Cenário]],Tabela4[[#All],[Status]],Tabela4[[#Headers],[Keyuser - Aguardando tarefa precedente]])</f>
        <v>0</v>
      </c>
      <c r="V76">
        <f>COUNTIFS(Tabela4[[#All],[Cenário]],Tabela4[[#This Row],[Cenário]],Tabela4[[#All],[Status]],Tabela4[[#Headers],[Não liberado  para testes]])</f>
        <v>1</v>
      </c>
      <c r="W76" t="str">
        <f>IF(Tabela4[[#This Row],[Elo - Em correção ]]&gt;0,"Sim","Não")</f>
        <v>Não</v>
      </c>
      <c r="X76" t="str">
        <f>IF(Tabela4[[#This Row],[Keyuser - Aguardando tarefa precedente]]&gt;0,"Sim","Não")</f>
        <v>Não</v>
      </c>
      <c r="Y76" t="str">
        <f>IF(Tabela4[[#This Row],[Não liberado  para testes]]&gt;0,"Sim","Não")</f>
        <v>Sim</v>
      </c>
      <c r="Z76" t="str">
        <f ca="1">IF(Tabela4[[#This Row],[Status]]="Keyuser - Pendente",NETWORKDAYS(Tabela4[[#This Row],[Dt Inicial]],TODAY()),"")</f>
        <v/>
      </c>
      <c r="AA76" t="b">
        <f>AND(Tabela4[[#This Row],[Status]]="Keyuser - Aguardando tarefa precedente",K75="Keyuser - Concluído ")</f>
        <v>0</v>
      </c>
    </row>
    <row r="77" spans="1:27" x14ac:dyDescent="0.25">
      <c r="A77" t="str">
        <f>"OUT-"&amp;IFERROR(MID(Tabela4[[#This Row],[Cenário]],SEARCH("(",Tabela4[[#This Row],[Cenário]])+1,SEARCH(")",Tabela4[[#This Row],[Cenário]])-SEARCH("(",Tabela4[[#This Row],[Cenário]])-1),"")&amp;"_"&amp;ROW()</f>
        <v>OUT-YRET_77</v>
      </c>
      <c r="B77" t="s">
        <v>358</v>
      </c>
      <c r="C77" t="s">
        <v>410</v>
      </c>
      <c r="D77" t="s">
        <v>365</v>
      </c>
      <c r="E77">
        <v>2</v>
      </c>
      <c r="F77" t="s">
        <v>365</v>
      </c>
      <c r="G77" t="s">
        <v>310</v>
      </c>
      <c r="H77" s="13">
        <v>60668339</v>
      </c>
      <c r="I77" s="13"/>
      <c r="J77" s="13"/>
      <c r="K77" s="9" t="s">
        <v>271</v>
      </c>
      <c r="L77" s="78">
        <v>45958</v>
      </c>
      <c r="N77" s="78">
        <v>45958</v>
      </c>
      <c r="O77" s="31"/>
      <c r="P77" s="9"/>
      <c r="Q77" s="9">
        <f>COUNTIF(Tabela4[[#All],[Cenário]],Tabela4[[#This Row],[Cenário]])</f>
        <v>6</v>
      </c>
      <c r="R77">
        <f>COUNTIFS(Tabela4[[#All],[Cenário]],Tabela4[[#This Row],[Cenário]],Tabela4[[#All],[Status]],"Keyuser - Concluído ")</f>
        <v>5</v>
      </c>
      <c r="S77" t="str">
        <f>IF(Tabela4[[#This Row],[Tarefas por Cenário]]-Tabela4[[#This Row],[Tarefas Concluídas]]&gt;0,"Não","Sim")</f>
        <v>Não</v>
      </c>
      <c r="T77">
        <f>COUNTIFS(Tabela4[[#All],[Cenário]],Tabela4[[#This Row],[Cenário]],Tabela4[[#All],[Status]],Tabela4[[#Headers],[Elo - Em correção ]])</f>
        <v>0</v>
      </c>
      <c r="U77">
        <f>COUNTIFS(Tabela4[[#All],[Cenário]],Tabela4[[#This Row],[Cenário]],Tabela4[[#All],[Status]],Tabela4[[#Headers],[Keyuser - Aguardando tarefa precedente]])</f>
        <v>0</v>
      </c>
      <c r="V77">
        <f>COUNTIFS(Tabela4[[#All],[Cenário]],Tabela4[[#This Row],[Cenário]],Tabela4[[#All],[Status]],Tabela4[[#Headers],[Não liberado  para testes]])</f>
        <v>1</v>
      </c>
      <c r="W77" t="str">
        <f>IF(Tabela4[[#This Row],[Elo - Em correção ]]&gt;0,"Sim","Não")</f>
        <v>Não</v>
      </c>
      <c r="X77" t="str">
        <f>IF(Tabela4[[#This Row],[Keyuser - Aguardando tarefa precedente]]&gt;0,"Sim","Não")</f>
        <v>Não</v>
      </c>
      <c r="Y77" t="str">
        <f>IF(Tabela4[[#This Row],[Não liberado  para testes]]&gt;0,"Sim","Não")</f>
        <v>Sim</v>
      </c>
      <c r="Z77" t="str">
        <f ca="1">IF(Tabela4[[#This Row],[Status]]="Keyuser - Pendente",NETWORKDAYS(Tabela4[[#This Row],[Dt Inicial]],TODAY()),"")</f>
        <v/>
      </c>
      <c r="AA77" t="b">
        <f>AND(Tabela4[[#This Row],[Status]]="Keyuser - Aguardando tarefa precedente",K76="Keyuser - Concluído ")</f>
        <v>0</v>
      </c>
    </row>
    <row r="78" spans="1:27" x14ac:dyDescent="0.25">
      <c r="A78" t="str">
        <f>"OUT-"&amp;IFERROR(MID(Tabela4[[#This Row],[Cenário]],SEARCH("(",Tabela4[[#This Row],[Cenário]])+1,SEARCH(")",Tabela4[[#This Row],[Cenário]])-SEARCH("(",Tabela4[[#This Row],[Cenário]])-1),"")&amp;"_"&amp;ROW()</f>
        <v>OUT-YRET_78</v>
      </c>
      <c r="B78" t="s">
        <v>358</v>
      </c>
      <c r="C78" t="s">
        <v>410</v>
      </c>
      <c r="D78" t="s">
        <v>368</v>
      </c>
      <c r="E78">
        <v>3</v>
      </c>
      <c r="F78" t="s">
        <v>368</v>
      </c>
      <c r="G78" t="s">
        <v>377</v>
      </c>
      <c r="H78" s="13" t="s">
        <v>411</v>
      </c>
      <c r="I78" s="13"/>
      <c r="J78" s="13"/>
      <c r="K78" s="9" t="s">
        <v>271</v>
      </c>
      <c r="L78" s="78">
        <v>45959</v>
      </c>
      <c r="N78" s="78">
        <v>45959</v>
      </c>
      <c r="O78" s="31" t="s">
        <v>412</v>
      </c>
      <c r="P78" s="9"/>
      <c r="Q78" s="9">
        <f>COUNTIF(Tabela4[[#All],[Cenário]],Tabela4[[#This Row],[Cenário]])</f>
        <v>6</v>
      </c>
      <c r="R78">
        <f>COUNTIFS(Tabela4[[#All],[Cenário]],Tabela4[[#This Row],[Cenário]],Tabela4[[#All],[Status]],"Keyuser - Concluído ")</f>
        <v>5</v>
      </c>
      <c r="S78" t="str">
        <f>IF(Tabela4[[#This Row],[Tarefas por Cenário]]-Tabela4[[#This Row],[Tarefas Concluídas]]&gt;0,"Não","Sim")</f>
        <v>Não</v>
      </c>
      <c r="T78">
        <f>COUNTIFS(Tabela4[[#All],[Cenário]],Tabela4[[#This Row],[Cenário]],Tabela4[[#All],[Status]],Tabela4[[#Headers],[Elo - Em correção ]])</f>
        <v>0</v>
      </c>
      <c r="U78">
        <f>COUNTIFS(Tabela4[[#All],[Cenário]],Tabela4[[#This Row],[Cenário]],Tabela4[[#All],[Status]],Tabela4[[#Headers],[Keyuser - Aguardando tarefa precedente]])</f>
        <v>0</v>
      </c>
      <c r="V78">
        <f>COUNTIFS(Tabela4[[#All],[Cenário]],Tabela4[[#This Row],[Cenário]],Tabela4[[#All],[Status]],Tabela4[[#Headers],[Não liberado  para testes]])</f>
        <v>1</v>
      </c>
      <c r="W78" t="str">
        <f>IF(Tabela4[[#This Row],[Elo - Em correção ]]&gt;0,"Sim","Não")</f>
        <v>Não</v>
      </c>
      <c r="X78" t="str">
        <f>IF(Tabela4[[#This Row],[Keyuser - Aguardando tarefa precedente]]&gt;0,"Sim","Não")</f>
        <v>Não</v>
      </c>
      <c r="Y78" t="str">
        <f>IF(Tabela4[[#This Row],[Não liberado  para testes]]&gt;0,"Sim","Não")</f>
        <v>Sim</v>
      </c>
      <c r="Z78" t="str">
        <f ca="1">IF(Tabela4[[#This Row],[Status]]="Keyuser - Pendente",NETWORKDAYS(Tabela4[[#This Row],[Dt Inicial]],TODAY()),"")</f>
        <v/>
      </c>
      <c r="AA78" t="b">
        <f>AND(Tabela4[[#This Row],[Status]]="Keyuser - Aguardando tarefa precedente",K77="Keyuser - Concluído ")</f>
        <v>0</v>
      </c>
    </row>
    <row r="79" spans="1:27" x14ac:dyDescent="0.25">
      <c r="A79" t="str">
        <f>"OUT-"&amp;IFERROR(MID(Tabela4[[#This Row],[Cenário]],SEARCH("(",Tabela4[[#This Row],[Cenário]])+1,SEARCH(")",Tabela4[[#This Row],[Cenário]])-SEARCH("(",Tabela4[[#This Row],[Cenário]])-1),"")&amp;"_"&amp;ROW()</f>
        <v>OUT-YRET_79</v>
      </c>
      <c r="B79" t="s">
        <v>358</v>
      </c>
      <c r="C79" t="s">
        <v>410</v>
      </c>
      <c r="D79" t="s">
        <v>371</v>
      </c>
      <c r="E79">
        <v>4</v>
      </c>
      <c r="F79" t="s">
        <v>372</v>
      </c>
      <c r="G79" t="s">
        <v>287</v>
      </c>
      <c r="H79" s="13" t="s">
        <v>411</v>
      </c>
      <c r="I79" s="13"/>
      <c r="J79" s="13"/>
      <c r="K79" s="9" t="s">
        <v>271</v>
      </c>
      <c r="L79" s="78">
        <v>45960</v>
      </c>
      <c r="N79" s="78">
        <v>45960</v>
      </c>
      <c r="O79" s="31"/>
      <c r="P79" s="9"/>
      <c r="Q79" s="9">
        <f>COUNTIF(Tabela4[[#All],[Cenário]],Tabela4[[#This Row],[Cenário]])</f>
        <v>6</v>
      </c>
      <c r="R79">
        <f>COUNTIFS(Tabela4[[#All],[Cenário]],Tabela4[[#This Row],[Cenário]],Tabela4[[#All],[Status]],"Keyuser - Concluído ")</f>
        <v>5</v>
      </c>
      <c r="S79" t="str">
        <f>IF(Tabela4[[#This Row],[Tarefas por Cenário]]-Tabela4[[#This Row],[Tarefas Concluídas]]&gt;0,"Não","Sim")</f>
        <v>Não</v>
      </c>
      <c r="T79">
        <f>COUNTIFS(Tabela4[[#All],[Cenário]],Tabela4[[#This Row],[Cenário]],Tabela4[[#All],[Status]],Tabela4[[#Headers],[Elo - Em correção ]])</f>
        <v>0</v>
      </c>
      <c r="U79">
        <f>COUNTIFS(Tabela4[[#All],[Cenário]],Tabela4[[#This Row],[Cenário]],Tabela4[[#All],[Status]],Tabela4[[#Headers],[Keyuser - Aguardando tarefa precedente]])</f>
        <v>0</v>
      </c>
      <c r="V79">
        <f>COUNTIFS(Tabela4[[#All],[Cenário]],Tabela4[[#This Row],[Cenário]],Tabela4[[#All],[Status]],Tabela4[[#Headers],[Não liberado  para testes]])</f>
        <v>1</v>
      </c>
      <c r="W79" t="str">
        <f>IF(Tabela4[[#This Row],[Elo - Em correção ]]&gt;0,"Sim","Não")</f>
        <v>Não</v>
      </c>
      <c r="X79" t="str">
        <f>IF(Tabela4[[#This Row],[Keyuser - Aguardando tarefa precedente]]&gt;0,"Sim","Não")</f>
        <v>Não</v>
      </c>
      <c r="Y79" t="str">
        <f>IF(Tabela4[[#This Row],[Não liberado  para testes]]&gt;0,"Sim","Não")</f>
        <v>Sim</v>
      </c>
      <c r="Z79" t="str">
        <f ca="1">IF(Tabela4[[#This Row],[Status]]="Keyuser - Pendente",NETWORKDAYS(Tabela4[[#This Row],[Dt Inicial]],TODAY()),"")</f>
        <v/>
      </c>
      <c r="AA79" t="b">
        <f>AND(Tabela4[[#This Row],[Status]]="Keyuser - Aguardando tarefa precedente",K78="Keyuser - Concluído ")</f>
        <v>0</v>
      </c>
    </row>
    <row r="80" spans="1:27" x14ac:dyDescent="0.25">
      <c r="A80" t="str">
        <f>"OUT-"&amp;IFERROR(MID(Tabela4[[#This Row],[Cenário]],SEARCH("(",Tabela4[[#This Row],[Cenário]])+1,SEARCH(")",Tabela4[[#This Row],[Cenário]])-SEARCH("(",Tabela4[[#This Row],[Cenário]])-1),"")&amp;"_"&amp;ROW()</f>
        <v>OUT-YRET_80</v>
      </c>
      <c r="B80" t="s">
        <v>358</v>
      </c>
      <c r="C80" t="s">
        <v>410</v>
      </c>
      <c r="D80" t="s">
        <v>373</v>
      </c>
      <c r="E80">
        <v>5</v>
      </c>
      <c r="F80" t="s">
        <v>373</v>
      </c>
      <c r="G80" t="s">
        <v>283</v>
      </c>
      <c r="H80" s="13" t="s">
        <v>411</v>
      </c>
      <c r="I80" s="13"/>
      <c r="J80" s="13"/>
      <c r="K80" s="9" t="s">
        <v>271</v>
      </c>
      <c r="L80" s="78">
        <v>45960</v>
      </c>
      <c r="N80" s="78">
        <v>45960</v>
      </c>
      <c r="O80" s="31"/>
      <c r="P80" s="9"/>
      <c r="Q80" s="9">
        <f>COUNTIF(Tabela4[[#All],[Cenário]],Tabela4[[#This Row],[Cenário]])</f>
        <v>6</v>
      </c>
      <c r="R80">
        <f>COUNTIFS(Tabela4[[#All],[Cenário]],Tabela4[[#This Row],[Cenário]],Tabela4[[#All],[Status]],"Keyuser - Concluído ")</f>
        <v>5</v>
      </c>
      <c r="S80" t="str">
        <f>IF(Tabela4[[#This Row],[Tarefas por Cenário]]-Tabela4[[#This Row],[Tarefas Concluídas]]&gt;0,"Não","Sim")</f>
        <v>Não</v>
      </c>
      <c r="T80">
        <f>COUNTIFS(Tabela4[[#All],[Cenário]],Tabela4[[#This Row],[Cenário]],Tabela4[[#All],[Status]],Tabela4[[#Headers],[Elo - Em correção ]])</f>
        <v>0</v>
      </c>
      <c r="U80">
        <f>COUNTIFS(Tabela4[[#All],[Cenário]],Tabela4[[#This Row],[Cenário]],Tabela4[[#All],[Status]],Tabela4[[#Headers],[Keyuser - Aguardando tarefa precedente]])</f>
        <v>0</v>
      </c>
      <c r="V80">
        <f>COUNTIFS(Tabela4[[#All],[Cenário]],Tabela4[[#This Row],[Cenário]],Tabela4[[#All],[Status]],Tabela4[[#Headers],[Não liberado  para testes]])</f>
        <v>1</v>
      </c>
      <c r="W80" t="str">
        <f>IF(Tabela4[[#This Row],[Elo - Em correção ]]&gt;0,"Sim","Não")</f>
        <v>Não</v>
      </c>
      <c r="X80" t="str">
        <f>IF(Tabela4[[#This Row],[Keyuser - Aguardando tarefa precedente]]&gt;0,"Sim","Não")</f>
        <v>Não</v>
      </c>
      <c r="Y80" t="str">
        <f>IF(Tabela4[[#This Row],[Não liberado  para testes]]&gt;0,"Sim","Não")</f>
        <v>Sim</v>
      </c>
      <c r="Z80" t="str">
        <f ca="1">IF(Tabela4[[#This Row],[Status]]="Keyuser - Pendente",NETWORKDAYS(Tabela4[[#This Row],[Dt Inicial]],TODAY()),"")</f>
        <v/>
      </c>
      <c r="AA80" t="b">
        <f>AND(Tabela4[[#This Row],[Status]]="Keyuser - Aguardando tarefa precedente",K79="Keyuser - Concluído ")</f>
        <v>0</v>
      </c>
    </row>
    <row r="81" spans="1:27" x14ac:dyDescent="0.25">
      <c r="A81" t="str">
        <f>"OUT-"&amp;IFERROR(MID(Tabela4[[#This Row],[Cenário]],SEARCH("(",Tabela4[[#This Row],[Cenário]])+1,SEARCH(")",Tabela4[[#This Row],[Cenário]])-SEARCH("(",Tabela4[[#This Row],[Cenário]])-1),"")&amp;"_"&amp;ROW()</f>
        <v>OUT-YRET_81</v>
      </c>
      <c r="B81" t="s">
        <v>374</v>
      </c>
      <c r="C81" t="s">
        <v>410</v>
      </c>
      <c r="D81" t="s">
        <v>286</v>
      </c>
      <c r="E81">
        <v>6</v>
      </c>
      <c r="F81" t="s">
        <v>286</v>
      </c>
      <c r="G81" t="s">
        <v>287</v>
      </c>
      <c r="H81" s="13"/>
      <c r="I81" s="13"/>
      <c r="J81" s="13"/>
      <c r="K81" s="9" t="s">
        <v>262</v>
      </c>
      <c r="N81" s="78"/>
      <c r="O81" s="31"/>
      <c r="P81" s="9"/>
      <c r="Q81" s="9">
        <f>COUNTIF(Tabela4[[#All],[Cenário]],Tabela4[[#This Row],[Cenário]])</f>
        <v>6</v>
      </c>
      <c r="R81">
        <f>COUNTIFS(Tabela4[[#All],[Cenário]],Tabela4[[#This Row],[Cenário]],Tabela4[[#All],[Status]],"Keyuser - Concluído ")</f>
        <v>5</v>
      </c>
      <c r="S81" t="str">
        <f>IF(Tabela4[[#This Row],[Tarefas por Cenário]]-Tabela4[[#This Row],[Tarefas Concluídas]]&gt;0,"Não","Sim")</f>
        <v>Não</v>
      </c>
      <c r="T81">
        <f>COUNTIFS(Tabela4[[#All],[Cenário]],Tabela4[[#This Row],[Cenário]],Tabela4[[#All],[Status]],Tabela4[[#Headers],[Elo - Em correção ]])</f>
        <v>0</v>
      </c>
      <c r="U81">
        <f>COUNTIFS(Tabela4[[#All],[Cenário]],Tabela4[[#This Row],[Cenário]],Tabela4[[#All],[Status]],Tabela4[[#Headers],[Keyuser - Aguardando tarefa precedente]])</f>
        <v>0</v>
      </c>
      <c r="V81">
        <f>COUNTIFS(Tabela4[[#All],[Cenário]],Tabela4[[#This Row],[Cenário]],Tabela4[[#All],[Status]],Tabela4[[#Headers],[Não liberado  para testes]])</f>
        <v>1</v>
      </c>
      <c r="W81" t="str">
        <f>IF(Tabela4[[#This Row],[Elo - Em correção ]]&gt;0,"Sim","Não")</f>
        <v>Não</v>
      </c>
      <c r="X81" t="str">
        <f>IF(Tabela4[[#This Row],[Keyuser - Aguardando tarefa precedente]]&gt;0,"Sim","Não")</f>
        <v>Não</v>
      </c>
      <c r="Y81" t="str">
        <f>IF(Tabela4[[#This Row],[Não liberado  para testes]]&gt;0,"Sim","Não")</f>
        <v>Sim</v>
      </c>
      <c r="Z81" t="str">
        <f ca="1">IF(Tabela4[[#This Row],[Status]]="Keyuser - Pendente",NETWORKDAYS(Tabela4[[#This Row],[Dt Inicial]],TODAY()),"")</f>
        <v/>
      </c>
      <c r="AA81" t="b">
        <f>AND(Tabela4[[#This Row],[Status]]="Keyuser - Aguardando tarefa precedente",K80="Keyuser - Concluído ")</f>
        <v>0</v>
      </c>
    </row>
    <row r="82" spans="1:27" x14ac:dyDescent="0.25">
      <c r="A82" t="str">
        <f>"OUT-"&amp;IFERROR(MID(Tabela4[[#This Row],[Cenário]],SEARCH("(",Tabela4[[#This Row],[Cenário]])+1,SEARCH(")",Tabela4[[#This Row],[Cenário]])-SEARCH("(",Tabela4[[#This Row],[Cenário]])-1),"")&amp;"_"&amp;ROW()</f>
        <v>OUT-Y002_82</v>
      </c>
      <c r="B82" t="s">
        <v>358</v>
      </c>
      <c r="C82" t="s">
        <v>413</v>
      </c>
      <c r="D82" t="s">
        <v>360</v>
      </c>
      <c r="E82">
        <v>1</v>
      </c>
      <c r="F82" t="s">
        <v>360</v>
      </c>
      <c r="G82" t="s">
        <v>361</v>
      </c>
      <c r="H82" s="13">
        <v>15603606</v>
      </c>
      <c r="I82" s="13" t="s">
        <v>414</v>
      </c>
      <c r="J82" s="13"/>
      <c r="K82" s="9" t="s">
        <v>271</v>
      </c>
      <c r="L82" s="78">
        <v>45946</v>
      </c>
      <c r="N82" s="78">
        <v>45946</v>
      </c>
      <c r="O82" s="31"/>
      <c r="P82" s="9"/>
      <c r="Q82" s="9">
        <f>COUNTIF(Tabela4[[#All],[Cenário]],Tabela4[[#This Row],[Cenário]])</f>
        <v>8</v>
      </c>
      <c r="R82">
        <f>COUNTIFS(Tabela4[[#All],[Cenário]],Tabela4[[#This Row],[Cenário]],Tabela4[[#All],[Status]],"Keyuser - Concluído ")</f>
        <v>7</v>
      </c>
      <c r="S82" t="str">
        <f>IF(Tabela4[[#This Row],[Tarefas por Cenário]]-Tabela4[[#This Row],[Tarefas Concluídas]]&gt;0,"Não","Sim")</f>
        <v>Não</v>
      </c>
      <c r="T82">
        <f>COUNTIFS(Tabela4[[#All],[Cenário]],Tabela4[[#This Row],[Cenário]],Tabela4[[#All],[Status]],Tabela4[[#Headers],[Elo - Em correção ]])</f>
        <v>0</v>
      </c>
      <c r="U82">
        <f>COUNTIFS(Tabela4[[#All],[Cenário]],Tabela4[[#This Row],[Cenário]],Tabela4[[#All],[Status]],Tabela4[[#Headers],[Keyuser - Aguardando tarefa precedente]])</f>
        <v>0</v>
      </c>
      <c r="V82">
        <f>COUNTIFS(Tabela4[[#All],[Cenário]],Tabela4[[#This Row],[Cenário]],Tabela4[[#All],[Status]],Tabela4[[#Headers],[Não liberado  para testes]])</f>
        <v>1</v>
      </c>
      <c r="W82" t="str">
        <f>IF(Tabela4[[#This Row],[Elo - Em correção ]]&gt;0,"Sim","Não")</f>
        <v>Não</v>
      </c>
      <c r="X82" t="str">
        <f>IF(Tabela4[[#This Row],[Keyuser - Aguardando tarefa precedente]]&gt;0,"Sim","Não")</f>
        <v>Não</v>
      </c>
      <c r="Y82" t="str">
        <f>IF(Tabela4[[#This Row],[Não liberado  para testes]]&gt;0,"Sim","Não")</f>
        <v>Sim</v>
      </c>
      <c r="Z82" t="str">
        <f ca="1">IF(Tabela4[[#This Row],[Status]]="Keyuser - Pendente",NETWORKDAYS(Tabela4[[#This Row],[Dt Inicial]],TODAY()),"")</f>
        <v/>
      </c>
      <c r="AA82" t="b">
        <f>AND(Tabela4[[#This Row],[Status]]="Keyuser - Aguardando tarefa precedente",K81="Keyuser - Concluído ")</f>
        <v>0</v>
      </c>
    </row>
    <row r="83" spans="1:27" x14ac:dyDescent="0.25">
      <c r="A83" t="str">
        <f>"OUT-"&amp;IFERROR(MID(Tabela4[[#This Row],[Cenário]],SEARCH("(",Tabela4[[#This Row],[Cenário]])+1,SEARCH(")",Tabela4[[#This Row],[Cenário]])-SEARCH("(",Tabela4[[#This Row],[Cenário]])-1),"")&amp;"_"&amp;ROW()</f>
        <v>OUT-Y002_83</v>
      </c>
      <c r="B83" t="s">
        <v>358</v>
      </c>
      <c r="C83" t="s">
        <v>413</v>
      </c>
      <c r="D83" t="s">
        <v>365</v>
      </c>
      <c r="E83">
        <v>2</v>
      </c>
      <c r="F83" t="s">
        <v>365</v>
      </c>
      <c r="G83" t="s">
        <v>310</v>
      </c>
      <c r="H83" s="13">
        <v>15603606</v>
      </c>
      <c r="I83" s="13" t="s">
        <v>414</v>
      </c>
      <c r="J83" s="13"/>
      <c r="K83" s="9" t="s">
        <v>271</v>
      </c>
      <c r="L83" s="78">
        <v>45946</v>
      </c>
      <c r="N83" s="78">
        <v>45946</v>
      </c>
      <c r="O83" s="31"/>
      <c r="P83" s="9"/>
      <c r="Q83" s="9">
        <f>COUNTIF(Tabela4[[#All],[Cenário]],Tabela4[[#This Row],[Cenário]])</f>
        <v>8</v>
      </c>
      <c r="R83">
        <f>COUNTIFS(Tabela4[[#All],[Cenário]],Tabela4[[#This Row],[Cenário]],Tabela4[[#All],[Status]],"Keyuser - Concluído ")</f>
        <v>7</v>
      </c>
      <c r="S83" t="str">
        <f>IF(Tabela4[[#This Row],[Tarefas por Cenário]]-Tabela4[[#This Row],[Tarefas Concluídas]]&gt;0,"Não","Sim")</f>
        <v>Não</v>
      </c>
      <c r="T83">
        <f>COUNTIFS(Tabela4[[#All],[Cenário]],Tabela4[[#This Row],[Cenário]],Tabela4[[#All],[Status]],Tabela4[[#Headers],[Elo - Em correção ]])</f>
        <v>0</v>
      </c>
      <c r="U83">
        <f>COUNTIFS(Tabela4[[#All],[Cenário]],Tabela4[[#This Row],[Cenário]],Tabela4[[#All],[Status]],Tabela4[[#Headers],[Keyuser - Aguardando tarefa precedente]])</f>
        <v>0</v>
      </c>
      <c r="V83">
        <f>COUNTIFS(Tabela4[[#All],[Cenário]],Tabela4[[#This Row],[Cenário]],Tabela4[[#All],[Status]],Tabela4[[#Headers],[Não liberado  para testes]])</f>
        <v>1</v>
      </c>
      <c r="W83" t="str">
        <f>IF(Tabela4[[#This Row],[Elo - Em correção ]]&gt;0,"Sim","Não")</f>
        <v>Não</v>
      </c>
      <c r="X83" t="str">
        <f>IF(Tabela4[[#This Row],[Keyuser - Aguardando tarefa precedente]]&gt;0,"Sim","Não")</f>
        <v>Não</v>
      </c>
      <c r="Y83" t="str">
        <f>IF(Tabela4[[#This Row],[Não liberado  para testes]]&gt;0,"Sim","Não")</f>
        <v>Sim</v>
      </c>
      <c r="Z83" t="str">
        <f ca="1">IF(Tabela4[[#This Row],[Status]]="Keyuser - Pendente",NETWORKDAYS(Tabela4[[#This Row],[Dt Inicial]],TODAY()),"")</f>
        <v/>
      </c>
      <c r="AA83" t="b">
        <f>AND(Tabela4[[#This Row],[Status]]="Keyuser - Aguardando tarefa precedente",K82="Keyuser - Concluído ")</f>
        <v>0</v>
      </c>
    </row>
    <row r="84" spans="1:27" x14ac:dyDescent="0.25">
      <c r="A84" t="str">
        <f>"OUT-"&amp;IFERROR(MID(Tabela4[[#This Row],[Cenário]],SEARCH("(",Tabela4[[#This Row],[Cenário]])+1,SEARCH(")",Tabela4[[#This Row],[Cenário]])-SEARCH("(",Tabela4[[#This Row],[Cenário]])-1),"")&amp;"_"&amp;ROW()</f>
        <v>OUT-Y002_84</v>
      </c>
      <c r="B84" t="s">
        <v>358</v>
      </c>
      <c r="C84" t="s">
        <v>413</v>
      </c>
      <c r="D84" t="s">
        <v>366</v>
      </c>
      <c r="E84">
        <v>3</v>
      </c>
      <c r="F84" t="s">
        <v>366</v>
      </c>
      <c r="G84" t="s">
        <v>367</v>
      </c>
      <c r="H84" s="13">
        <v>15603606</v>
      </c>
      <c r="I84" s="13" t="s">
        <v>414</v>
      </c>
      <c r="J84" s="13"/>
      <c r="K84" s="9" t="s">
        <v>271</v>
      </c>
      <c r="L84" s="78">
        <v>45946</v>
      </c>
      <c r="N84" s="78">
        <v>45946</v>
      </c>
      <c r="O84" s="31"/>
      <c r="P84" s="9"/>
      <c r="Q84" s="9">
        <f>COUNTIF(Tabela4[[#All],[Cenário]],Tabela4[[#This Row],[Cenário]])</f>
        <v>8</v>
      </c>
      <c r="R84">
        <f>COUNTIFS(Tabela4[[#All],[Cenário]],Tabela4[[#This Row],[Cenário]],Tabela4[[#All],[Status]],"Keyuser - Concluído ")</f>
        <v>7</v>
      </c>
      <c r="S84" t="str">
        <f>IF(Tabela4[[#This Row],[Tarefas por Cenário]]-Tabela4[[#This Row],[Tarefas Concluídas]]&gt;0,"Não","Sim")</f>
        <v>Não</v>
      </c>
      <c r="T84">
        <f>COUNTIFS(Tabela4[[#All],[Cenário]],Tabela4[[#This Row],[Cenário]],Tabela4[[#All],[Status]],Tabela4[[#Headers],[Elo - Em correção ]])</f>
        <v>0</v>
      </c>
      <c r="U84">
        <f>COUNTIFS(Tabela4[[#All],[Cenário]],Tabela4[[#This Row],[Cenário]],Tabela4[[#All],[Status]],Tabela4[[#Headers],[Keyuser - Aguardando tarefa precedente]])</f>
        <v>0</v>
      </c>
      <c r="V84">
        <f>COUNTIFS(Tabela4[[#All],[Cenário]],Tabela4[[#This Row],[Cenário]],Tabela4[[#All],[Status]],Tabela4[[#Headers],[Não liberado  para testes]])</f>
        <v>1</v>
      </c>
      <c r="W84" t="str">
        <f>IF(Tabela4[[#This Row],[Elo - Em correção ]]&gt;0,"Sim","Não")</f>
        <v>Não</v>
      </c>
      <c r="X84" t="str">
        <f>IF(Tabela4[[#This Row],[Keyuser - Aguardando tarefa precedente]]&gt;0,"Sim","Não")</f>
        <v>Não</v>
      </c>
      <c r="Y84" t="str">
        <f>IF(Tabela4[[#This Row],[Não liberado  para testes]]&gt;0,"Sim","Não")</f>
        <v>Sim</v>
      </c>
      <c r="Z84" t="str">
        <f ca="1">IF(Tabela4[[#This Row],[Status]]="Keyuser - Pendente",NETWORKDAYS(Tabela4[[#This Row],[Dt Inicial]],TODAY()),"")</f>
        <v/>
      </c>
      <c r="AA84" t="b">
        <f>AND(Tabela4[[#This Row],[Status]]="Keyuser - Aguardando tarefa precedente",K83="Keyuser - Concluído ")</f>
        <v>0</v>
      </c>
    </row>
    <row r="85" spans="1:27" x14ac:dyDescent="0.25">
      <c r="A85" t="str">
        <f>"OUT-"&amp;IFERROR(MID(Tabela4[[#This Row],[Cenário]],SEARCH("(",Tabela4[[#This Row],[Cenário]])+1,SEARCH(")",Tabela4[[#This Row],[Cenário]])-SEARCH("(",Tabela4[[#This Row],[Cenário]])-1),"")&amp;"_"&amp;ROW()</f>
        <v>OUT-Y002_85</v>
      </c>
      <c r="B85" t="s">
        <v>358</v>
      </c>
      <c r="C85" t="s">
        <v>413</v>
      </c>
      <c r="D85" t="s">
        <v>368</v>
      </c>
      <c r="E85">
        <v>4</v>
      </c>
      <c r="F85" t="s">
        <v>368</v>
      </c>
      <c r="G85" t="s">
        <v>369</v>
      </c>
      <c r="H85" s="13" t="s">
        <v>415</v>
      </c>
      <c r="I85" s="13"/>
      <c r="J85" s="13"/>
      <c r="K85" s="9" t="s">
        <v>271</v>
      </c>
      <c r="L85" s="78">
        <v>45947</v>
      </c>
      <c r="N85" s="78">
        <v>45947</v>
      </c>
      <c r="O85" s="31"/>
      <c r="P85" s="9"/>
      <c r="Q85" s="9">
        <f>COUNTIF(Tabela4[[#All],[Cenário]],Tabela4[[#This Row],[Cenário]])</f>
        <v>8</v>
      </c>
      <c r="R85">
        <f>COUNTIFS(Tabela4[[#All],[Cenário]],Tabela4[[#This Row],[Cenário]],Tabela4[[#All],[Status]],"Keyuser - Concluído ")</f>
        <v>7</v>
      </c>
      <c r="S85" t="str">
        <f>IF(Tabela4[[#This Row],[Tarefas por Cenário]]-Tabela4[[#This Row],[Tarefas Concluídas]]&gt;0,"Não","Sim")</f>
        <v>Não</v>
      </c>
      <c r="T85">
        <f>COUNTIFS(Tabela4[[#All],[Cenário]],Tabela4[[#This Row],[Cenário]],Tabela4[[#All],[Status]],Tabela4[[#Headers],[Elo - Em correção ]])</f>
        <v>0</v>
      </c>
      <c r="U85">
        <f>COUNTIFS(Tabela4[[#All],[Cenário]],Tabela4[[#This Row],[Cenário]],Tabela4[[#All],[Status]],Tabela4[[#Headers],[Keyuser - Aguardando tarefa precedente]])</f>
        <v>0</v>
      </c>
      <c r="V85">
        <f>COUNTIFS(Tabela4[[#All],[Cenário]],Tabela4[[#This Row],[Cenário]],Tabela4[[#All],[Status]],Tabela4[[#Headers],[Não liberado  para testes]])</f>
        <v>1</v>
      </c>
      <c r="W85" t="str">
        <f>IF(Tabela4[[#This Row],[Elo - Em correção ]]&gt;0,"Sim","Não")</f>
        <v>Não</v>
      </c>
      <c r="X85" t="str">
        <f>IF(Tabela4[[#This Row],[Keyuser - Aguardando tarefa precedente]]&gt;0,"Sim","Não")</f>
        <v>Não</v>
      </c>
      <c r="Y85" t="str">
        <f>IF(Tabela4[[#This Row],[Não liberado  para testes]]&gt;0,"Sim","Não")</f>
        <v>Sim</v>
      </c>
      <c r="Z85" t="str">
        <f ca="1">IF(Tabela4[[#This Row],[Status]]="Keyuser - Pendente",NETWORKDAYS(Tabela4[[#This Row],[Dt Inicial]],TODAY()),"")</f>
        <v/>
      </c>
      <c r="AA85" t="b">
        <f>AND(Tabela4[[#This Row],[Status]]="Keyuser - Aguardando tarefa precedente",K84="Keyuser - Concluído ")</f>
        <v>0</v>
      </c>
    </row>
    <row r="86" spans="1:27" x14ac:dyDescent="0.25">
      <c r="A86" t="str">
        <f>"OUT-"&amp;IFERROR(MID(Tabela4[[#This Row],[Cenário]],SEARCH("(",Tabela4[[#This Row],[Cenário]])+1,SEARCH(")",Tabela4[[#This Row],[Cenário]])-SEARCH("(",Tabela4[[#This Row],[Cenário]])-1),"")&amp;"_"&amp;ROW()</f>
        <v>OUT-Y002_86</v>
      </c>
      <c r="B86" t="s">
        <v>358</v>
      </c>
      <c r="C86" t="s">
        <v>413</v>
      </c>
      <c r="D86" t="s">
        <v>371</v>
      </c>
      <c r="E86">
        <v>5</v>
      </c>
      <c r="F86" t="s">
        <v>372</v>
      </c>
      <c r="G86" t="s">
        <v>287</v>
      </c>
      <c r="H86" s="13" t="s">
        <v>415</v>
      </c>
      <c r="I86" s="13"/>
      <c r="J86" s="13"/>
      <c r="K86" s="9" t="s">
        <v>271</v>
      </c>
      <c r="L86" s="78">
        <v>45947</v>
      </c>
      <c r="N86" s="78">
        <v>45947</v>
      </c>
      <c r="O86" s="31"/>
      <c r="P86" s="9"/>
      <c r="Q86" s="9">
        <f>COUNTIF(Tabela4[[#All],[Cenário]],Tabela4[[#This Row],[Cenário]])</f>
        <v>8</v>
      </c>
      <c r="R86">
        <f>COUNTIFS(Tabela4[[#All],[Cenário]],Tabela4[[#This Row],[Cenário]],Tabela4[[#All],[Status]],"Keyuser - Concluído ")</f>
        <v>7</v>
      </c>
      <c r="S86" t="str">
        <f>IF(Tabela4[[#This Row],[Tarefas por Cenário]]-Tabela4[[#This Row],[Tarefas Concluídas]]&gt;0,"Não","Sim")</f>
        <v>Não</v>
      </c>
      <c r="T86">
        <f>COUNTIFS(Tabela4[[#All],[Cenário]],Tabela4[[#This Row],[Cenário]],Tabela4[[#All],[Status]],Tabela4[[#Headers],[Elo - Em correção ]])</f>
        <v>0</v>
      </c>
      <c r="U86">
        <f>COUNTIFS(Tabela4[[#All],[Cenário]],Tabela4[[#This Row],[Cenário]],Tabela4[[#All],[Status]],Tabela4[[#Headers],[Keyuser - Aguardando tarefa precedente]])</f>
        <v>0</v>
      </c>
      <c r="V86">
        <f>COUNTIFS(Tabela4[[#All],[Cenário]],Tabela4[[#This Row],[Cenário]],Tabela4[[#All],[Status]],Tabela4[[#Headers],[Não liberado  para testes]])</f>
        <v>1</v>
      </c>
      <c r="W86" t="str">
        <f>IF(Tabela4[[#This Row],[Elo - Em correção ]]&gt;0,"Sim","Não")</f>
        <v>Não</v>
      </c>
      <c r="X86" t="str">
        <f>IF(Tabela4[[#This Row],[Keyuser - Aguardando tarefa precedente]]&gt;0,"Sim","Não")</f>
        <v>Não</v>
      </c>
      <c r="Y86" t="str">
        <f>IF(Tabela4[[#This Row],[Não liberado  para testes]]&gt;0,"Sim","Não")</f>
        <v>Sim</v>
      </c>
      <c r="Z86" t="str">
        <f ca="1">IF(Tabela4[[#This Row],[Status]]="Keyuser - Pendente",NETWORKDAYS(Tabela4[[#This Row],[Dt Inicial]],TODAY()),"")</f>
        <v/>
      </c>
      <c r="AA86" t="b">
        <f>AND(Tabela4[[#This Row],[Status]]="Keyuser - Aguardando tarefa precedente",K85="Keyuser - Concluído ")</f>
        <v>0</v>
      </c>
    </row>
    <row r="87" spans="1:27" x14ac:dyDescent="0.25">
      <c r="A87" t="str">
        <f>"OUT-"&amp;IFERROR(MID(Tabela4[[#This Row],[Cenário]],SEARCH("(",Tabela4[[#This Row],[Cenário]])+1,SEARCH(")",Tabela4[[#This Row],[Cenário]])-SEARCH("(",Tabela4[[#This Row],[Cenário]])-1),"")&amp;"_"&amp;ROW()</f>
        <v>OUT-Y002_87</v>
      </c>
      <c r="B87" t="s">
        <v>358</v>
      </c>
      <c r="C87" t="s">
        <v>413</v>
      </c>
      <c r="D87" t="s">
        <v>373</v>
      </c>
      <c r="E87">
        <v>6</v>
      </c>
      <c r="F87" t="s">
        <v>373</v>
      </c>
      <c r="G87" t="s">
        <v>283</v>
      </c>
      <c r="H87" s="13" t="s">
        <v>415</v>
      </c>
      <c r="I87" s="13"/>
      <c r="J87" s="13"/>
      <c r="K87" s="9" t="s">
        <v>271</v>
      </c>
      <c r="L87" s="78">
        <v>45950</v>
      </c>
      <c r="N87" s="78">
        <v>45950</v>
      </c>
      <c r="O87" s="31"/>
      <c r="P87" s="9"/>
      <c r="Q87" s="9">
        <f>COUNTIF(Tabela4[[#All],[Cenário]],Tabela4[[#This Row],[Cenário]])</f>
        <v>8</v>
      </c>
      <c r="R87">
        <f>COUNTIFS(Tabela4[[#All],[Cenário]],Tabela4[[#This Row],[Cenário]],Tabela4[[#All],[Status]],"Keyuser - Concluído ")</f>
        <v>7</v>
      </c>
      <c r="S87" t="str">
        <f>IF(Tabela4[[#This Row],[Tarefas por Cenário]]-Tabela4[[#This Row],[Tarefas Concluídas]]&gt;0,"Não","Sim")</f>
        <v>Não</v>
      </c>
      <c r="T87">
        <f>COUNTIFS(Tabela4[[#All],[Cenário]],Tabela4[[#This Row],[Cenário]],Tabela4[[#All],[Status]],Tabela4[[#Headers],[Elo - Em correção ]])</f>
        <v>0</v>
      </c>
      <c r="U87">
        <f>COUNTIFS(Tabela4[[#All],[Cenário]],Tabela4[[#This Row],[Cenário]],Tabela4[[#All],[Status]],Tabela4[[#Headers],[Keyuser - Aguardando tarefa precedente]])</f>
        <v>0</v>
      </c>
      <c r="V87">
        <f>COUNTIFS(Tabela4[[#All],[Cenário]],Tabela4[[#This Row],[Cenário]],Tabela4[[#All],[Status]],Tabela4[[#Headers],[Não liberado  para testes]])</f>
        <v>1</v>
      </c>
      <c r="W87" t="str">
        <f>IF(Tabela4[[#This Row],[Elo - Em correção ]]&gt;0,"Sim","Não")</f>
        <v>Não</v>
      </c>
      <c r="X87" t="str">
        <f>IF(Tabela4[[#This Row],[Keyuser - Aguardando tarefa precedente]]&gt;0,"Sim","Não")</f>
        <v>Não</v>
      </c>
      <c r="Y87" t="str">
        <f>IF(Tabela4[[#This Row],[Não liberado  para testes]]&gt;0,"Sim","Não")</f>
        <v>Sim</v>
      </c>
      <c r="Z87" t="str">
        <f ca="1">IF(Tabela4[[#This Row],[Status]]="Keyuser - Pendente",NETWORKDAYS(Tabela4[[#This Row],[Dt Inicial]],TODAY()),"")</f>
        <v/>
      </c>
      <c r="AA87" t="b">
        <f>AND(Tabela4[[#This Row],[Status]]="Keyuser - Aguardando tarefa precedente",K86="Keyuser - Concluído ")</f>
        <v>0</v>
      </c>
    </row>
    <row r="88" spans="1:27" x14ac:dyDescent="0.25">
      <c r="A88" t="str">
        <f>"OUT-"&amp;IFERROR(MID(Tabela4[[#This Row],[Cenário]],SEARCH("(",Tabela4[[#This Row],[Cenário]])+1,SEARCH(")",Tabela4[[#This Row],[Cenário]])-SEARCH("(",Tabela4[[#This Row],[Cenário]])-1),"")&amp;"_"&amp;ROW()</f>
        <v>OUT-Y002_88</v>
      </c>
      <c r="B88" t="s">
        <v>374</v>
      </c>
      <c r="C88" t="s">
        <v>413</v>
      </c>
      <c r="D88" t="s">
        <v>286</v>
      </c>
      <c r="E88">
        <v>7</v>
      </c>
      <c r="F88" t="s">
        <v>286</v>
      </c>
      <c r="G88" t="s">
        <v>287</v>
      </c>
      <c r="H88" s="13"/>
      <c r="I88" s="13"/>
      <c r="J88" s="13"/>
      <c r="K88" s="9" t="s">
        <v>262</v>
      </c>
      <c r="N88" s="78"/>
      <c r="O88" s="31"/>
      <c r="P88" s="9"/>
      <c r="Q88" s="9">
        <f>COUNTIF(Tabela4[[#All],[Cenário]],Tabela4[[#This Row],[Cenário]])</f>
        <v>8</v>
      </c>
      <c r="R88">
        <f>COUNTIFS(Tabela4[[#All],[Cenário]],Tabela4[[#This Row],[Cenário]],Tabela4[[#All],[Status]],"Keyuser - Concluído ")</f>
        <v>7</v>
      </c>
      <c r="S88" t="str">
        <f>IF(Tabela4[[#This Row],[Tarefas por Cenário]]-Tabela4[[#This Row],[Tarefas Concluídas]]&gt;0,"Não","Sim")</f>
        <v>Não</v>
      </c>
      <c r="T88">
        <f>COUNTIFS(Tabela4[[#All],[Cenário]],Tabela4[[#This Row],[Cenário]],Tabela4[[#All],[Status]],Tabela4[[#Headers],[Elo - Em correção ]])</f>
        <v>0</v>
      </c>
      <c r="U88">
        <f>COUNTIFS(Tabela4[[#All],[Cenário]],Tabela4[[#This Row],[Cenário]],Tabela4[[#All],[Status]],Tabela4[[#Headers],[Keyuser - Aguardando tarefa precedente]])</f>
        <v>0</v>
      </c>
      <c r="V88">
        <f>COUNTIFS(Tabela4[[#All],[Cenário]],Tabela4[[#This Row],[Cenário]],Tabela4[[#All],[Status]],Tabela4[[#Headers],[Não liberado  para testes]])</f>
        <v>1</v>
      </c>
      <c r="W88" t="str">
        <f>IF(Tabela4[[#This Row],[Elo - Em correção ]]&gt;0,"Sim","Não")</f>
        <v>Não</v>
      </c>
      <c r="X88" t="str">
        <f>IF(Tabela4[[#This Row],[Keyuser - Aguardando tarefa precedente]]&gt;0,"Sim","Não")</f>
        <v>Não</v>
      </c>
      <c r="Y88" t="str">
        <f>IF(Tabela4[[#This Row],[Não liberado  para testes]]&gt;0,"Sim","Não")</f>
        <v>Sim</v>
      </c>
      <c r="Z88" t="str">
        <f ca="1">IF(Tabela4[[#This Row],[Status]]="Keyuser - Pendente",NETWORKDAYS(Tabela4[[#This Row],[Dt Inicial]],TODAY()),"")</f>
        <v/>
      </c>
      <c r="AA88" t="b">
        <f>AND(Tabela4[[#This Row],[Status]]="Keyuser - Aguardando tarefa precedente",K87="Keyuser - Concluído ")</f>
        <v>0</v>
      </c>
    </row>
    <row r="89" spans="1:27" x14ac:dyDescent="0.25">
      <c r="A89" t="str">
        <f>"OUT-"&amp;IFERROR(MID(Tabela4[[#This Row],[Cenário]],SEARCH("(",Tabela4[[#This Row],[Cenário]])+1,SEARCH(")",Tabela4[[#This Row],[Cenário]])-SEARCH("(",Tabela4[[#This Row],[Cenário]])-1),"")&amp;"_"&amp;ROW()</f>
        <v>OUT-Y002_89</v>
      </c>
      <c r="B89" t="s">
        <v>358</v>
      </c>
      <c r="C89" t="s">
        <v>413</v>
      </c>
      <c r="D89" t="s">
        <v>375</v>
      </c>
      <c r="E89">
        <v>8</v>
      </c>
      <c r="F89" t="s">
        <v>375</v>
      </c>
      <c r="G89" t="s">
        <v>367</v>
      </c>
      <c r="H89" s="13">
        <v>15603606</v>
      </c>
      <c r="I89" s="13" t="s">
        <v>414</v>
      </c>
      <c r="J89" s="13"/>
      <c r="K89" s="9" t="s">
        <v>271</v>
      </c>
      <c r="L89" s="78">
        <v>45950</v>
      </c>
      <c r="N89" s="78">
        <v>45950</v>
      </c>
      <c r="O89" s="31"/>
      <c r="P89" s="9"/>
      <c r="Q89" s="9">
        <f>COUNTIF(Tabela4[[#All],[Cenário]],Tabela4[[#This Row],[Cenário]])</f>
        <v>8</v>
      </c>
      <c r="R89">
        <f>COUNTIFS(Tabela4[[#All],[Cenário]],Tabela4[[#This Row],[Cenário]],Tabela4[[#All],[Status]],"Keyuser - Concluído ")</f>
        <v>7</v>
      </c>
      <c r="S89" t="str">
        <f>IF(Tabela4[[#This Row],[Tarefas por Cenário]]-Tabela4[[#This Row],[Tarefas Concluídas]]&gt;0,"Não","Sim")</f>
        <v>Não</v>
      </c>
      <c r="T89">
        <f>COUNTIFS(Tabela4[[#All],[Cenário]],Tabela4[[#This Row],[Cenário]],Tabela4[[#All],[Status]],Tabela4[[#Headers],[Elo - Em correção ]])</f>
        <v>0</v>
      </c>
      <c r="U89">
        <f>COUNTIFS(Tabela4[[#All],[Cenário]],Tabela4[[#This Row],[Cenário]],Tabela4[[#All],[Status]],Tabela4[[#Headers],[Keyuser - Aguardando tarefa precedente]])</f>
        <v>0</v>
      </c>
      <c r="V89">
        <f>COUNTIFS(Tabela4[[#All],[Cenário]],Tabela4[[#This Row],[Cenário]],Tabela4[[#All],[Status]],Tabela4[[#Headers],[Não liberado  para testes]])</f>
        <v>1</v>
      </c>
      <c r="W89" t="str">
        <f>IF(Tabela4[[#This Row],[Elo - Em correção ]]&gt;0,"Sim","Não")</f>
        <v>Não</v>
      </c>
      <c r="X89" t="str">
        <f>IF(Tabela4[[#This Row],[Keyuser - Aguardando tarefa precedente]]&gt;0,"Sim","Não")</f>
        <v>Não</v>
      </c>
      <c r="Y89" t="str">
        <f>IF(Tabela4[[#This Row],[Não liberado  para testes]]&gt;0,"Sim","Não")</f>
        <v>Sim</v>
      </c>
      <c r="Z89" t="str">
        <f ca="1">IF(Tabela4[[#This Row],[Status]]="Keyuser - Pendente",NETWORKDAYS(Tabela4[[#This Row],[Dt Inicial]],TODAY()),"")</f>
        <v/>
      </c>
      <c r="AA89" t="b">
        <f>AND(Tabela4[[#This Row],[Status]]="Keyuser - Aguardando tarefa precedente",K88="Keyuser - Concluído ")</f>
        <v>0</v>
      </c>
    </row>
    <row r="90" spans="1:27" x14ac:dyDescent="0.25">
      <c r="A90" t="str">
        <f>"OUT-"&amp;IFERROR(MID(Tabela4[[#This Row],[Cenário]],SEARCH("(",Tabela4[[#This Row],[Cenário]])+1,SEARCH(")",Tabela4[[#This Row],[Cenário]])-SEARCH("(",Tabela4[[#This Row],[Cenário]])-1),"")&amp;"_"&amp;ROW()</f>
        <v>OUT-YDEV_90</v>
      </c>
      <c r="B90" t="s">
        <v>358</v>
      </c>
      <c r="C90" t="s">
        <v>416</v>
      </c>
      <c r="D90" t="s">
        <v>360</v>
      </c>
      <c r="E90">
        <v>1</v>
      </c>
      <c r="F90" t="s">
        <v>360</v>
      </c>
      <c r="G90" t="s">
        <v>377</v>
      </c>
      <c r="H90" s="13">
        <v>60668333</v>
      </c>
      <c r="I90" s="13"/>
      <c r="J90" s="13"/>
      <c r="K90" s="9" t="s">
        <v>271</v>
      </c>
      <c r="L90" s="78">
        <v>45958</v>
      </c>
      <c r="N90" s="78">
        <v>45958</v>
      </c>
      <c r="O90" s="31"/>
      <c r="P90" s="9"/>
      <c r="Q90" s="9">
        <f>COUNTIF(Tabela4[[#All],[Cenário]],Tabela4[[#This Row],[Cenário]])</f>
        <v>6</v>
      </c>
      <c r="R90">
        <f>COUNTIFS(Tabela4[[#All],[Cenário]],Tabela4[[#This Row],[Cenário]],Tabela4[[#All],[Status]],"Keyuser - Concluído ")</f>
        <v>5</v>
      </c>
      <c r="S90" t="str">
        <f>IF(Tabela4[[#This Row],[Tarefas por Cenário]]-Tabela4[[#This Row],[Tarefas Concluídas]]&gt;0,"Não","Sim")</f>
        <v>Não</v>
      </c>
      <c r="T90">
        <f>COUNTIFS(Tabela4[[#All],[Cenário]],Tabela4[[#This Row],[Cenário]],Tabela4[[#All],[Status]],Tabela4[[#Headers],[Elo - Em correção ]])</f>
        <v>0</v>
      </c>
      <c r="U90">
        <f>COUNTIFS(Tabela4[[#All],[Cenário]],Tabela4[[#This Row],[Cenário]],Tabela4[[#All],[Status]],Tabela4[[#Headers],[Keyuser - Aguardando tarefa precedente]])</f>
        <v>0</v>
      </c>
      <c r="V90">
        <f>COUNTIFS(Tabela4[[#All],[Cenário]],Tabela4[[#This Row],[Cenário]],Tabela4[[#All],[Status]],Tabela4[[#Headers],[Não liberado  para testes]])</f>
        <v>1</v>
      </c>
      <c r="W90" t="str">
        <f>IF(Tabela4[[#This Row],[Elo - Em correção ]]&gt;0,"Sim","Não")</f>
        <v>Não</v>
      </c>
      <c r="X90" t="str">
        <f>IF(Tabela4[[#This Row],[Keyuser - Aguardando tarefa precedente]]&gt;0,"Sim","Não")</f>
        <v>Não</v>
      </c>
      <c r="Y90" t="str">
        <f>IF(Tabela4[[#This Row],[Não liberado  para testes]]&gt;0,"Sim","Não")</f>
        <v>Sim</v>
      </c>
      <c r="Z90" t="str">
        <f ca="1">IF(Tabela4[[#This Row],[Status]]="Keyuser - Pendente",NETWORKDAYS(Tabela4[[#This Row],[Dt Inicial]],TODAY()),"")</f>
        <v/>
      </c>
      <c r="AA90" t="b">
        <f>AND(Tabela4[[#This Row],[Status]]="Keyuser - Aguardando tarefa precedente",K89="Keyuser - Concluído ")</f>
        <v>0</v>
      </c>
    </row>
    <row r="91" spans="1:27" x14ac:dyDescent="0.25">
      <c r="A91" t="str">
        <f>"OUT-"&amp;IFERROR(MID(Tabela4[[#This Row],[Cenário]],SEARCH("(",Tabela4[[#This Row],[Cenário]])+1,SEARCH(")",Tabela4[[#This Row],[Cenário]])-SEARCH("(",Tabela4[[#This Row],[Cenário]])-1),"")&amp;"_"&amp;ROW()</f>
        <v>OUT-YDEV_91</v>
      </c>
      <c r="B91" t="s">
        <v>358</v>
      </c>
      <c r="C91" t="s">
        <v>416</v>
      </c>
      <c r="D91" t="s">
        <v>365</v>
      </c>
      <c r="E91">
        <v>2</v>
      </c>
      <c r="F91" t="s">
        <v>365</v>
      </c>
      <c r="G91" t="s">
        <v>310</v>
      </c>
      <c r="H91" s="13">
        <v>60668333</v>
      </c>
      <c r="I91" s="13"/>
      <c r="J91" s="13"/>
      <c r="K91" s="9" t="s">
        <v>271</v>
      </c>
      <c r="L91" s="78">
        <v>45958</v>
      </c>
      <c r="N91" s="78">
        <v>45958</v>
      </c>
      <c r="O91" s="31"/>
      <c r="P91" s="9"/>
      <c r="Q91" s="9">
        <f>COUNTIF(Tabela4[[#All],[Cenário]],Tabela4[[#This Row],[Cenário]])</f>
        <v>6</v>
      </c>
      <c r="R91">
        <f>COUNTIFS(Tabela4[[#All],[Cenário]],Tabela4[[#This Row],[Cenário]],Tabela4[[#All],[Status]],"Keyuser - Concluído ")</f>
        <v>5</v>
      </c>
      <c r="S91" t="str">
        <f>IF(Tabela4[[#This Row],[Tarefas por Cenário]]-Tabela4[[#This Row],[Tarefas Concluídas]]&gt;0,"Não","Sim")</f>
        <v>Não</v>
      </c>
      <c r="T91">
        <f>COUNTIFS(Tabela4[[#All],[Cenário]],Tabela4[[#This Row],[Cenário]],Tabela4[[#All],[Status]],Tabela4[[#Headers],[Elo - Em correção ]])</f>
        <v>0</v>
      </c>
      <c r="U91">
        <f>COUNTIFS(Tabela4[[#All],[Cenário]],Tabela4[[#This Row],[Cenário]],Tabela4[[#All],[Status]],Tabela4[[#Headers],[Keyuser - Aguardando tarefa precedente]])</f>
        <v>0</v>
      </c>
      <c r="V91">
        <f>COUNTIFS(Tabela4[[#All],[Cenário]],Tabela4[[#This Row],[Cenário]],Tabela4[[#All],[Status]],Tabela4[[#Headers],[Não liberado  para testes]])</f>
        <v>1</v>
      </c>
      <c r="W91" t="str">
        <f>IF(Tabela4[[#This Row],[Elo - Em correção ]]&gt;0,"Sim","Não")</f>
        <v>Não</v>
      </c>
      <c r="X91" t="str">
        <f>IF(Tabela4[[#This Row],[Keyuser - Aguardando tarefa precedente]]&gt;0,"Sim","Não")</f>
        <v>Não</v>
      </c>
      <c r="Y91" t="str">
        <f>IF(Tabela4[[#This Row],[Não liberado  para testes]]&gt;0,"Sim","Não")</f>
        <v>Sim</v>
      </c>
      <c r="Z91" t="str">
        <f ca="1">IF(Tabela4[[#This Row],[Status]]="Keyuser - Pendente",NETWORKDAYS(Tabela4[[#This Row],[Dt Inicial]],TODAY()),"")</f>
        <v/>
      </c>
      <c r="AA91" t="b">
        <f>AND(Tabela4[[#This Row],[Status]]="Keyuser - Aguardando tarefa precedente",K90="Keyuser - Concluído ")</f>
        <v>0</v>
      </c>
    </row>
    <row r="92" spans="1:27" x14ac:dyDescent="0.25">
      <c r="A92" t="str">
        <f>"OUT-"&amp;IFERROR(MID(Tabela4[[#This Row],[Cenário]],SEARCH("(",Tabela4[[#This Row],[Cenário]])+1,SEARCH(")",Tabela4[[#This Row],[Cenário]])-SEARCH("(",Tabela4[[#This Row],[Cenário]])-1),"")&amp;"_"&amp;ROW()</f>
        <v>OUT-YDEV_92</v>
      </c>
      <c r="B92" t="s">
        <v>358</v>
      </c>
      <c r="C92" t="s">
        <v>416</v>
      </c>
      <c r="D92" t="s">
        <v>368</v>
      </c>
      <c r="E92">
        <v>3</v>
      </c>
      <c r="F92" t="s">
        <v>368</v>
      </c>
      <c r="G92" t="s">
        <v>377</v>
      </c>
      <c r="H92" s="13" t="s">
        <v>417</v>
      </c>
      <c r="I92" s="13"/>
      <c r="J92" s="13"/>
      <c r="K92" s="9" t="s">
        <v>271</v>
      </c>
      <c r="L92" s="78">
        <v>45959</v>
      </c>
      <c r="N92" s="78">
        <v>45959</v>
      </c>
      <c r="O92" s="31" t="s">
        <v>418</v>
      </c>
      <c r="P92" s="9"/>
      <c r="Q92" s="9">
        <f>COUNTIF(Tabela4[[#All],[Cenário]],Tabela4[[#This Row],[Cenário]])</f>
        <v>6</v>
      </c>
      <c r="R92">
        <f>COUNTIFS(Tabela4[[#All],[Cenário]],Tabela4[[#This Row],[Cenário]],Tabela4[[#All],[Status]],"Keyuser - Concluído ")</f>
        <v>5</v>
      </c>
      <c r="S92" t="str">
        <f>IF(Tabela4[[#This Row],[Tarefas por Cenário]]-Tabela4[[#This Row],[Tarefas Concluídas]]&gt;0,"Não","Sim")</f>
        <v>Não</v>
      </c>
      <c r="T92">
        <f>COUNTIFS(Tabela4[[#All],[Cenário]],Tabela4[[#This Row],[Cenário]],Tabela4[[#All],[Status]],Tabela4[[#Headers],[Elo - Em correção ]])</f>
        <v>0</v>
      </c>
      <c r="U92">
        <f>COUNTIFS(Tabela4[[#All],[Cenário]],Tabela4[[#This Row],[Cenário]],Tabela4[[#All],[Status]],Tabela4[[#Headers],[Keyuser - Aguardando tarefa precedente]])</f>
        <v>0</v>
      </c>
      <c r="V92">
        <f>COUNTIFS(Tabela4[[#All],[Cenário]],Tabela4[[#This Row],[Cenário]],Tabela4[[#All],[Status]],Tabela4[[#Headers],[Não liberado  para testes]])</f>
        <v>1</v>
      </c>
      <c r="W92" t="str">
        <f>IF(Tabela4[[#This Row],[Elo - Em correção ]]&gt;0,"Sim","Não")</f>
        <v>Não</v>
      </c>
      <c r="X92" t="str">
        <f>IF(Tabela4[[#This Row],[Keyuser - Aguardando tarefa precedente]]&gt;0,"Sim","Não")</f>
        <v>Não</v>
      </c>
      <c r="Y92" t="str">
        <f>IF(Tabela4[[#This Row],[Não liberado  para testes]]&gt;0,"Sim","Não")</f>
        <v>Sim</v>
      </c>
      <c r="Z92" t="str">
        <f ca="1">IF(Tabela4[[#This Row],[Status]]="Keyuser - Pendente",NETWORKDAYS(Tabela4[[#This Row],[Dt Inicial]],TODAY()),"")</f>
        <v/>
      </c>
      <c r="AA92" t="b">
        <f>AND(Tabela4[[#This Row],[Status]]="Keyuser - Aguardando tarefa precedente",K91="Keyuser - Concluído ")</f>
        <v>0</v>
      </c>
    </row>
    <row r="93" spans="1:27" x14ac:dyDescent="0.25">
      <c r="A93" t="str">
        <f>"OUT-"&amp;IFERROR(MID(Tabela4[[#This Row],[Cenário]],SEARCH("(",Tabela4[[#This Row],[Cenário]])+1,SEARCH(")",Tabela4[[#This Row],[Cenário]])-SEARCH("(",Tabela4[[#This Row],[Cenário]])-1),"")&amp;"_"&amp;ROW()</f>
        <v>OUT-YDEV_93</v>
      </c>
      <c r="B93" t="s">
        <v>358</v>
      </c>
      <c r="C93" t="s">
        <v>416</v>
      </c>
      <c r="D93" t="s">
        <v>371</v>
      </c>
      <c r="E93">
        <v>4</v>
      </c>
      <c r="F93" t="s">
        <v>372</v>
      </c>
      <c r="G93" t="s">
        <v>287</v>
      </c>
      <c r="H93" s="13" t="s">
        <v>417</v>
      </c>
      <c r="I93" s="13"/>
      <c r="J93" s="13"/>
      <c r="K93" s="9" t="s">
        <v>271</v>
      </c>
      <c r="L93" s="78">
        <v>45959</v>
      </c>
      <c r="N93" s="78">
        <v>45959</v>
      </c>
      <c r="O93" s="31"/>
      <c r="P93" s="9"/>
      <c r="Q93" s="9">
        <f>COUNTIF(Tabela4[[#All],[Cenário]],Tabela4[[#This Row],[Cenário]])</f>
        <v>6</v>
      </c>
      <c r="R93">
        <f>COUNTIFS(Tabela4[[#All],[Cenário]],Tabela4[[#This Row],[Cenário]],Tabela4[[#All],[Status]],"Keyuser - Concluído ")</f>
        <v>5</v>
      </c>
      <c r="S93" t="str">
        <f>IF(Tabela4[[#This Row],[Tarefas por Cenário]]-Tabela4[[#This Row],[Tarefas Concluídas]]&gt;0,"Não","Sim")</f>
        <v>Não</v>
      </c>
      <c r="T93">
        <f>COUNTIFS(Tabela4[[#All],[Cenário]],Tabela4[[#This Row],[Cenário]],Tabela4[[#All],[Status]],Tabela4[[#Headers],[Elo - Em correção ]])</f>
        <v>0</v>
      </c>
      <c r="U93">
        <f>COUNTIFS(Tabela4[[#All],[Cenário]],Tabela4[[#This Row],[Cenário]],Tabela4[[#All],[Status]],Tabela4[[#Headers],[Keyuser - Aguardando tarefa precedente]])</f>
        <v>0</v>
      </c>
      <c r="V93">
        <f>COUNTIFS(Tabela4[[#All],[Cenário]],Tabela4[[#This Row],[Cenário]],Tabela4[[#All],[Status]],Tabela4[[#Headers],[Não liberado  para testes]])</f>
        <v>1</v>
      </c>
      <c r="W93" t="str">
        <f>IF(Tabela4[[#This Row],[Elo - Em correção ]]&gt;0,"Sim","Não")</f>
        <v>Não</v>
      </c>
      <c r="X93" t="str">
        <f>IF(Tabela4[[#This Row],[Keyuser - Aguardando tarefa precedente]]&gt;0,"Sim","Não")</f>
        <v>Não</v>
      </c>
      <c r="Y93" t="str">
        <f>IF(Tabela4[[#This Row],[Não liberado  para testes]]&gt;0,"Sim","Não")</f>
        <v>Sim</v>
      </c>
      <c r="Z93" t="str">
        <f ca="1">IF(Tabela4[[#This Row],[Status]]="Keyuser - Pendente",NETWORKDAYS(Tabela4[[#This Row],[Dt Inicial]],TODAY()),"")</f>
        <v/>
      </c>
      <c r="AA93" t="b">
        <f>AND(Tabela4[[#This Row],[Status]]="Keyuser - Aguardando tarefa precedente",K92="Keyuser - Concluído ")</f>
        <v>0</v>
      </c>
    </row>
    <row r="94" spans="1:27" x14ac:dyDescent="0.25">
      <c r="A94" t="str">
        <f>"OUT-"&amp;IFERROR(MID(Tabela4[[#This Row],[Cenário]],SEARCH("(",Tabela4[[#This Row],[Cenário]])+1,SEARCH(")",Tabela4[[#This Row],[Cenário]])-SEARCH("(",Tabela4[[#This Row],[Cenário]])-1),"")&amp;"_"&amp;ROW()</f>
        <v>OUT-YDEV_94</v>
      </c>
      <c r="B94" t="s">
        <v>358</v>
      </c>
      <c r="C94" t="s">
        <v>416</v>
      </c>
      <c r="D94" t="s">
        <v>373</v>
      </c>
      <c r="E94">
        <v>5</v>
      </c>
      <c r="F94" t="s">
        <v>373</v>
      </c>
      <c r="G94" t="s">
        <v>283</v>
      </c>
      <c r="H94" s="13" t="s">
        <v>417</v>
      </c>
      <c r="I94" s="13"/>
      <c r="J94" s="13"/>
      <c r="K94" s="9" t="s">
        <v>271</v>
      </c>
      <c r="L94" s="78">
        <v>45960</v>
      </c>
      <c r="N94" s="78">
        <v>45960</v>
      </c>
      <c r="O94" s="31"/>
      <c r="P94" s="9"/>
      <c r="Q94" s="9">
        <f>COUNTIF(Tabela4[[#All],[Cenário]],Tabela4[[#This Row],[Cenário]])</f>
        <v>6</v>
      </c>
      <c r="R94">
        <f>COUNTIFS(Tabela4[[#All],[Cenário]],Tabela4[[#This Row],[Cenário]],Tabela4[[#All],[Status]],"Keyuser - Concluído ")</f>
        <v>5</v>
      </c>
      <c r="S94" t="str">
        <f>IF(Tabela4[[#This Row],[Tarefas por Cenário]]-Tabela4[[#This Row],[Tarefas Concluídas]]&gt;0,"Não","Sim")</f>
        <v>Não</v>
      </c>
      <c r="T94">
        <f>COUNTIFS(Tabela4[[#All],[Cenário]],Tabela4[[#This Row],[Cenário]],Tabela4[[#All],[Status]],Tabela4[[#Headers],[Elo - Em correção ]])</f>
        <v>0</v>
      </c>
      <c r="U94">
        <f>COUNTIFS(Tabela4[[#All],[Cenário]],Tabela4[[#This Row],[Cenário]],Tabela4[[#All],[Status]],Tabela4[[#Headers],[Keyuser - Aguardando tarefa precedente]])</f>
        <v>0</v>
      </c>
      <c r="V94">
        <f>COUNTIFS(Tabela4[[#All],[Cenário]],Tabela4[[#This Row],[Cenário]],Tabela4[[#All],[Status]],Tabela4[[#Headers],[Não liberado  para testes]])</f>
        <v>1</v>
      </c>
      <c r="W94" t="str">
        <f>IF(Tabela4[[#This Row],[Elo - Em correção ]]&gt;0,"Sim","Não")</f>
        <v>Não</v>
      </c>
      <c r="X94" t="str">
        <f>IF(Tabela4[[#This Row],[Keyuser - Aguardando tarefa precedente]]&gt;0,"Sim","Não")</f>
        <v>Não</v>
      </c>
      <c r="Y94" t="str">
        <f>IF(Tabela4[[#This Row],[Não liberado  para testes]]&gt;0,"Sim","Não")</f>
        <v>Sim</v>
      </c>
      <c r="Z94" t="str">
        <f ca="1">IF(Tabela4[[#This Row],[Status]]="Keyuser - Pendente",NETWORKDAYS(Tabela4[[#This Row],[Dt Inicial]],TODAY()),"")</f>
        <v/>
      </c>
      <c r="AA94" t="b">
        <f>AND(Tabela4[[#This Row],[Status]]="Keyuser - Aguardando tarefa precedente",K93="Keyuser - Concluído ")</f>
        <v>0</v>
      </c>
    </row>
    <row r="95" spans="1:27" x14ac:dyDescent="0.25">
      <c r="A95" t="str">
        <f>"OUT-"&amp;IFERROR(MID(Tabela4[[#This Row],[Cenário]],SEARCH("(",Tabela4[[#This Row],[Cenário]])+1,SEARCH(")",Tabela4[[#This Row],[Cenário]])-SEARCH("(",Tabela4[[#This Row],[Cenário]])-1),"")&amp;"_"&amp;ROW()</f>
        <v>OUT-YDEV_95</v>
      </c>
      <c r="B95" t="s">
        <v>374</v>
      </c>
      <c r="C95" t="s">
        <v>416</v>
      </c>
      <c r="D95" t="s">
        <v>286</v>
      </c>
      <c r="E95">
        <v>6</v>
      </c>
      <c r="F95" t="s">
        <v>286</v>
      </c>
      <c r="G95" t="s">
        <v>287</v>
      </c>
      <c r="H95" s="13"/>
      <c r="I95" s="13"/>
      <c r="J95" s="13"/>
      <c r="K95" s="9" t="s">
        <v>262</v>
      </c>
      <c r="N95" s="78"/>
      <c r="O95" s="31"/>
      <c r="P95" s="9"/>
      <c r="Q95" s="9">
        <f>COUNTIF(Tabela4[[#All],[Cenário]],Tabela4[[#This Row],[Cenário]])</f>
        <v>6</v>
      </c>
      <c r="R95">
        <f>COUNTIFS(Tabela4[[#All],[Cenário]],Tabela4[[#This Row],[Cenário]],Tabela4[[#All],[Status]],"Keyuser - Concluído ")</f>
        <v>5</v>
      </c>
      <c r="S95" t="str">
        <f>IF(Tabela4[[#This Row],[Tarefas por Cenário]]-Tabela4[[#This Row],[Tarefas Concluídas]]&gt;0,"Não","Sim")</f>
        <v>Não</v>
      </c>
      <c r="T95">
        <f>COUNTIFS(Tabela4[[#All],[Cenário]],Tabela4[[#This Row],[Cenário]],Tabela4[[#All],[Status]],Tabela4[[#Headers],[Elo - Em correção ]])</f>
        <v>0</v>
      </c>
      <c r="U95">
        <f>COUNTIFS(Tabela4[[#All],[Cenário]],Tabela4[[#This Row],[Cenário]],Tabela4[[#All],[Status]],Tabela4[[#Headers],[Keyuser - Aguardando tarefa precedente]])</f>
        <v>0</v>
      </c>
      <c r="V95">
        <f>COUNTIFS(Tabela4[[#All],[Cenário]],Tabela4[[#This Row],[Cenário]],Tabela4[[#All],[Status]],Tabela4[[#Headers],[Não liberado  para testes]])</f>
        <v>1</v>
      </c>
      <c r="W95" t="str">
        <f>IF(Tabela4[[#This Row],[Elo - Em correção ]]&gt;0,"Sim","Não")</f>
        <v>Não</v>
      </c>
      <c r="X95" t="str">
        <f>IF(Tabela4[[#This Row],[Keyuser - Aguardando tarefa precedente]]&gt;0,"Sim","Não")</f>
        <v>Não</v>
      </c>
      <c r="Y95" t="str">
        <f>IF(Tabela4[[#This Row],[Não liberado  para testes]]&gt;0,"Sim","Não")</f>
        <v>Sim</v>
      </c>
      <c r="Z95" t="str">
        <f ca="1">IF(Tabela4[[#This Row],[Status]]="Keyuser - Pendente",NETWORKDAYS(Tabela4[[#This Row],[Dt Inicial]],TODAY()),"")</f>
        <v/>
      </c>
      <c r="AA95" t="b">
        <f>AND(Tabela4[[#This Row],[Status]]="Keyuser - Aguardando tarefa precedente",K94="Keyuser - Concluído ")</f>
        <v>0</v>
      </c>
    </row>
    <row r="96" spans="1:27" x14ac:dyDescent="0.25">
      <c r="A96" t="str">
        <f>"OUT-"&amp;IFERROR(MID(Tabela4[[#This Row],[Cenário]],SEARCH("(",Tabela4[[#This Row],[Cenário]])+1,SEARCH(")",Tabela4[[#This Row],[Cenário]])-SEARCH("(",Tabela4[[#This Row],[Cenário]])-1),"")&amp;"_"&amp;ROW()</f>
        <v>OUT-YRET_96</v>
      </c>
      <c r="B96" t="s">
        <v>358</v>
      </c>
      <c r="C96" t="s">
        <v>419</v>
      </c>
      <c r="D96" t="s">
        <v>360</v>
      </c>
      <c r="E96">
        <v>1</v>
      </c>
      <c r="F96" t="s">
        <v>360</v>
      </c>
      <c r="G96" t="s">
        <v>377</v>
      </c>
      <c r="H96" s="13">
        <v>60668340</v>
      </c>
      <c r="I96" s="13"/>
      <c r="J96" s="13"/>
      <c r="K96" s="9" t="s">
        <v>271</v>
      </c>
      <c r="L96" s="78">
        <v>45958</v>
      </c>
      <c r="N96" s="78">
        <v>45958</v>
      </c>
      <c r="O96" s="31"/>
      <c r="P96" s="9"/>
      <c r="Q96" s="9">
        <f>COUNTIF(Tabela4[[#All],[Cenário]],Tabela4[[#This Row],[Cenário]])</f>
        <v>6</v>
      </c>
      <c r="R96">
        <f>COUNTIFS(Tabela4[[#All],[Cenário]],Tabela4[[#This Row],[Cenário]],Tabela4[[#All],[Status]],"Keyuser - Concluído ")</f>
        <v>5</v>
      </c>
      <c r="S96" t="str">
        <f>IF(Tabela4[[#This Row],[Tarefas por Cenário]]-Tabela4[[#This Row],[Tarefas Concluídas]]&gt;0,"Não","Sim")</f>
        <v>Não</v>
      </c>
      <c r="T96">
        <f>COUNTIFS(Tabela4[[#All],[Cenário]],Tabela4[[#This Row],[Cenário]],Tabela4[[#All],[Status]],Tabela4[[#Headers],[Elo - Em correção ]])</f>
        <v>0</v>
      </c>
      <c r="U96">
        <f>COUNTIFS(Tabela4[[#All],[Cenário]],Tabela4[[#This Row],[Cenário]],Tabela4[[#All],[Status]],Tabela4[[#Headers],[Keyuser - Aguardando tarefa precedente]])</f>
        <v>0</v>
      </c>
      <c r="V96">
        <f>COUNTIFS(Tabela4[[#All],[Cenário]],Tabela4[[#This Row],[Cenário]],Tabela4[[#All],[Status]],Tabela4[[#Headers],[Não liberado  para testes]])</f>
        <v>1</v>
      </c>
      <c r="W96" t="str">
        <f>IF(Tabela4[[#This Row],[Elo - Em correção ]]&gt;0,"Sim","Não")</f>
        <v>Não</v>
      </c>
      <c r="X96" t="str">
        <f>IF(Tabela4[[#This Row],[Keyuser - Aguardando tarefa precedente]]&gt;0,"Sim","Não")</f>
        <v>Não</v>
      </c>
      <c r="Y96" t="str">
        <f>IF(Tabela4[[#This Row],[Não liberado  para testes]]&gt;0,"Sim","Não")</f>
        <v>Sim</v>
      </c>
      <c r="Z96" t="str">
        <f ca="1">IF(Tabela4[[#This Row],[Status]]="Keyuser - Pendente",NETWORKDAYS(Tabela4[[#This Row],[Dt Inicial]],TODAY()),"")</f>
        <v/>
      </c>
      <c r="AA96" t="b">
        <f>AND(Tabela4[[#This Row],[Status]]="Keyuser - Aguardando tarefa precedente",K95="Keyuser - Concluído ")</f>
        <v>0</v>
      </c>
    </row>
    <row r="97" spans="1:27" x14ac:dyDescent="0.25">
      <c r="A97" t="str">
        <f>"OUT-"&amp;IFERROR(MID(Tabela4[[#This Row],[Cenário]],SEARCH("(",Tabela4[[#This Row],[Cenário]])+1,SEARCH(")",Tabela4[[#This Row],[Cenário]])-SEARCH("(",Tabela4[[#This Row],[Cenário]])-1),"")&amp;"_"&amp;ROW()</f>
        <v>OUT-YRET_97</v>
      </c>
      <c r="B97" t="s">
        <v>358</v>
      </c>
      <c r="C97" t="s">
        <v>419</v>
      </c>
      <c r="D97" t="s">
        <v>365</v>
      </c>
      <c r="E97">
        <v>2</v>
      </c>
      <c r="F97" t="s">
        <v>365</v>
      </c>
      <c r="G97" t="s">
        <v>310</v>
      </c>
      <c r="H97" s="13">
        <v>60668340</v>
      </c>
      <c r="I97" s="13"/>
      <c r="J97" s="13"/>
      <c r="K97" s="9" t="s">
        <v>271</v>
      </c>
      <c r="L97" s="78">
        <v>45958</v>
      </c>
      <c r="N97" s="78">
        <v>45958</v>
      </c>
      <c r="O97" s="31"/>
      <c r="P97" s="9"/>
      <c r="Q97" s="9">
        <f>COUNTIF(Tabela4[[#All],[Cenário]],Tabela4[[#This Row],[Cenário]])</f>
        <v>6</v>
      </c>
      <c r="R97">
        <f>COUNTIFS(Tabela4[[#All],[Cenário]],Tabela4[[#This Row],[Cenário]],Tabela4[[#All],[Status]],"Keyuser - Concluído ")</f>
        <v>5</v>
      </c>
      <c r="S97" t="str">
        <f>IF(Tabela4[[#This Row],[Tarefas por Cenário]]-Tabela4[[#This Row],[Tarefas Concluídas]]&gt;0,"Não","Sim")</f>
        <v>Não</v>
      </c>
      <c r="T97">
        <f>COUNTIFS(Tabela4[[#All],[Cenário]],Tabela4[[#This Row],[Cenário]],Tabela4[[#All],[Status]],Tabela4[[#Headers],[Elo - Em correção ]])</f>
        <v>0</v>
      </c>
      <c r="U97">
        <f>COUNTIFS(Tabela4[[#All],[Cenário]],Tabela4[[#This Row],[Cenário]],Tabela4[[#All],[Status]],Tabela4[[#Headers],[Keyuser - Aguardando tarefa precedente]])</f>
        <v>0</v>
      </c>
      <c r="V97">
        <f>COUNTIFS(Tabela4[[#All],[Cenário]],Tabela4[[#This Row],[Cenário]],Tabela4[[#All],[Status]],Tabela4[[#Headers],[Não liberado  para testes]])</f>
        <v>1</v>
      </c>
      <c r="W97" t="str">
        <f>IF(Tabela4[[#This Row],[Elo - Em correção ]]&gt;0,"Sim","Não")</f>
        <v>Não</v>
      </c>
      <c r="X97" t="str">
        <f>IF(Tabela4[[#This Row],[Keyuser - Aguardando tarefa precedente]]&gt;0,"Sim","Não")</f>
        <v>Não</v>
      </c>
      <c r="Y97" t="str">
        <f>IF(Tabela4[[#This Row],[Não liberado  para testes]]&gt;0,"Sim","Não")</f>
        <v>Sim</v>
      </c>
      <c r="Z97" t="str">
        <f ca="1">IF(Tabela4[[#This Row],[Status]]="Keyuser - Pendente",NETWORKDAYS(Tabela4[[#This Row],[Dt Inicial]],TODAY()),"")</f>
        <v/>
      </c>
      <c r="AA97" t="b">
        <f>AND(Tabela4[[#This Row],[Status]]="Keyuser - Aguardando tarefa precedente",K96="Keyuser - Concluído ")</f>
        <v>0</v>
      </c>
    </row>
    <row r="98" spans="1:27" x14ac:dyDescent="0.25">
      <c r="A98" t="str">
        <f>"OUT-"&amp;IFERROR(MID(Tabela4[[#This Row],[Cenário]],SEARCH("(",Tabela4[[#This Row],[Cenário]])+1,SEARCH(")",Tabela4[[#This Row],[Cenário]])-SEARCH("(",Tabela4[[#This Row],[Cenário]])-1),"")&amp;"_"&amp;ROW()</f>
        <v>OUT-YRET_98</v>
      </c>
      <c r="B98" t="s">
        <v>358</v>
      </c>
      <c r="C98" t="s">
        <v>419</v>
      </c>
      <c r="D98" t="s">
        <v>368</v>
      </c>
      <c r="E98">
        <v>3</v>
      </c>
      <c r="F98" t="s">
        <v>368</v>
      </c>
      <c r="G98" t="s">
        <v>377</v>
      </c>
      <c r="H98" s="13" t="s">
        <v>420</v>
      </c>
      <c r="I98" s="13"/>
      <c r="J98" s="13"/>
      <c r="K98" s="9" t="s">
        <v>271</v>
      </c>
      <c r="L98" s="78">
        <v>45959</v>
      </c>
      <c r="N98" s="78">
        <v>45959</v>
      </c>
      <c r="O98" s="31" t="s">
        <v>421</v>
      </c>
      <c r="P98" s="9"/>
      <c r="Q98" s="9">
        <f>COUNTIF(Tabela4[[#All],[Cenário]],Tabela4[[#This Row],[Cenário]])</f>
        <v>6</v>
      </c>
      <c r="R98">
        <f>COUNTIFS(Tabela4[[#All],[Cenário]],Tabela4[[#This Row],[Cenário]],Tabela4[[#All],[Status]],"Keyuser - Concluído ")</f>
        <v>5</v>
      </c>
      <c r="S98" t="str">
        <f>IF(Tabela4[[#This Row],[Tarefas por Cenário]]-Tabela4[[#This Row],[Tarefas Concluídas]]&gt;0,"Não","Sim")</f>
        <v>Não</v>
      </c>
      <c r="T98">
        <f>COUNTIFS(Tabela4[[#All],[Cenário]],Tabela4[[#This Row],[Cenário]],Tabela4[[#All],[Status]],Tabela4[[#Headers],[Elo - Em correção ]])</f>
        <v>0</v>
      </c>
      <c r="U98">
        <f>COUNTIFS(Tabela4[[#All],[Cenário]],Tabela4[[#This Row],[Cenário]],Tabela4[[#All],[Status]],Tabela4[[#Headers],[Keyuser - Aguardando tarefa precedente]])</f>
        <v>0</v>
      </c>
      <c r="V98">
        <f>COUNTIFS(Tabela4[[#All],[Cenário]],Tabela4[[#This Row],[Cenário]],Tabela4[[#All],[Status]],Tabela4[[#Headers],[Não liberado  para testes]])</f>
        <v>1</v>
      </c>
      <c r="W98" t="str">
        <f>IF(Tabela4[[#This Row],[Elo - Em correção ]]&gt;0,"Sim","Não")</f>
        <v>Não</v>
      </c>
      <c r="X98" t="str">
        <f>IF(Tabela4[[#This Row],[Keyuser - Aguardando tarefa precedente]]&gt;0,"Sim","Não")</f>
        <v>Não</v>
      </c>
      <c r="Y98" t="str">
        <f>IF(Tabela4[[#This Row],[Não liberado  para testes]]&gt;0,"Sim","Não")</f>
        <v>Sim</v>
      </c>
      <c r="Z98" t="str">
        <f ca="1">IF(Tabela4[[#This Row],[Status]]="Keyuser - Pendente",NETWORKDAYS(Tabela4[[#This Row],[Dt Inicial]],TODAY()),"")</f>
        <v/>
      </c>
      <c r="AA98" t="b">
        <f>AND(Tabela4[[#This Row],[Status]]="Keyuser - Aguardando tarefa precedente",K97="Keyuser - Concluído ")</f>
        <v>0</v>
      </c>
    </row>
    <row r="99" spans="1:27" x14ac:dyDescent="0.25">
      <c r="A99" t="str">
        <f>"OUT-"&amp;IFERROR(MID(Tabela4[[#This Row],[Cenário]],SEARCH("(",Tabela4[[#This Row],[Cenário]])+1,SEARCH(")",Tabela4[[#This Row],[Cenário]])-SEARCH("(",Tabela4[[#This Row],[Cenário]])-1),"")&amp;"_"&amp;ROW()</f>
        <v>OUT-YRET_99</v>
      </c>
      <c r="B99" t="s">
        <v>358</v>
      </c>
      <c r="C99" t="s">
        <v>419</v>
      </c>
      <c r="D99" t="s">
        <v>371</v>
      </c>
      <c r="E99">
        <v>4</v>
      </c>
      <c r="F99" t="s">
        <v>372</v>
      </c>
      <c r="G99" t="s">
        <v>287</v>
      </c>
      <c r="H99" s="13" t="s">
        <v>420</v>
      </c>
      <c r="I99" s="13"/>
      <c r="J99" s="13"/>
      <c r="K99" s="9" t="s">
        <v>271</v>
      </c>
      <c r="L99" s="78">
        <v>45960</v>
      </c>
      <c r="N99" s="78">
        <v>45960</v>
      </c>
      <c r="O99" s="31"/>
      <c r="P99" s="9"/>
      <c r="Q99" s="9">
        <f>COUNTIF(Tabela4[[#All],[Cenário]],Tabela4[[#This Row],[Cenário]])</f>
        <v>6</v>
      </c>
      <c r="R99">
        <f>COUNTIFS(Tabela4[[#All],[Cenário]],Tabela4[[#This Row],[Cenário]],Tabela4[[#All],[Status]],"Keyuser - Concluído ")</f>
        <v>5</v>
      </c>
      <c r="S99" t="str">
        <f>IF(Tabela4[[#This Row],[Tarefas por Cenário]]-Tabela4[[#This Row],[Tarefas Concluídas]]&gt;0,"Não","Sim")</f>
        <v>Não</v>
      </c>
      <c r="T99">
        <f>COUNTIFS(Tabela4[[#All],[Cenário]],Tabela4[[#This Row],[Cenário]],Tabela4[[#All],[Status]],Tabela4[[#Headers],[Elo - Em correção ]])</f>
        <v>0</v>
      </c>
      <c r="U99">
        <f>COUNTIFS(Tabela4[[#All],[Cenário]],Tabela4[[#This Row],[Cenário]],Tabela4[[#All],[Status]],Tabela4[[#Headers],[Keyuser - Aguardando tarefa precedente]])</f>
        <v>0</v>
      </c>
      <c r="V99">
        <f>COUNTIFS(Tabela4[[#All],[Cenário]],Tabela4[[#This Row],[Cenário]],Tabela4[[#All],[Status]],Tabela4[[#Headers],[Não liberado  para testes]])</f>
        <v>1</v>
      </c>
      <c r="W99" t="str">
        <f>IF(Tabela4[[#This Row],[Elo - Em correção ]]&gt;0,"Sim","Não")</f>
        <v>Não</v>
      </c>
      <c r="X99" t="str">
        <f>IF(Tabela4[[#This Row],[Keyuser - Aguardando tarefa precedente]]&gt;0,"Sim","Não")</f>
        <v>Não</v>
      </c>
      <c r="Y99" t="str">
        <f>IF(Tabela4[[#This Row],[Não liberado  para testes]]&gt;0,"Sim","Não")</f>
        <v>Sim</v>
      </c>
      <c r="Z99" t="str">
        <f ca="1">IF(Tabela4[[#This Row],[Status]]="Keyuser - Pendente",NETWORKDAYS(Tabela4[[#This Row],[Dt Inicial]],TODAY()),"")</f>
        <v/>
      </c>
      <c r="AA99" t="b">
        <f>AND(Tabela4[[#This Row],[Status]]="Keyuser - Aguardando tarefa precedente",K98="Keyuser - Concluído ")</f>
        <v>0</v>
      </c>
    </row>
    <row r="100" spans="1:27" x14ac:dyDescent="0.25">
      <c r="A100" t="str">
        <f>"OUT-"&amp;IFERROR(MID(Tabela4[[#This Row],[Cenário]],SEARCH("(",Tabela4[[#This Row],[Cenário]])+1,SEARCH(")",Tabela4[[#This Row],[Cenário]])-SEARCH("(",Tabela4[[#This Row],[Cenário]])-1),"")&amp;"_"&amp;ROW()</f>
        <v>OUT-YRET_100</v>
      </c>
      <c r="B100" t="s">
        <v>358</v>
      </c>
      <c r="C100" t="s">
        <v>419</v>
      </c>
      <c r="D100" t="s">
        <v>373</v>
      </c>
      <c r="E100">
        <v>5</v>
      </c>
      <c r="F100" t="s">
        <v>373</v>
      </c>
      <c r="G100" t="s">
        <v>283</v>
      </c>
      <c r="H100" s="13" t="s">
        <v>420</v>
      </c>
      <c r="I100" s="13"/>
      <c r="J100" s="13"/>
      <c r="K100" s="9" t="s">
        <v>271</v>
      </c>
      <c r="L100" s="78">
        <v>45960</v>
      </c>
      <c r="N100" s="78">
        <v>45960</v>
      </c>
      <c r="O100" s="31"/>
      <c r="P100" s="9"/>
      <c r="Q100" s="9">
        <f>COUNTIF(Tabela4[[#All],[Cenário]],Tabela4[[#This Row],[Cenário]])</f>
        <v>6</v>
      </c>
      <c r="R100">
        <f>COUNTIFS(Tabela4[[#All],[Cenário]],Tabela4[[#This Row],[Cenário]],Tabela4[[#All],[Status]],"Keyuser - Concluído ")</f>
        <v>5</v>
      </c>
      <c r="S100" t="str">
        <f>IF(Tabela4[[#This Row],[Tarefas por Cenário]]-Tabela4[[#This Row],[Tarefas Concluídas]]&gt;0,"Não","Sim")</f>
        <v>Não</v>
      </c>
      <c r="T100">
        <f>COUNTIFS(Tabela4[[#All],[Cenário]],Tabela4[[#This Row],[Cenário]],Tabela4[[#All],[Status]],Tabela4[[#Headers],[Elo - Em correção ]])</f>
        <v>0</v>
      </c>
      <c r="U100">
        <f>COUNTIFS(Tabela4[[#All],[Cenário]],Tabela4[[#This Row],[Cenário]],Tabela4[[#All],[Status]],Tabela4[[#Headers],[Keyuser - Aguardando tarefa precedente]])</f>
        <v>0</v>
      </c>
      <c r="V100">
        <f>COUNTIFS(Tabela4[[#All],[Cenário]],Tabela4[[#This Row],[Cenário]],Tabela4[[#All],[Status]],Tabela4[[#Headers],[Não liberado  para testes]])</f>
        <v>1</v>
      </c>
      <c r="W100" t="str">
        <f>IF(Tabela4[[#This Row],[Elo - Em correção ]]&gt;0,"Sim","Não")</f>
        <v>Não</v>
      </c>
      <c r="X100" t="str">
        <f>IF(Tabela4[[#This Row],[Keyuser - Aguardando tarefa precedente]]&gt;0,"Sim","Não")</f>
        <v>Não</v>
      </c>
      <c r="Y100" t="str">
        <f>IF(Tabela4[[#This Row],[Não liberado  para testes]]&gt;0,"Sim","Não")</f>
        <v>Sim</v>
      </c>
      <c r="Z100" t="str">
        <f ca="1">IF(Tabela4[[#This Row],[Status]]="Keyuser - Pendente",NETWORKDAYS(Tabela4[[#This Row],[Dt Inicial]],TODAY()),"")</f>
        <v/>
      </c>
      <c r="AA100" t="b">
        <f>AND(Tabela4[[#This Row],[Status]]="Keyuser - Aguardando tarefa precedente",K99="Keyuser - Concluído ")</f>
        <v>0</v>
      </c>
    </row>
    <row r="101" spans="1:27" x14ac:dyDescent="0.25">
      <c r="A101" t="str">
        <f>"OUT-"&amp;IFERROR(MID(Tabela4[[#This Row],[Cenário]],SEARCH("(",Tabela4[[#This Row],[Cenário]])+1,SEARCH(")",Tabela4[[#This Row],[Cenário]])-SEARCH("(",Tabela4[[#This Row],[Cenário]])-1),"")&amp;"_"&amp;ROW()</f>
        <v>OUT-YRET_101</v>
      </c>
      <c r="B101" t="s">
        <v>374</v>
      </c>
      <c r="C101" t="s">
        <v>419</v>
      </c>
      <c r="D101" t="s">
        <v>286</v>
      </c>
      <c r="E101">
        <v>6</v>
      </c>
      <c r="F101" t="s">
        <v>286</v>
      </c>
      <c r="G101" t="s">
        <v>287</v>
      </c>
      <c r="H101" s="13"/>
      <c r="I101" s="13"/>
      <c r="J101" s="13"/>
      <c r="K101" s="9" t="s">
        <v>262</v>
      </c>
      <c r="N101" s="78"/>
      <c r="O101" s="31"/>
      <c r="P101" s="9"/>
      <c r="Q101" s="9">
        <f>COUNTIF(Tabela4[[#All],[Cenário]],Tabela4[[#This Row],[Cenário]])</f>
        <v>6</v>
      </c>
      <c r="R101">
        <f>COUNTIFS(Tabela4[[#All],[Cenário]],Tabela4[[#This Row],[Cenário]],Tabela4[[#All],[Status]],"Keyuser - Concluído ")</f>
        <v>5</v>
      </c>
      <c r="S101" t="str">
        <f>IF(Tabela4[[#This Row],[Tarefas por Cenário]]-Tabela4[[#This Row],[Tarefas Concluídas]]&gt;0,"Não","Sim")</f>
        <v>Não</v>
      </c>
      <c r="T101">
        <f>COUNTIFS(Tabela4[[#All],[Cenário]],Tabela4[[#This Row],[Cenário]],Tabela4[[#All],[Status]],Tabela4[[#Headers],[Elo - Em correção ]])</f>
        <v>0</v>
      </c>
      <c r="U101">
        <f>COUNTIFS(Tabela4[[#All],[Cenário]],Tabela4[[#This Row],[Cenário]],Tabela4[[#All],[Status]],Tabela4[[#Headers],[Keyuser - Aguardando tarefa precedente]])</f>
        <v>0</v>
      </c>
      <c r="V101">
        <f>COUNTIFS(Tabela4[[#All],[Cenário]],Tabela4[[#This Row],[Cenário]],Tabela4[[#All],[Status]],Tabela4[[#Headers],[Não liberado  para testes]])</f>
        <v>1</v>
      </c>
      <c r="W101" t="str">
        <f>IF(Tabela4[[#This Row],[Elo - Em correção ]]&gt;0,"Sim","Não")</f>
        <v>Não</v>
      </c>
      <c r="X101" t="str">
        <f>IF(Tabela4[[#This Row],[Keyuser - Aguardando tarefa precedente]]&gt;0,"Sim","Não")</f>
        <v>Não</v>
      </c>
      <c r="Y101" t="str">
        <f>IF(Tabela4[[#This Row],[Não liberado  para testes]]&gt;0,"Sim","Não")</f>
        <v>Sim</v>
      </c>
      <c r="Z101" t="str">
        <f ca="1">IF(Tabela4[[#This Row],[Status]]="Keyuser - Pendente",NETWORKDAYS(Tabela4[[#This Row],[Dt Inicial]],TODAY()),"")</f>
        <v/>
      </c>
      <c r="AA101" t="b">
        <f>AND(Tabela4[[#This Row],[Status]]="Keyuser - Aguardando tarefa precedente",K100="Keyuser - Concluído ")</f>
        <v>0</v>
      </c>
    </row>
    <row r="102" spans="1:27" x14ac:dyDescent="0.25">
      <c r="A102" t="str">
        <f>"OUT-"&amp;IFERROR(MID(Tabela4[[#This Row],[Cenário]],SEARCH("(",Tabela4[[#This Row],[Cenário]])+1,SEARCH(")",Tabela4[[#This Row],[Cenário]])-SEARCH("(",Tabela4[[#This Row],[Cenário]])-1),"")&amp;"_"&amp;ROW()</f>
        <v>OUT-Y002_102</v>
      </c>
      <c r="B102" t="s">
        <v>358</v>
      </c>
      <c r="C102" t="s">
        <v>422</v>
      </c>
      <c r="D102" t="s">
        <v>360</v>
      </c>
      <c r="E102">
        <v>1</v>
      </c>
      <c r="F102" t="s">
        <v>360</v>
      </c>
      <c r="G102" t="s">
        <v>361</v>
      </c>
      <c r="H102" s="13">
        <v>15603607</v>
      </c>
      <c r="I102" s="13" t="s">
        <v>423</v>
      </c>
      <c r="J102" s="9" t="s">
        <v>364</v>
      </c>
      <c r="K102" s="9" t="s">
        <v>271</v>
      </c>
      <c r="L102" s="78">
        <v>45946</v>
      </c>
      <c r="N102" s="78">
        <v>45946</v>
      </c>
      <c r="O102" s="31"/>
      <c r="P102" s="9"/>
      <c r="Q102" s="9">
        <f>COUNTIF(Tabela4[[#All],[Cenário]],Tabela4[[#This Row],[Cenário]])</f>
        <v>8</v>
      </c>
      <c r="R102">
        <f>COUNTIFS(Tabela4[[#All],[Cenário]],Tabela4[[#This Row],[Cenário]],Tabela4[[#All],[Status]],"Keyuser - Concluído ")</f>
        <v>7</v>
      </c>
      <c r="S102" t="str">
        <f>IF(Tabela4[[#This Row],[Tarefas por Cenário]]-Tabela4[[#This Row],[Tarefas Concluídas]]&gt;0,"Não","Sim")</f>
        <v>Não</v>
      </c>
      <c r="T102">
        <f>COUNTIFS(Tabela4[[#All],[Cenário]],Tabela4[[#This Row],[Cenário]],Tabela4[[#All],[Status]],Tabela4[[#Headers],[Elo - Em correção ]])</f>
        <v>0</v>
      </c>
      <c r="U102">
        <f>COUNTIFS(Tabela4[[#All],[Cenário]],Tabela4[[#This Row],[Cenário]],Tabela4[[#All],[Status]],Tabela4[[#Headers],[Keyuser - Aguardando tarefa precedente]])</f>
        <v>0</v>
      </c>
      <c r="V102">
        <f>COUNTIFS(Tabela4[[#All],[Cenário]],Tabela4[[#This Row],[Cenário]],Tabela4[[#All],[Status]],Tabela4[[#Headers],[Não liberado  para testes]])</f>
        <v>1</v>
      </c>
      <c r="W102" t="str">
        <f>IF(Tabela4[[#This Row],[Elo - Em correção ]]&gt;0,"Sim","Não")</f>
        <v>Não</v>
      </c>
      <c r="X102" t="str">
        <f>IF(Tabela4[[#This Row],[Keyuser - Aguardando tarefa precedente]]&gt;0,"Sim","Não")</f>
        <v>Não</v>
      </c>
      <c r="Y102" t="str">
        <f>IF(Tabela4[[#This Row],[Não liberado  para testes]]&gt;0,"Sim","Não")</f>
        <v>Sim</v>
      </c>
      <c r="Z102" t="str">
        <f ca="1">IF(Tabela4[[#This Row],[Status]]="Keyuser - Pendente",NETWORKDAYS(Tabela4[[#This Row],[Dt Inicial]],TODAY()),"")</f>
        <v/>
      </c>
      <c r="AA102" t="b">
        <f>AND(Tabela4[[#This Row],[Status]]="Keyuser - Aguardando tarefa precedente",K101="Keyuser - Concluído ")</f>
        <v>0</v>
      </c>
    </row>
    <row r="103" spans="1:27" x14ac:dyDescent="0.25">
      <c r="A103" t="str">
        <f>"OUT-"&amp;IFERROR(MID(Tabela4[[#This Row],[Cenário]],SEARCH("(",Tabela4[[#This Row],[Cenário]])+1,SEARCH(")",Tabela4[[#This Row],[Cenário]])-SEARCH("(",Tabela4[[#This Row],[Cenário]])-1),"")&amp;"_"&amp;ROW()</f>
        <v>OUT-Y002_103</v>
      </c>
      <c r="B103" t="s">
        <v>358</v>
      </c>
      <c r="C103" t="s">
        <v>422</v>
      </c>
      <c r="D103" t="s">
        <v>365</v>
      </c>
      <c r="E103">
        <v>2</v>
      </c>
      <c r="F103" t="s">
        <v>365</v>
      </c>
      <c r="G103" t="s">
        <v>310</v>
      </c>
      <c r="H103" s="13">
        <v>15603607</v>
      </c>
      <c r="I103" s="13" t="s">
        <v>423</v>
      </c>
      <c r="J103" s="9" t="s">
        <v>364</v>
      </c>
      <c r="K103" s="9" t="s">
        <v>271</v>
      </c>
      <c r="L103" s="78">
        <v>45946</v>
      </c>
      <c r="N103" s="78">
        <v>45946</v>
      </c>
      <c r="O103" s="31"/>
      <c r="P103" s="9"/>
      <c r="Q103" s="9">
        <f>COUNTIF(Tabela4[[#All],[Cenário]],Tabela4[[#This Row],[Cenário]])</f>
        <v>8</v>
      </c>
      <c r="R103">
        <f>COUNTIFS(Tabela4[[#All],[Cenário]],Tabela4[[#This Row],[Cenário]],Tabela4[[#All],[Status]],"Keyuser - Concluído ")</f>
        <v>7</v>
      </c>
      <c r="S103" t="str">
        <f>IF(Tabela4[[#This Row],[Tarefas por Cenário]]-Tabela4[[#This Row],[Tarefas Concluídas]]&gt;0,"Não","Sim")</f>
        <v>Não</v>
      </c>
      <c r="T103">
        <f>COUNTIFS(Tabela4[[#All],[Cenário]],Tabela4[[#This Row],[Cenário]],Tabela4[[#All],[Status]],Tabela4[[#Headers],[Elo - Em correção ]])</f>
        <v>0</v>
      </c>
      <c r="U103">
        <f>COUNTIFS(Tabela4[[#All],[Cenário]],Tabela4[[#This Row],[Cenário]],Tabela4[[#All],[Status]],Tabela4[[#Headers],[Keyuser - Aguardando tarefa precedente]])</f>
        <v>0</v>
      </c>
      <c r="V103">
        <f>COUNTIFS(Tabela4[[#All],[Cenário]],Tabela4[[#This Row],[Cenário]],Tabela4[[#All],[Status]],Tabela4[[#Headers],[Não liberado  para testes]])</f>
        <v>1</v>
      </c>
      <c r="W103" t="str">
        <f>IF(Tabela4[[#This Row],[Elo - Em correção ]]&gt;0,"Sim","Não")</f>
        <v>Não</v>
      </c>
      <c r="X103" t="str">
        <f>IF(Tabela4[[#This Row],[Keyuser - Aguardando tarefa precedente]]&gt;0,"Sim","Não")</f>
        <v>Não</v>
      </c>
      <c r="Y103" t="str">
        <f>IF(Tabela4[[#This Row],[Não liberado  para testes]]&gt;0,"Sim","Não")</f>
        <v>Sim</v>
      </c>
      <c r="Z103" t="str">
        <f ca="1">IF(Tabela4[[#This Row],[Status]]="Keyuser - Pendente",NETWORKDAYS(Tabela4[[#This Row],[Dt Inicial]],TODAY()),"")</f>
        <v/>
      </c>
      <c r="AA103" t="b">
        <f>AND(Tabela4[[#This Row],[Status]]="Keyuser - Aguardando tarefa precedente",K102="Keyuser - Concluído ")</f>
        <v>0</v>
      </c>
    </row>
    <row r="104" spans="1:27" x14ac:dyDescent="0.25">
      <c r="A104" t="str">
        <f>"OUT-"&amp;IFERROR(MID(Tabela4[[#This Row],[Cenário]],SEARCH("(",Tabela4[[#This Row],[Cenário]])+1,SEARCH(")",Tabela4[[#This Row],[Cenário]])-SEARCH("(",Tabela4[[#This Row],[Cenário]])-1),"")&amp;"_"&amp;ROW()</f>
        <v>OUT-Y002_104</v>
      </c>
      <c r="B104" t="s">
        <v>358</v>
      </c>
      <c r="C104" t="s">
        <v>422</v>
      </c>
      <c r="D104" t="s">
        <v>366</v>
      </c>
      <c r="E104">
        <v>3</v>
      </c>
      <c r="F104" t="s">
        <v>366</v>
      </c>
      <c r="G104" t="s">
        <v>367</v>
      </c>
      <c r="H104" s="13">
        <v>15603607</v>
      </c>
      <c r="I104" s="13" t="s">
        <v>423</v>
      </c>
      <c r="J104" s="9" t="s">
        <v>364</v>
      </c>
      <c r="K104" s="9" t="s">
        <v>271</v>
      </c>
      <c r="L104" s="78">
        <v>45946</v>
      </c>
      <c r="N104" s="78">
        <v>45946</v>
      </c>
      <c r="O104" s="31"/>
      <c r="P104" s="9"/>
      <c r="Q104" s="9">
        <f>COUNTIF(Tabela4[[#All],[Cenário]],Tabela4[[#This Row],[Cenário]])</f>
        <v>8</v>
      </c>
      <c r="R104">
        <f>COUNTIFS(Tabela4[[#All],[Cenário]],Tabela4[[#This Row],[Cenário]],Tabela4[[#All],[Status]],"Keyuser - Concluído ")</f>
        <v>7</v>
      </c>
      <c r="S104" t="str">
        <f>IF(Tabela4[[#This Row],[Tarefas por Cenário]]-Tabela4[[#This Row],[Tarefas Concluídas]]&gt;0,"Não","Sim")</f>
        <v>Não</v>
      </c>
      <c r="T104">
        <f>COUNTIFS(Tabela4[[#All],[Cenário]],Tabela4[[#This Row],[Cenário]],Tabela4[[#All],[Status]],Tabela4[[#Headers],[Elo - Em correção ]])</f>
        <v>0</v>
      </c>
      <c r="U104">
        <f>COUNTIFS(Tabela4[[#All],[Cenário]],Tabela4[[#This Row],[Cenário]],Tabela4[[#All],[Status]],Tabela4[[#Headers],[Keyuser - Aguardando tarefa precedente]])</f>
        <v>0</v>
      </c>
      <c r="V104">
        <f>COUNTIFS(Tabela4[[#All],[Cenário]],Tabela4[[#This Row],[Cenário]],Tabela4[[#All],[Status]],Tabela4[[#Headers],[Não liberado  para testes]])</f>
        <v>1</v>
      </c>
      <c r="W104" t="str">
        <f>IF(Tabela4[[#This Row],[Elo - Em correção ]]&gt;0,"Sim","Não")</f>
        <v>Não</v>
      </c>
      <c r="X104" t="str">
        <f>IF(Tabela4[[#This Row],[Keyuser - Aguardando tarefa precedente]]&gt;0,"Sim","Não")</f>
        <v>Não</v>
      </c>
      <c r="Y104" t="str">
        <f>IF(Tabela4[[#This Row],[Não liberado  para testes]]&gt;0,"Sim","Não")</f>
        <v>Sim</v>
      </c>
      <c r="Z104" t="str">
        <f ca="1">IF(Tabela4[[#This Row],[Status]]="Keyuser - Pendente",NETWORKDAYS(Tabela4[[#This Row],[Dt Inicial]],TODAY()),"")</f>
        <v/>
      </c>
      <c r="AA104" t="b">
        <f>AND(Tabela4[[#This Row],[Status]]="Keyuser - Aguardando tarefa precedente",K103="Keyuser - Concluído ")</f>
        <v>0</v>
      </c>
    </row>
    <row r="105" spans="1:27" x14ac:dyDescent="0.25">
      <c r="A105" t="str">
        <f>"OUT-"&amp;IFERROR(MID(Tabela4[[#This Row],[Cenário]],SEARCH("(",Tabela4[[#This Row],[Cenário]])+1,SEARCH(")",Tabela4[[#This Row],[Cenário]])-SEARCH("(",Tabela4[[#This Row],[Cenário]])-1),"")&amp;"_"&amp;ROW()</f>
        <v>OUT-Y002_105</v>
      </c>
      <c r="B105" t="s">
        <v>358</v>
      </c>
      <c r="C105" t="s">
        <v>422</v>
      </c>
      <c r="D105" t="s">
        <v>368</v>
      </c>
      <c r="E105">
        <v>4</v>
      </c>
      <c r="F105" t="s">
        <v>368</v>
      </c>
      <c r="G105" t="s">
        <v>369</v>
      </c>
      <c r="H105" s="13" t="s">
        <v>415</v>
      </c>
      <c r="I105" s="13"/>
      <c r="J105" s="13"/>
      <c r="K105" s="9" t="s">
        <v>271</v>
      </c>
      <c r="L105" s="78">
        <v>45947</v>
      </c>
      <c r="N105" s="78">
        <v>45947</v>
      </c>
      <c r="O105" s="31"/>
      <c r="P105" s="9"/>
      <c r="Q105" s="9">
        <f>COUNTIF(Tabela4[[#All],[Cenário]],Tabela4[[#This Row],[Cenário]])</f>
        <v>8</v>
      </c>
      <c r="R105">
        <f>COUNTIFS(Tabela4[[#All],[Cenário]],Tabela4[[#This Row],[Cenário]],Tabela4[[#All],[Status]],"Keyuser - Concluído ")</f>
        <v>7</v>
      </c>
      <c r="S105" t="str">
        <f>IF(Tabela4[[#This Row],[Tarefas por Cenário]]-Tabela4[[#This Row],[Tarefas Concluídas]]&gt;0,"Não","Sim")</f>
        <v>Não</v>
      </c>
      <c r="T105">
        <f>COUNTIFS(Tabela4[[#All],[Cenário]],Tabela4[[#This Row],[Cenário]],Tabela4[[#All],[Status]],Tabela4[[#Headers],[Elo - Em correção ]])</f>
        <v>0</v>
      </c>
      <c r="U105">
        <f>COUNTIFS(Tabela4[[#All],[Cenário]],Tabela4[[#This Row],[Cenário]],Tabela4[[#All],[Status]],Tabela4[[#Headers],[Keyuser - Aguardando tarefa precedente]])</f>
        <v>0</v>
      </c>
      <c r="V105">
        <f>COUNTIFS(Tabela4[[#All],[Cenário]],Tabela4[[#This Row],[Cenário]],Tabela4[[#All],[Status]],Tabela4[[#Headers],[Não liberado  para testes]])</f>
        <v>1</v>
      </c>
      <c r="W105" t="str">
        <f>IF(Tabela4[[#This Row],[Elo - Em correção ]]&gt;0,"Sim","Não")</f>
        <v>Não</v>
      </c>
      <c r="X105" t="str">
        <f>IF(Tabela4[[#This Row],[Keyuser - Aguardando tarefa precedente]]&gt;0,"Sim","Não")</f>
        <v>Não</v>
      </c>
      <c r="Y105" t="str">
        <f>IF(Tabela4[[#This Row],[Não liberado  para testes]]&gt;0,"Sim","Não")</f>
        <v>Sim</v>
      </c>
      <c r="Z105" t="str">
        <f ca="1">IF(Tabela4[[#This Row],[Status]]="Keyuser - Pendente",NETWORKDAYS(Tabela4[[#This Row],[Dt Inicial]],TODAY()),"")</f>
        <v/>
      </c>
      <c r="AA105" t="b">
        <f>AND(Tabela4[[#This Row],[Status]]="Keyuser - Aguardando tarefa precedente",K104="Keyuser - Concluído ")</f>
        <v>0</v>
      </c>
    </row>
    <row r="106" spans="1:27" x14ac:dyDescent="0.25">
      <c r="A106" t="str">
        <f>"OUT-"&amp;IFERROR(MID(Tabela4[[#This Row],[Cenário]],SEARCH("(",Tabela4[[#This Row],[Cenário]])+1,SEARCH(")",Tabela4[[#This Row],[Cenário]])-SEARCH("(",Tabela4[[#This Row],[Cenário]])-1),"")&amp;"_"&amp;ROW()</f>
        <v>OUT-Y002_106</v>
      </c>
      <c r="B106" t="s">
        <v>358</v>
      </c>
      <c r="C106" t="s">
        <v>422</v>
      </c>
      <c r="D106" t="s">
        <v>371</v>
      </c>
      <c r="E106">
        <v>5</v>
      </c>
      <c r="F106" t="s">
        <v>372</v>
      </c>
      <c r="G106" t="s">
        <v>287</v>
      </c>
      <c r="H106" s="13" t="s">
        <v>424</v>
      </c>
      <c r="I106" s="13"/>
      <c r="J106" s="13"/>
      <c r="K106" s="9" t="s">
        <v>271</v>
      </c>
      <c r="L106" s="78">
        <v>45947</v>
      </c>
      <c r="N106" s="78">
        <v>45947</v>
      </c>
      <c r="O106" s="31"/>
      <c r="P106" s="9"/>
      <c r="Q106" s="9">
        <f>COUNTIF(Tabela4[[#All],[Cenário]],Tabela4[[#This Row],[Cenário]])</f>
        <v>8</v>
      </c>
      <c r="R106">
        <f>COUNTIFS(Tabela4[[#All],[Cenário]],Tabela4[[#This Row],[Cenário]],Tabela4[[#All],[Status]],"Keyuser - Concluído ")</f>
        <v>7</v>
      </c>
      <c r="S106" t="str">
        <f>IF(Tabela4[[#This Row],[Tarefas por Cenário]]-Tabela4[[#This Row],[Tarefas Concluídas]]&gt;0,"Não","Sim")</f>
        <v>Não</v>
      </c>
      <c r="T106">
        <f>COUNTIFS(Tabela4[[#All],[Cenário]],Tabela4[[#This Row],[Cenário]],Tabela4[[#All],[Status]],Tabela4[[#Headers],[Elo - Em correção ]])</f>
        <v>0</v>
      </c>
      <c r="U106">
        <f>COUNTIFS(Tabela4[[#All],[Cenário]],Tabela4[[#This Row],[Cenário]],Tabela4[[#All],[Status]],Tabela4[[#Headers],[Keyuser - Aguardando tarefa precedente]])</f>
        <v>0</v>
      </c>
      <c r="V106">
        <f>COUNTIFS(Tabela4[[#All],[Cenário]],Tabela4[[#This Row],[Cenário]],Tabela4[[#All],[Status]],Tabela4[[#Headers],[Não liberado  para testes]])</f>
        <v>1</v>
      </c>
      <c r="W106" t="str">
        <f>IF(Tabela4[[#This Row],[Elo - Em correção ]]&gt;0,"Sim","Não")</f>
        <v>Não</v>
      </c>
      <c r="X106" t="str">
        <f>IF(Tabela4[[#This Row],[Keyuser - Aguardando tarefa precedente]]&gt;0,"Sim","Não")</f>
        <v>Não</v>
      </c>
      <c r="Y106" t="str">
        <f>IF(Tabela4[[#This Row],[Não liberado  para testes]]&gt;0,"Sim","Não")</f>
        <v>Sim</v>
      </c>
      <c r="Z106" t="str">
        <f ca="1">IF(Tabela4[[#This Row],[Status]]="Keyuser - Pendente",NETWORKDAYS(Tabela4[[#This Row],[Dt Inicial]],TODAY()),"")</f>
        <v/>
      </c>
      <c r="AA106" t="b">
        <f>AND(Tabela4[[#This Row],[Status]]="Keyuser - Aguardando tarefa precedente",K105="Keyuser - Concluído ")</f>
        <v>0</v>
      </c>
    </row>
    <row r="107" spans="1:27" x14ac:dyDescent="0.25">
      <c r="A107" t="str">
        <f>"OUT-"&amp;IFERROR(MID(Tabela4[[#This Row],[Cenário]],SEARCH("(",Tabela4[[#This Row],[Cenário]])+1,SEARCH(")",Tabela4[[#This Row],[Cenário]])-SEARCH("(",Tabela4[[#This Row],[Cenário]])-1),"")&amp;"_"&amp;ROW()</f>
        <v>OUT-Y002_107</v>
      </c>
      <c r="B107" t="s">
        <v>358</v>
      </c>
      <c r="C107" t="s">
        <v>422</v>
      </c>
      <c r="D107" t="s">
        <v>373</v>
      </c>
      <c r="E107">
        <v>6</v>
      </c>
      <c r="F107" t="s">
        <v>373</v>
      </c>
      <c r="G107" t="s">
        <v>283</v>
      </c>
      <c r="H107" s="13" t="s">
        <v>424</v>
      </c>
      <c r="I107" s="13"/>
      <c r="J107" s="13"/>
      <c r="K107" s="9" t="s">
        <v>271</v>
      </c>
      <c r="L107" s="78">
        <v>45950</v>
      </c>
      <c r="N107" s="78">
        <v>45950</v>
      </c>
      <c r="O107" s="31"/>
      <c r="P107" s="9"/>
      <c r="Q107" s="9">
        <f>COUNTIF(Tabela4[[#All],[Cenário]],Tabela4[[#This Row],[Cenário]])</f>
        <v>8</v>
      </c>
      <c r="R107">
        <f>COUNTIFS(Tabela4[[#All],[Cenário]],Tabela4[[#This Row],[Cenário]],Tabela4[[#All],[Status]],"Keyuser - Concluído ")</f>
        <v>7</v>
      </c>
      <c r="S107" t="str">
        <f>IF(Tabela4[[#This Row],[Tarefas por Cenário]]-Tabela4[[#This Row],[Tarefas Concluídas]]&gt;0,"Não","Sim")</f>
        <v>Não</v>
      </c>
      <c r="T107">
        <f>COUNTIFS(Tabela4[[#All],[Cenário]],Tabela4[[#This Row],[Cenário]],Tabela4[[#All],[Status]],Tabela4[[#Headers],[Elo - Em correção ]])</f>
        <v>0</v>
      </c>
      <c r="U107">
        <f>COUNTIFS(Tabela4[[#All],[Cenário]],Tabela4[[#This Row],[Cenário]],Tabela4[[#All],[Status]],Tabela4[[#Headers],[Keyuser - Aguardando tarefa precedente]])</f>
        <v>0</v>
      </c>
      <c r="V107">
        <f>COUNTIFS(Tabela4[[#All],[Cenário]],Tabela4[[#This Row],[Cenário]],Tabela4[[#All],[Status]],Tabela4[[#Headers],[Não liberado  para testes]])</f>
        <v>1</v>
      </c>
      <c r="W107" t="str">
        <f>IF(Tabela4[[#This Row],[Elo - Em correção ]]&gt;0,"Sim","Não")</f>
        <v>Não</v>
      </c>
      <c r="X107" t="str">
        <f>IF(Tabela4[[#This Row],[Keyuser - Aguardando tarefa precedente]]&gt;0,"Sim","Não")</f>
        <v>Não</v>
      </c>
      <c r="Y107" t="str">
        <f>IF(Tabela4[[#This Row],[Não liberado  para testes]]&gt;0,"Sim","Não")</f>
        <v>Sim</v>
      </c>
      <c r="Z107" t="str">
        <f ca="1">IF(Tabela4[[#This Row],[Status]]="Keyuser - Pendente",NETWORKDAYS(Tabela4[[#This Row],[Dt Inicial]],TODAY()),"")</f>
        <v/>
      </c>
      <c r="AA107" t="b">
        <f>AND(Tabela4[[#This Row],[Status]]="Keyuser - Aguardando tarefa precedente",K106="Keyuser - Concluído ")</f>
        <v>0</v>
      </c>
    </row>
    <row r="108" spans="1:27" x14ac:dyDescent="0.25">
      <c r="A108" t="str">
        <f>"OUT-"&amp;IFERROR(MID(Tabela4[[#This Row],[Cenário]],SEARCH("(",Tabela4[[#This Row],[Cenário]])+1,SEARCH(")",Tabela4[[#This Row],[Cenário]])-SEARCH("(",Tabela4[[#This Row],[Cenário]])-1),"")&amp;"_"&amp;ROW()</f>
        <v>OUT-Y002_108</v>
      </c>
      <c r="B108" t="s">
        <v>374</v>
      </c>
      <c r="C108" t="s">
        <v>422</v>
      </c>
      <c r="D108" t="s">
        <v>286</v>
      </c>
      <c r="E108">
        <v>7</v>
      </c>
      <c r="F108" t="s">
        <v>286</v>
      </c>
      <c r="G108" t="s">
        <v>287</v>
      </c>
      <c r="H108" s="13"/>
      <c r="I108" s="13"/>
      <c r="J108" s="13"/>
      <c r="K108" s="9" t="s">
        <v>262</v>
      </c>
      <c r="N108" s="78"/>
      <c r="O108" s="31"/>
      <c r="P108" s="9"/>
      <c r="Q108" s="9">
        <f>COUNTIF(Tabela4[[#All],[Cenário]],Tabela4[[#This Row],[Cenário]])</f>
        <v>8</v>
      </c>
      <c r="R108">
        <f>COUNTIFS(Tabela4[[#All],[Cenário]],Tabela4[[#This Row],[Cenário]],Tabela4[[#All],[Status]],"Keyuser - Concluído ")</f>
        <v>7</v>
      </c>
      <c r="S108" t="str">
        <f>IF(Tabela4[[#This Row],[Tarefas por Cenário]]-Tabela4[[#This Row],[Tarefas Concluídas]]&gt;0,"Não","Sim")</f>
        <v>Não</v>
      </c>
      <c r="T108">
        <f>COUNTIFS(Tabela4[[#All],[Cenário]],Tabela4[[#This Row],[Cenário]],Tabela4[[#All],[Status]],Tabela4[[#Headers],[Elo - Em correção ]])</f>
        <v>0</v>
      </c>
      <c r="U108">
        <f>COUNTIFS(Tabela4[[#All],[Cenário]],Tabela4[[#This Row],[Cenário]],Tabela4[[#All],[Status]],Tabela4[[#Headers],[Keyuser - Aguardando tarefa precedente]])</f>
        <v>0</v>
      </c>
      <c r="V108">
        <f>COUNTIFS(Tabela4[[#All],[Cenário]],Tabela4[[#This Row],[Cenário]],Tabela4[[#All],[Status]],Tabela4[[#Headers],[Não liberado  para testes]])</f>
        <v>1</v>
      </c>
      <c r="W108" t="str">
        <f>IF(Tabela4[[#This Row],[Elo - Em correção ]]&gt;0,"Sim","Não")</f>
        <v>Não</v>
      </c>
      <c r="X108" t="str">
        <f>IF(Tabela4[[#This Row],[Keyuser - Aguardando tarefa precedente]]&gt;0,"Sim","Não")</f>
        <v>Não</v>
      </c>
      <c r="Y108" t="str">
        <f>IF(Tabela4[[#This Row],[Não liberado  para testes]]&gt;0,"Sim","Não")</f>
        <v>Sim</v>
      </c>
      <c r="Z108" t="str">
        <f ca="1">IF(Tabela4[[#This Row],[Status]]="Keyuser - Pendente",NETWORKDAYS(Tabela4[[#This Row],[Dt Inicial]],TODAY()),"")</f>
        <v/>
      </c>
      <c r="AA108" t="b">
        <f>AND(Tabela4[[#This Row],[Status]]="Keyuser - Aguardando tarefa precedente",K107="Keyuser - Concluído ")</f>
        <v>0</v>
      </c>
    </row>
    <row r="109" spans="1:27" x14ac:dyDescent="0.25">
      <c r="A109" t="str">
        <f>"OUT-"&amp;IFERROR(MID(Tabela4[[#This Row],[Cenário]],SEARCH("(",Tabela4[[#This Row],[Cenário]])+1,SEARCH(")",Tabela4[[#This Row],[Cenário]])-SEARCH("(",Tabela4[[#This Row],[Cenário]])-1),"")&amp;"_"&amp;ROW()</f>
        <v>OUT-Y002_109</v>
      </c>
      <c r="B109" t="s">
        <v>358</v>
      </c>
      <c r="C109" t="s">
        <v>422</v>
      </c>
      <c r="D109" t="s">
        <v>375</v>
      </c>
      <c r="E109">
        <v>8</v>
      </c>
      <c r="F109" t="s">
        <v>375</v>
      </c>
      <c r="G109" t="s">
        <v>367</v>
      </c>
      <c r="H109" s="13">
        <v>15603607</v>
      </c>
      <c r="I109" s="13" t="s">
        <v>423</v>
      </c>
      <c r="J109" s="9" t="s">
        <v>364</v>
      </c>
      <c r="K109" s="9" t="s">
        <v>271</v>
      </c>
      <c r="L109" s="78">
        <v>45950</v>
      </c>
      <c r="N109" s="78">
        <v>45950</v>
      </c>
      <c r="O109" s="31"/>
      <c r="P109" s="9"/>
      <c r="Q109" s="9">
        <f>COUNTIF(Tabela4[[#All],[Cenário]],Tabela4[[#This Row],[Cenário]])</f>
        <v>8</v>
      </c>
      <c r="R109">
        <f>COUNTIFS(Tabela4[[#All],[Cenário]],Tabela4[[#This Row],[Cenário]],Tabela4[[#All],[Status]],"Keyuser - Concluído ")</f>
        <v>7</v>
      </c>
      <c r="S109" t="str">
        <f>IF(Tabela4[[#This Row],[Tarefas por Cenário]]-Tabela4[[#This Row],[Tarefas Concluídas]]&gt;0,"Não","Sim")</f>
        <v>Não</v>
      </c>
      <c r="T109">
        <f>COUNTIFS(Tabela4[[#All],[Cenário]],Tabela4[[#This Row],[Cenário]],Tabela4[[#All],[Status]],Tabela4[[#Headers],[Elo - Em correção ]])</f>
        <v>0</v>
      </c>
      <c r="U109">
        <f>COUNTIFS(Tabela4[[#All],[Cenário]],Tabela4[[#This Row],[Cenário]],Tabela4[[#All],[Status]],Tabela4[[#Headers],[Keyuser - Aguardando tarefa precedente]])</f>
        <v>0</v>
      </c>
      <c r="V109">
        <f>COUNTIFS(Tabela4[[#All],[Cenário]],Tabela4[[#This Row],[Cenário]],Tabela4[[#All],[Status]],Tabela4[[#Headers],[Não liberado  para testes]])</f>
        <v>1</v>
      </c>
      <c r="W109" t="str">
        <f>IF(Tabela4[[#This Row],[Elo - Em correção ]]&gt;0,"Sim","Não")</f>
        <v>Não</v>
      </c>
      <c r="X109" t="str">
        <f>IF(Tabela4[[#This Row],[Keyuser - Aguardando tarefa precedente]]&gt;0,"Sim","Não")</f>
        <v>Não</v>
      </c>
      <c r="Y109" t="str">
        <f>IF(Tabela4[[#This Row],[Não liberado  para testes]]&gt;0,"Sim","Não")</f>
        <v>Sim</v>
      </c>
      <c r="Z109" t="str">
        <f ca="1">IF(Tabela4[[#This Row],[Status]]="Keyuser - Pendente",NETWORKDAYS(Tabela4[[#This Row],[Dt Inicial]],TODAY()),"")</f>
        <v/>
      </c>
      <c r="AA109" t="b">
        <f>AND(Tabela4[[#This Row],[Status]]="Keyuser - Aguardando tarefa precedente",K108="Keyuser - Concluído ")</f>
        <v>0</v>
      </c>
    </row>
    <row r="110" spans="1:27" x14ac:dyDescent="0.25">
      <c r="A110" t="str">
        <f>"OUT-"&amp;IFERROR(MID(Tabela4[[#This Row],[Cenário]],SEARCH("(",Tabela4[[#This Row],[Cenário]])+1,SEARCH(")",Tabela4[[#This Row],[Cenário]])-SEARCH("(",Tabela4[[#This Row],[Cenário]])-1),"")&amp;"_"&amp;ROW()</f>
        <v>OUT-YDEV_110</v>
      </c>
      <c r="B110" t="s">
        <v>358</v>
      </c>
      <c r="C110" t="s">
        <v>425</v>
      </c>
      <c r="D110" t="s">
        <v>360</v>
      </c>
      <c r="E110">
        <v>1</v>
      </c>
      <c r="F110" t="s">
        <v>360</v>
      </c>
      <c r="G110" t="s">
        <v>377</v>
      </c>
      <c r="H110" s="13">
        <v>60668327</v>
      </c>
      <c r="I110" s="13"/>
      <c r="J110" s="13"/>
      <c r="K110" s="9" t="s">
        <v>271</v>
      </c>
      <c r="L110" s="78">
        <v>45958</v>
      </c>
      <c r="N110" s="78">
        <v>45958</v>
      </c>
      <c r="O110" s="31"/>
      <c r="P110" s="9"/>
      <c r="Q110" s="9">
        <f>COUNTIF(Tabela4[[#All],[Cenário]],Tabela4[[#This Row],[Cenário]])</f>
        <v>6</v>
      </c>
      <c r="R110">
        <f>COUNTIFS(Tabela4[[#All],[Cenário]],Tabela4[[#This Row],[Cenário]],Tabela4[[#All],[Status]],"Keyuser - Concluído ")</f>
        <v>5</v>
      </c>
      <c r="S110" t="str">
        <f>IF(Tabela4[[#This Row],[Tarefas por Cenário]]-Tabela4[[#This Row],[Tarefas Concluídas]]&gt;0,"Não","Sim")</f>
        <v>Não</v>
      </c>
      <c r="T110">
        <f>COUNTIFS(Tabela4[[#All],[Cenário]],Tabela4[[#This Row],[Cenário]],Tabela4[[#All],[Status]],Tabela4[[#Headers],[Elo - Em correção ]])</f>
        <v>0</v>
      </c>
      <c r="U110">
        <f>COUNTIFS(Tabela4[[#All],[Cenário]],Tabela4[[#This Row],[Cenário]],Tabela4[[#All],[Status]],Tabela4[[#Headers],[Keyuser - Aguardando tarefa precedente]])</f>
        <v>0</v>
      </c>
      <c r="V110">
        <f>COUNTIFS(Tabela4[[#All],[Cenário]],Tabela4[[#This Row],[Cenário]],Tabela4[[#All],[Status]],Tabela4[[#Headers],[Não liberado  para testes]])</f>
        <v>1</v>
      </c>
      <c r="W110" t="str">
        <f>IF(Tabela4[[#This Row],[Elo - Em correção ]]&gt;0,"Sim","Não")</f>
        <v>Não</v>
      </c>
      <c r="X110" t="str">
        <f>IF(Tabela4[[#This Row],[Keyuser - Aguardando tarefa precedente]]&gt;0,"Sim","Não")</f>
        <v>Não</v>
      </c>
      <c r="Y110" t="str">
        <f>IF(Tabela4[[#This Row],[Não liberado  para testes]]&gt;0,"Sim","Não")</f>
        <v>Sim</v>
      </c>
      <c r="Z110" t="str">
        <f ca="1">IF(Tabela4[[#This Row],[Status]]="Keyuser - Pendente",NETWORKDAYS(Tabela4[[#This Row],[Dt Inicial]],TODAY()),"")</f>
        <v/>
      </c>
      <c r="AA110" t="b">
        <f>AND(Tabela4[[#This Row],[Status]]="Keyuser - Aguardando tarefa precedente",K109="Keyuser - Concluído ")</f>
        <v>0</v>
      </c>
    </row>
    <row r="111" spans="1:27" x14ac:dyDescent="0.25">
      <c r="A111" t="str">
        <f>"OUT-"&amp;IFERROR(MID(Tabela4[[#This Row],[Cenário]],SEARCH("(",Tabela4[[#This Row],[Cenário]])+1,SEARCH(")",Tabela4[[#This Row],[Cenário]])-SEARCH("(",Tabela4[[#This Row],[Cenário]])-1),"")&amp;"_"&amp;ROW()</f>
        <v>OUT-YDEV_111</v>
      </c>
      <c r="B111" t="s">
        <v>358</v>
      </c>
      <c r="C111" t="s">
        <v>425</v>
      </c>
      <c r="D111" t="s">
        <v>365</v>
      </c>
      <c r="E111">
        <v>2</v>
      </c>
      <c r="F111" t="s">
        <v>365</v>
      </c>
      <c r="G111" t="s">
        <v>310</v>
      </c>
      <c r="H111" s="13">
        <v>60668327</v>
      </c>
      <c r="I111" s="13"/>
      <c r="J111" s="13"/>
      <c r="K111" s="9" t="s">
        <v>271</v>
      </c>
      <c r="L111" s="78">
        <v>45958</v>
      </c>
      <c r="N111" s="78">
        <v>45958</v>
      </c>
      <c r="O111" s="31"/>
      <c r="P111" s="9"/>
      <c r="Q111" s="9">
        <f>COUNTIF(Tabela4[[#All],[Cenário]],Tabela4[[#This Row],[Cenário]])</f>
        <v>6</v>
      </c>
      <c r="R111">
        <f>COUNTIFS(Tabela4[[#All],[Cenário]],Tabela4[[#This Row],[Cenário]],Tabela4[[#All],[Status]],"Keyuser - Concluído ")</f>
        <v>5</v>
      </c>
      <c r="S111" t="str">
        <f>IF(Tabela4[[#This Row],[Tarefas por Cenário]]-Tabela4[[#This Row],[Tarefas Concluídas]]&gt;0,"Não","Sim")</f>
        <v>Não</v>
      </c>
      <c r="T111">
        <f>COUNTIFS(Tabela4[[#All],[Cenário]],Tabela4[[#This Row],[Cenário]],Tabela4[[#All],[Status]],Tabela4[[#Headers],[Elo - Em correção ]])</f>
        <v>0</v>
      </c>
      <c r="U111">
        <f>COUNTIFS(Tabela4[[#All],[Cenário]],Tabela4[[#This Row],[Cenário]],Tabela4[[#All],[Status]],Tabela4[[#Headers],[Keyuser - Aguardando tarefa precedente]])</f>
        <v>0</v>
      </c>
      <c r="V111">
        <f>COUNTIFS(Tabela4[[#All],[Cenário]],Tabela4[[#This Row],[Cenário]],Tabela4[[#All],[Status]],Tabela4[[#Headers],[Não liberado  para testes]])</f>
        <v>1</v>
      </c>
      <c r="W111" t="str">
        <f>IF(Tabela4[[#This Row],[Elo - Em correção ]]&gt;0,"Sim","Não")</f>
        <v>Não</v>
      </c>
      <c r="X111" t="str">
        <f>IF(Tabela4[[#This Row],[Keyuser - Aguardando tarefa precedente]]&gt;0,"Sim","Não")</f>
        <v>Não</v>
      </c>
      <c r="Y111" t="str">
        <f>IF(Tabela4[[#This Row],[Não liberado  para testes]]&gt;0,"Sim","Não")</f>
        <v>Sim</v>
      </c>
      <c r="Z111" t="str">
        <f ca="1">IF(Tabela4[[#This Row],[Status]]="Keyuser - Pendente",NETWORKDAYS(Tabela4[[#This Row],[Dt Inicial]],TODAY()),"")</f>
        <v/>
      </c>
      <c r="AA111" t="b">
        <f>AND(Tabela4[[#This Row],[Status]]="Keyuser - Aguardando tarefa precedente",K110="Keyuser - Concluído ")</f>
        <v>0</v>
      </c>
    </row>
    <row r="112" spans="1:27" x14ac:dyDescent="0.25">
      <c r="A112" t="str">
        <f>"OUT-"&amp;IFERROR(MID(Tabela4[[#This Row],[Cenário]],SEARCH("(",Tabela4[[#This Row],[Cenário]])+1,SEARCH(")",Tabela4[[#This Row],[Cenário]])-SEARCH("(",Tabela4[[#This Row],[Cenário]])-1),"")&amp;"_"&amp;ROW()</f>
        <v>OUT-YDEV_112</v>
      </c>
      <c r="B112" t="s">
        <v>358</v>
      </c>
      <c r="C112" t="s">
        <v>425</v>
      </c>
      <c r="D112" t="s">
        <v>368</v>
      </c>
      <c r="E112">
        <v>3</v>
      </c>
      <c r="F112" t="s">
        <v>368</v>
      </c>
      <c r="G112" t="s">
        <v>377</v>
      </c>
      <c r="H112" s="13" t="s">
        <v>426</v>
      </c>
      <c r="I112" s="13"/>
      <c r="J112" s="13"/>
      <c r="K112" s="9" t="s">
        <v>271</v>
      </c>
      <c r="L112" s="78">
        <v>45958</v>
      </c>
      <c r="N112" s="78">
        <v>45958</v>
      </c>
      <c r="O112" s="31" t="s">
        <v>427</v>
      </c>
      <c r="P112" s="9"/>
      <c r="Q112" s="9">
        <f>COUNTIF(Tabela4[[#All],[Cenário]],Tabela4[[#This Row],[Cenário]])</f>
        <v>6</v>
      </c>
      <c r="R112">
        <f>COUNTIFS(Tabela4[[#All],[Cenário]],Tabela4[[#This Row],[Cenário]],Tabela4[[#All],[Status]],"Keyuser - Concluído ")</f>
        <v>5</v>
      </c>
      <c r="S112" t="str">
        <f>IF(Tabela4[[#This Row],[Tarefas por Cenário]]-Tabela4[[#This Row],[Tarefas Concluídas]]&gt;0,"Não","Sim")</f>
        <v>Não</v>
      </c>
      <c r="T112">
        <f>COUNTIFS(Tabela4[[#All],[Cenário]],Tabela4[[#This Row],[Cenário]],Tabela4[[#All],[Status]],Tabela4[[#Headers],[Elo - Em correção ]])</f>
        <v>0</v>
      </c>
      <c r="U112">
        <f>COUNTIFS(Tabela4[[#All],[Cenário]],Tabela4[[#This Row],[Cenário]],Tabela4[[#All],[Status]],Tabela4[[#Headers],[Keyuser - Aguardando tarefa precedente]])</f>
        <v>0</v>
      </c>
      <c r="V112">
        <f>COUNTIFS(Tabela4[[#All],[Cenário]],Tabela4[[#This Row],[Cenário]],Tabela4[[#All],[Status]],Tabela4[[#Headers],[Não liberado  para testes]])</f>
        <v>1</v>
      </c>
      <c r="W112" t="str">
        <f>IF(Tabela4[[#This Row],[Elo - Em correção ]]&gt;0,"Sim","Não")</f>
        <v>Não</v>
      </c>
      <c r="X112" t="str">
        <f>IF(Tabela4[[#This Row],[Keyuser - Aguardando tarefa precedente]]&gt;0,"Sim","Não")</f>
        <v>Não</v>
      </c>
      <c r="Y112" t="str">
        <f>IF(Tabela4[[#This Row],[Não liberado  para testes]]&gt;0,"Sim","Não")</f>
        <v>Sim</v>
      </c>
      <c r="Z112" t="str">
        <f ca="1">IF(Tabela4[[#This Row],[Status]]="Keyuser - Pendente",NETWORKDAYS(Tabela4[[#This Row],[Dt Inicial]],TODAY()),"")</f>
        <v/>
      </c>
      <c r="AA112" t="b">
        <f>AND(Tabela4[[#This Row],[Status]]="Keyuser - Aguardando tarefa precedente",K111="Keyuser - Concluído ")</f>
        <v>0</v>
      </c>
    </row>
    <row r="113" spans="1:27" x14ac:dyDescent="0.25">
      <c r="A113" t="str">
        <f>"OUT-"&amp;IFERROR(MID(Tabela4[[#This Row],[Cenário]],SEARCH("(",Tabela4[[#This Row],[Cenário]])+1,SEARCH(")",Tabela4[[#This Row],[Cenário]])-SEARCH("(",Tabela4[[#This Row],[Cenário]])-1),"")&amp;"_"&amp;ROW()</f>
        <v>OUT-YDEV_113</v>
      </c>
      <c r="B113" t="s">
        <v>358</v>
      </c>
      <c r="C113" t="s">
        <v>425</v>
      </c>
      <c r="D113" t="s">
        <v>371</v>
      </c>
      <c r="E113">
        <v>4</v>
      </c>
      <c r="F113" t="s">
        <v>372</v>
      </c>
      <c r="G113" t="s">
        <v>287</v>
      </c>
      <c r="H113" s="13" t="s">
        <v>426</v>
      </c>
      <c r="I113" s="13"/>
      <c r="J113" s="13"/>
      <c r="K113" s="9" t="s">
        <v>271</v>
      </c>
      <c r="L113" s="78">
        <v>45959</v>
      </c>
      <c r="N113" s="78">
        <v>45959</v>
      </c>
      <c r="O113" s="31"/>
      <c r="P113" s="9"/>
      <c r="Q113" s="9">
        <f>COUNTIF(Tabela4[[#All],[Cenário]],Tabela4[[#This Row],[Cenário]])</f>
        <v>6</v>
      </c>
      <c r="R113">
        <f>COUNTIFS(Tabela4[[#All],[Cenário]],Tabela4[[#This Row],[Cenário]],Tabela4[[#All],[Status]],"Keyuser - Concluído ")</f>
        <v>5</v>
      </c>
      <c r="S113" t="str">
        <f>IF(Tabela4[[#This Row],[Tarefas por Cenário]]-Tabela4[[#This Row],[Tarefas Concluídas]]&gt;0,"Não","Sim")</f>
        <v>Não</v>
      </c>
      <c r="T113">
        <f>COUNTIFS(Tabela4[[#All],[Cenário]],Tabela4[[#This Row],[Cenário]],Tabela4[[#All],[Status]],Tabela4[[#Headers],[Elo - Em correção ]])</f>
        <v>0</v>
      </c>
      <c r="U113">
        <f>COUNTIFS(Tabela4[[#All],[Cenário]],Tabela4[[#This Row],[Cenário]],Tabela4[[#All],[Status]],Tabela4[[#Headers],[Keyuser - Aguardando tarefa precedente]])</f>
        <v>0</v>
      </c>
      <c r="V113">
        <f>COUNTIFS(Tabela4[[#All],[Cenário]],Tabela4[[#This Row],[Cenário]],Tabela4[[#All],[Status]],Tabela4[[#Headers],[Não liberado  para testes]])</f>
        <v>1</v>
      </c>
      <c r="W113" t="str">
        <f>IF(Tabela4[[#This Row],[Elo - Em correção ]]&gt;0,"Sim","Não")</f>
        <v>Não</v>
      </c>
      <c r="X113" t="str">
        <f>IF(Tabela4[[#This Row],[Keyuser - Aguardando tarefa precedente]]&gt;0,"Sim","Não")</f>
        <v>Não</v>
      </c>
      <c r="Y113" t="str">
        <f>IF(Tabela4[[#This Row],[Não liberado  para testes]]&gt;0,"Sim","Não")</f>
        <v>Sim</v>
      </c>
      <c r="Z113" t="str">
        <f ca="1">IF(Tabela4[[#This Row],[Status]]="Keyuser - Pendente",NETWORKDAYS(Tabela4[[#This Row],[Dt Inicial]],TODAY()),"")</f>
        <v/>
      </c>
      <c r="AA113" t="b">
        <f>AND(Tabela4[[#This Row],[Status]]="Keyuser - Aguardando tarefa precedente",K112="Keyuser - Concluído ")</f>
        <v>0</v>
      </c>
    </row>
    <row r="114" spans="1:27" x14ac:dyDescent="0.25">
      <c r="A114" t="str">
        <f>"OUT-"&amp;IFERROR(MID(Tabela4[[#This Row],[Cenário]],SEARCH("(",Tabela4[[#This Row],[Cenário]])+1,SEARCH(")",Tabela4[[#This Row],[Cenário]])-SEARCH("(",Tabela4[[#This Row],[Cenário]])-1),"")&amp;"_"&amp;ROW()</f>
        <v>OUT-YDEV_114</v>
      </c>
      <c r="B114" t="s">
        <v>358</v>
      </c>
      <c r="C114" t="s">
        <v>425</v>
      </c>
      <c r="D114" t="s">
        <v>373</v>
      </c>
      <c r="E114">
        <v>5</v>
      </c>
      <c r="F114" t="s">
        <v>373</v>
      </c>
      <c r="G114" t="s">
        <v>283</v>
      </c>
      <c r="H114" s="13" t="s">
        <v>426</v>
      </c>
      <c r="I114" s="13"/>
      <c r="J114" s="13"/>
      <c r="K114" s="9" t="s">
        <v>271</v>
      </c>
      <c r="L114" s="78">
        <v>45960</v>
      </c>
      <c r="N114" s="78">
        <v>45960</v>
      </c>
      <c r="O114" s="31"/>
      <c r="P114" s="9"/>
      <c r="Q114" s="9">
        <f>COUNTIF(Tabela4[[#All],[Cenário]],Tabela4[[#This Row],[Cenário]])</f>
        <v>6</v>
      </c>
      <c r="R114">
        <f>COUNTIFS(Tabela4[[#All],[Cenário]],Tabela4[[#This Row],[Cenário]],Tabela4[[#All],[Status]],"Keyuser - Concluído ")</f>
        <v>5</v>
      </c>
      <c r="S114" t="str">
        <f>IF(Tabela4[[#This Row],[Tarefas por Cenário]]-Tabela4[[#This Row],[Tarefas Concluídas]]&gt;0,"Não","Sim")</f>
        <v>Não</v>
      </c>
      <c r="T114">
        <f>COUNTIFS(Tabela4[[#All],[Cenário]],Tabela4[[#This Row],[Cenário]],Tabela4[[#All],[Status]],Tabela4[[#Headers],[Elo - Em correção ]])</f>
        <v>0</v>
      </c>
      <c r="U114">
        <f>COUNTIFS(Tabela4[[#All],[Cenário]],Tabela4[[#This Row],[Cenário]],Tabela4[[#All],[Status]],Tabela4[[#Headers],[Keyuser - Aguardando tarefa precedente]])</f>
        <v>0</v>
      </c>
      <c r="V114">
        <f>COUNTIFS(Tabela4[[#All],[Cenário]],Tabela4[[#This Row],[Cenário]],Tabela4[[#All],[Status]],Tabela4[[#Headers],[Não liberado  para testes]])</f>
        <v>1</v>
      </c>
      <c r="W114" t="str">
        <f>IF(Tabela4[[#This Row],[Elo - Em correção ]]&gt;0,"Sim","Não")</f>
        <v>Não</v>
      </c>
      <c r="X114" t="str">
        <f>IF(Tabela4[[#This Row],[Keyuser - Aguardando tarefa precedente]]&gt;0,"Sim","Não")</f>
        <v>Não</v>
      </c>
      <c r="Y114" t="str">
        <f>IF(Tabela4[[#This Row],[Não liberado  para testes]]&gt;0,"Sim","Não")</f>
        <v>Sim</v>
      </c>
      <c r="Z114" t="str">
        <f ca="1">IF(Tabela4[[#This Row],[Status]]="Keyuser - Pendente",NETWORKDAYS(Tabela4[[#This Row],[Dt Inicial]],TODAY()),"")</f>
        <v/>
      </c>
      <c r="AA114" t="b">
        <f>AND(Tabela4[[#This Row],[Status]]="Keyuser - Aguardando tarefa precedente",K113="Keyuser - Concluído ")</f>
        <v>0</v>
      </c>
    </row>
    <row r="115" spans="1:27" x14ac:dyDescent="0.25">
      <c r="A115" t="str">
        <f>"OUT-"&amp;IFERROR(MID(Tabela4[[#This Row],[Cenário]],SEARCH("(",Tabela4[[#This Row],[Cenário]])+1,SEARCH(")",Tabela4[[#This Row],[Cenário]])-SEARCH("(",Tabela4[[#This Row],[Cenário]])-1),"")&amp;"_"&amp;ROW()</f>
        <v>OUT-YDEV_115</v>
      </c>
      <c r="B115" t="s">
        <v>374</v>
      </c>
      <c r="C115" t="s">
        <v>425</v>
      </c>
      <c r="D115" t="s">
        <v>286</v>
      </c>
      <c r="E115">
        <v>6</v>
      </c>
      <c r="F115" t="s">
        <v>286</v>
      </c>
      <c r="G115" t="s">
        <v>287</v>
      </c>
      <c r="H115" s="13"/>
      <c r="I115" s="13"/>
      <c r="J115" s="13"/>
      <c r="K115" s="9" t="s">
        <v>262</v>
      </c>
      <c r="N115" s="78"/>
      <c r="O115" s="31"/>
      <c r="P115" s="9"/>
      <c r="Q115" s="9">
        <f>COUNTIF(Tabela4[[#All],[Cenário]],Tabela4[[#This Row],[Cenário]])</f>
        <v>6</v>
      </c>
      <c r="R115">
        <f>COUNTIFS(Tabela4[[#All],[Cenário]],Tabela4[[#This Row],[Cenário]],Tabela4[[#All],[Status]],"Keyuser - Concluído ")</f>
        <v>5</v>
      </c>
      <c r="S115" t="str">
        <f>IF(Tabela4[[#This Row],[Tarefas por Cenário]]-Tabela4[[#This Row],[Tarefas Concluídas]]&gt;0,"Não","Sim")</f>
        <v>Não</v>
      </c>
      <c r="T115">
        <f>COUNTIFS(Tabela4[[#All],[Cenário]],Tabela4[[#This Row],[Cenário]],Tabela4[[#All],[Status]],Tabela4[[#Headers],[Elo - Em correção ]])</f>
        <v>0</v>
      </c>
      <c r="U115">
        <f>COUNTIFS(Tabela4[[#All],[Cenário]],Tabela4[[#This Row],[Cenário]],Tabela4[[#All],[Status]],Tabela4[[#Headers],[Keyuser - Aguardando tarefa precedente]])</f>
        <v>0</v>
      </c>
      <c r="V115">
        <f>COUNTIFS(Tabela4[[#All],[Cenário]],Tabela4[[#This Row],[Cenário]],Tabela4[[#All],[Status]],Tabela4[[#Headers],[Não liberado  para testes]])</f>
        <v>1</v>
      </c>
      <c r="W115" t="str">
        <f>IF(Tabela4[[#This Row],[Elo - Em correção ]]&gt;0,"Sim","Não")</f>
        <v>Não</v>
      </c>
      <c r="X115" t="str">
        <f>IF(Tabela4[[#This Row],[Keyuser - Aguardando tarefa precedente]]&gt;0,"Sim","Não")</f>
        <v>Não</v>
      </c>
      <c r="Y115" t="str">
        <f>IF(Tabela4[[#This Row],[Não liberado  para testes]]&gt;0,"Sim","Não")</f>
        <v>Sim</v>
      </c>
      <c r="Z115" t="str">
        <f ca="1">IF(Tabela4[[#This Row],[Status]]="Keyuser - Pendente",NETWORKDAYS(Tabela4[[#This Row],[Dt Inicial]],TODAY()),"")</f>
        <v/>
      </c>
      <c r="AA115" t="b">
        <f>AND(Tabela4[[#This Row],[Status]]="Keyuser - Aguardando tarefa precedente",K114="Keyuser - Concluído ")</f>
        <v>0</v>
      </c>
    </row>
    <row r="116" spans="1:27" x14ac:dyDescent="0.25">
      <c r="A116" t="str">
        <f>"OUT-"&amp;IFERROR(MID(Tabela4[[#This Row],[Cenário]],SEARCH("(",Tabela4[[#This Row],[Cenário]])+1,SEARCH(")",Tabela4[[#This Row],[Cenário]])-SEARCH("(",Tabela4[[#This Row],[Cenário]])-1),"")&amp;"_"&amp;ROW()</f>
        <v>OUT-YRET_116</v>
      </c>
      <c r="B116" t="s">
        <v>358</v>
      </c>
      <c r="C116" t="s">
        <v>428</v>
      </c>
      <c r="D116" t="s">
        <v>360</v>
      </c>
      <c r="E116">
        <v>1</v>
      </c>
      <c r="F116" t="s">
        <v>360</v>
      </c>
      <c r="G116" t="s">
        <v>377</v>
      </c>
      <c r="H116" s="13">
        <v>60668334</v>
      </c>
      <c r="I116" s="13"/>
      <c r="J116" s="13"/>
      <c r="K116" s="9" t="s">
        <v>271</v>
      </c>
      <c r="L116" s="78">
        <v>45958</v>
      </c>
      <c r="N116" s="78">
        <v>45958</v>
      </c>
      <c r="O116" s="31"/>
      <c r="P116" s="9"/>
      <c r="Q116" s="9">
        <f>COUNTIF(Tabela4[[#All],[Cenário]],Tabela4[[#This Row],[Cenário]])</f>
        <v>6</v>
      </c>
      <c r="R116">
        <f>COUNTIFS(Tabela4[[#All],[Cenário]],Tabela4[[#This Row],[Cenário]],Tabela4[[#All],[Status]],"Keyuser - Concluído ")</f>
        <v>5</v>
      </c>
      <c r="S116" t="str">
        <f>IF(Tabela4[[#This Row],[Tarefas por Cenário]]-Tabela4[[#This Row],[Tarefas Concluídas]]&gt;0,"Não","Sim")</f>
        <v>Não</v>
      </c>
      <c r="T116">
        <f>COUNTIFS(Tabela4[[#All],[Cenário]],Tabela4[[#This Row],[Cenário]],Tabela4[[#All],[Status]],Tabela4[[#Headers],[Elo - Em correção ]])</f>
        <v>0</v>
      </c>
      <c r="U116">
        <f>COUNTIFS(Tabela4[[#All],[Cenário]],Tabela4[[#This Row],[Cenário]],Tabela4[[#All],[Status]],Tabela4[[#Headers],[Keyuser - Aguardando tarefa precedente]])</f>
        <v>0</v>
      </c>
      <c r="V116">
        <f>COUNTIFS(Tabela4[[#All],[Cenário]],Tabela4[[#This Row],[Cenário]],Tabela4[[#All],[Status]],Tabela4[[#Headers],[Não liberado  para testes]])</f>
        <v>1</v>
      </c>
      <c r="W116" t="str">
        <f>IF(Tabela4[[#This Row],[Elo - Em correção ]]&gt;0,"Sim","Não")</f>
        <v>Não</v>
      </c>
      <c r="X116" t="str">
        <f>IF(Tabela4[[#This Row],[Keyuser - Aguardando tarefa precedente]]&gt;0,"Sim","Não")</f>
        <v>Não</v>
      </c>
      <c r="Y116" t="str">
        <f>IF(Tabela4[[#This Row],[Não liberado  para testes]]&gt;0,"Sim","Não")</f>
        <v>Sim</v>
      </c>
      <c r="Z116" t="str">
        <f ca="1">IF(Tabela4[[#This Row],[Status]]="Keyuser - Pendente",NETWORKDAYS(Tabela4[[#This Row],[Dt Inicial]],TODAY()),"")</f>
        <v/>
      </c>
      <c r="AA116" t="b">
        <f>AND(Tabela4[[#This Row],[Status]]="Keyuser - Aguardando tarefa precedente",K115="Keyuser - Concluído ")</f>
        <v>0</v>
      </c>
    </row>
    <row r="117" spans="1:27" x14ac:dyDescent="0.25">
      <c r="A117" t="str">
        <f>"OUT-"&amp;IFERROR(MID(Tabela4[[#This Row],[Cenário]],SEARCH("(",Tabela4[[#This Row],[Cenário]])+1,SEARCH(")",Tabela4[[#This Row],[Cenário]])-SEARCH("(",Tabela4[[#This Row],[Cenário]])-1),"")&amp;"_"&amp;ROW()</f>
        <v>OUT-YRET_117</v>
      </c>
      <c r="B117" t="s">
        <v>358</v>
      </c>
      <c r="C117" t="s">
        <v>428</v>
      </c>
      <c r="D117" t="s">
        <v>365</v>
      </c>
      <c r="E117">
        <v>2</v>
      </c>
      <c r="F117" t="s">
        <v>365</v>
      </c>
      <c r="G117" t="s">
        <v>310</v>
      </c>
      <c r="H117" s="13">
        <v>60668334</v>
      </c>
      <c r="I117" s="13"/>
      <c r="J117" s="13"/>
      <c r="K117" s="9" t="s">
        <v>271</v>
      </c>
      <c r="L117" s="78">
        <v>45958</v>
      </c>
      <c r="N117" s="78">
        <v>45958</v>
      </c>
      <c r="O117" s="31"/>
      <c r="P117" s="9"/>
      <c r="Q117" s="9">
        <f>COUNTIF(Tabela4[[#All],[Cenário]],Tabela4[[#This Row],[Cenário]])</f>
        <v>6</v>
      </c>
      <c r="R117">
        <f>COUNTIFS(Tabela4[[#All],[Cenário]],Tabela4[[#This Row],[Cenário]],Tabela4[[#All],[Status]],"Keyuser - Concluído ")</f>
        <v>5</v>
      </c>
      <c r="S117" t="str">
        <f>IF(Tabela4[[#This Row],[Tarefas por Cenário]]-Tabela4[[#This Row],[Tarefas Concluídas]]&gt;0,"Não","Sim")</f>
        <v>Não</v>
      </c>
      <c r="T117">
        <f>COUNTIFS(Tabela4[[#All],[Cenário]],Tabela4[[#This Row],[Cenário]],Tabela4[[#All],[Status]],Tabela4[[#Headers],[Elo - Em correção ]])</f>
        <v>0</v>
      </c>
      <c r="U117">
        <f>COUNTIFS(Tabela4[[#All],[Cenário]],Tabela4[[#This Row],[Cenário]],Tabela4[[#All],[Status]],Tabela4[[#Headers],[Keyuser - Aguardando tarefa precedente]])</f>
        <v>0</v>
      </c>
      <c r="V117">
        <f>COUNTIFS(Tabela4[[#All],[Cenário]],Tabela4[[#This Row],[Cenário]],Tabela4[[#All],[Status]],Tabela4[[#Headers],[Não liberado  para testes]])</f>
        <v>1</v>
      </c>
      <c r="W117" t="str">
        <f>IF(Tabela4[[#This Row],[Elo - Em correção ]]&gt;0,"Sim","Não")</f>
        <v>Não</v>
      </c>
      <c r="X117" t="str">
        <f>IF(Tabela4[[#This Row],[Keyuser - Aguardando tarefa precedente]]&gt;0,"Sim","Não")</f>
        <v>Não</v>
      </c>
      <c r="Y117" t="str">
        <f>IF(Tabela4[[#This Row],[Não liberado  para testes]]&gt;0,"Sim","Não")</f>
        <v>Sim</v>
      </c>
      <c r="Z117" t="str">
        <f ca="1">IF(Tabela4[[#This Row],[Status]]="Keyuser - Pendente",NETWORKDAYS(Tabela4[[#This Row],[Dt Inicial]],TODAY()),"")</f>
        <v/>
      </c>
      <c r="AA117" t="b">
        <f>AND(Tabela4[[#This Row],[Status]]="Keyuser - Aguardando tarefa precedente",K116="Keyuser - Concluído ")</f>
        <v>0</v>
      </c>
    </row>
    <row r="118" spans="1:27" x14ac:dyDescent="0.25">
      <c r="A118" t="str">
        <f>"OUT-"&amp;IFERROR(MID(Tabela4[[#This Row],[Cenário]],SEARCH("(",Tabela4[[#This Row],[Cenário]])+1,SEARCH(")",Tabela4[[#This Row],[Cenário]])-SEARCH("(",Tabela4[[#This Row],[Cenário]])-1),"")&amp;"_"&amp;ROW()</f>
        <v>OUT-YRET_118</v>
      </c>
      <c r="B118" t="s">
        <v>358</v>
      </c>
      <c r="C118" t="s">
        <v>428</v>
      </c>
      <c r="D118" t="s">
        <v>368</v>
      </c>
      <c r="E118">
        <v>3</v>
      </c>
      <c r="F118" t="s">
        <v>368</v>
      </c>
      <c r="G118" t="s">
        <v>377</v>
      </c>
      <c r="H118" s="13" t="s">
        <v>429</v>
      </c>
      <c r="I118" s="13"/>
      <c r="J118" s="13"/>
      <c r="K118" s="9" t="s">
        <v>271</v>
      </c>
      <c r="L118" s="78">
        <v>45959</v>
      </c>
      <c r="N118" s="78">
        <v>45959</v>
      </c>
      <c r="O118" s="31" t="s">
        <v>430</v>
      </c>
      <c r="P118" s="9"/>
      <c r="Q118" s="9">
        <f>COUNTIF(Tabela4[[#All],[Cenário]],Tabela4[[#This Row],[Cenário]])</f>
        <v>6</v>
      </c>
      <c r="R118">
        <f>COUNTIFS(Tabela4[[#All],[Cenário]],Tabela4[[#This Row],[Cenário]],Tabela4[[#All],[Status]],"Keyuser - Concluído ")</f>
        <v>5</v>
      </c>
      <c r="S118" t="str">
        <f>IF(Tabela4[[#This Row],[Tarefas por Cenário]]-Tabela4[[#This Row],[Tarefas Concluídas]]&gt;0,"Não","Sim")</f>
        <v>Não</v>
      </c>
      <c r="T118">
        <f>COUNTIFS(Tabela4[[#All],[Cenário]],Tabela4[[#This Row],[Cenário]],Tabela4[[#All],[Status]],Tabela4[[#Headers],[Elo - Em correção ]])</f>
        <v>0</v>
      </c>
      <c r="U118">
        <f>COUNTIFS(Tabela4[[#All],[Cenário]],Tabela4[[#This Row],[Cenário]],Tabela4[[#All],[Status]],Tabela4[[#Headers],[Keyuser - Aguardando tarefa precedente]])</f>
        <v>0</v>
      </c>
      <c r="V118">
        <f>COUNTIFS(Tabela4[[#All],[Cenário]],Tabela4[[#This Row],[Cenário]],Tabela4[[#All],[Status]],Tabela4[[#Headers],[Não liberado  para testes]])</f>
        <v>1</v>
      </c>
      <c r="W118" t="str">
        <f>IF(Tabela4[[#This Row],[Elo - Em correção ]]&gt;0,"Sim","Não")</f>
        <v>Não</v>
      </c>
      <c r="X118" t="str">
        <f>IF(Tabela4[[#This Row],[Keyuser - Aguardando tarefa precedente]]&gt;0,"Sim","Não")</f>
        <v>Não</v>
      </c>
      <c r="Y118" t="str">
        <f>IF(Tabela4[[#This Row],[Não liberado  para testes]]&gt;0,"Sim","Não")</f>
        <v>Sim</v>
      </c>
      <c r="Z118" t="str">
        <f ca="1">IF(Tabela4[[#This Row],[Status]]="Keyuser - Pendente",NETWORKDAYS(Tabela4[[#This Row],[Dt Inicial]],TODAY()),"")</f>
        <v/>
      </c>
      <c r="AA118" t="b">
        <f>AND(Tabela4[[#This Row],[Status]]="Keyuser - Aguardando tarefa precedente",K117="Keyuser - Concluído ")</f>
        <v>0</v>
      </c>
    </row>
    <row r="119" spans="1:27" x14ac:dyDescent="0.25">
      <c r="A119" t="str">
        <f>"OUT-"&amp;IFERROR(MID(Tabela4[[#This Row],[Cenário]],SEARCH("(",Tabela4[[#This Row],[Cenário]])+1,SEARCH(")",Tabela4[[#This Row],[Cenário]])-SEARCH("(",Tabela4[[#This Row],[Cenário]])-1),"")&amp;"_"&amp;ROW()</f>
        <v>OUT-YRET_119</v>
      </c>
      <c r="B119" t="s">
        <v>358</v>
      </c>
      <c r="C119" t="s">
        <v>428</v>
      </c>
      <c r="D119" t="s">
        <v>371</v>
      </c>
      <c r="E119">
        <v>4</v>
      </c>
      <c r="F119" t="s">
        <v>372</v>
      </c>
      <c r="G119" t="s">
        <v>287</v>
      </c>
      <c r="H119" s="13" t="s">
        <v>429</v>
      </c>
      <c r="I119" s="13"/>
      <c r="J119" s="13"/>
      <c r="K119" s="9" t="s">
        <v>271</v>
      </c>
      <c r="L119" s="78">
        <v>45959</v>
      </c>
      <c r="N119" s="78">
        <v>45959</v>
      </c>
      <c r="O119" s="31"/>
      <c r="P119" s="9"/>
      <c r="Q119" s="9">
        <f>COUNTIF(Tabela4[[#All],[Cenário]],Tabela4[[#This Row],[Cenário]])</f>
        <v>6</v>
      </c>
      <c r="R119">
        <f>COUNTIFS(Tabela4[[#All],[Cenário]],Tabela4[[#This Row],[Cenário]],Tabela4[[#All],[Status]],"Keyuser - Concluído ")</f>
        <v>5</v>
      </c>
      <c r="S119" t="str">
        <f>IF(Tabela4[[#This Row],[Tarefas por Cenário]]-Tabela4[[#This Row],[Tarefas Concluídas]]&gt;0,"Não","Sim")</f>
        <v>Não</v>
      </c>
      <c r="T119">
        <f>COUNTIFS(Tabela4[[#All],[Cenário]],Tabela4[[#This Row],[Cenário]],Tabela4[[#All],[Status]],Tabela4[[#Headers],[Elo - Em correção ]])</f>
        <v>0</v>
      </c>
      <c r="U119">
        <f>COUNTIFS(Tabela4[[#All],[Cenário]],Tabela4[[#This Row],[Cenário]],Tabela4[[#All],[Status]],Tabela4[[#Headers],[Keyuser - Aguardando tarefa precedente]])</f>
        <v>0</v>
      </c>
      <c r="V119">
        <f>COUNTIFS(Tabela4[[#All],[Cenário]],Tabela4[[#This Row],[Cenário]],Tabela4[[#All],[Status]],Tabela4[[#Headers],[Não liberado  para testes]])</f>
        <v>1</v>
      </c>
      <c r="W119" t="str">
        <f>IF(Tabela4[[#This Row],[Elo - Em correção ]]&gt;0,"Sim","Não")</f>
        <v>Não</v>
      </c>
      <c r="X119" t="str">
        <f>IF(Tabela4[[#This Row],[Keyuser - Aguardando tarefa precedente]]&gt;0,"Sim","Não")</f>
        <v>Não</v>
      </c>
      <c r="Y119" t="str">
        <f>IF(Tabela4[[#This Row],[Não liberado  para testes]]&gt;0,"Sim","Não")</f>
        <v>Sim</v>
      </c>
      <c r="Z119" t="str">
        <f ca="1">IF(Tabela4[[#This Row],[Status]]="Keyuser - Pendente",NETWORKDAYS(Tabela4[[#This Row],[Dt Inicial]],TODAY()),"")</f>
        <v/>
      </c>
      <c r="AA119" t="b">
        <f>AND(Tabela4[[#This Row],[Status]]="Keyuser - Aguardando tarefa precedente",K118="Keyuser - Concluído ")</f>
        <v>0</v>
      </c>
    </row>
    <row r="120" spans="1:27" x14ac:dyDescent="0.25">
      <c r="A120" t="str">
        <f>"OUT-"&amp;IFERROR(MID(Tabela4[[#This Row],[Cenário]],SEARCH("(",Tabela4[[#This Row],[Cenário]])+1,SEARCH(")",Tabela4[[#This Row],[Cenário]])-SEARCH("(",Tabela4[[#This Row],[Cenário]])-1),"")&amp;"_"&amp;ROW()</f>
        <v>OUT-YRET_120</v>
      </c>
      <c r="B120" t="s">
        <v>358</v>
      </c>
      <c r="C120" t="s">
        <v>428</v>
      </c>
      <c r="D120" t="s">
        <v>373</v>
      </c>
      <c r="E120">
        <v>5</v>
      </c>
      <c r="F120" t="s">
        <v>373</v>
      </c>
      <c r="G120" t="s">
        <v>283</v>
      </c>
      <c r="H120" s="13" t="s">
        <v>429</v>
      </c>
      <c r="I120" s="13"/>
      <c r="J120" s="13"/>
      <c r="K120" s="9" t="s">
        <v>271</v>
      </c>
      <c r="L120" s="78">
        <v>45960</v>
      </c>
      <c r="N120" s="78">
        <v>45960</v>
      </c>
      <c r="O120" s="31"/>
      <c r="P120" s="9"/>
      <c r="Q120" s="9">
        <f>COUNTIF(Tabela4[[#All],[Cenário]],Tabela4[[#This Row],[Cenário]])</f>
        <v>6</v>
      </c>
      <c r="R120">
        <f>COUNTIFS(Tabela4[[#All],[Cenário]],Tabela4[[#This Row],[Cenário]],Tabela4[[#All],[Status]],"Keyuser - Concluído ")</f>
        <v>5</v>
      </c>
      <c r="S120" t="str">
        <f>IF(Tabela4[[#This Row],[Tarefas por Cenário]]-Tabela4[[#This Row],[Tarefas Concluídas]]&gt;0,"Não","Sim")</f>
        <v>Não</v>
      </c>
      <c r="T120">
        <f>COUNTIFS(Tabela4[[#All],[Cenário]],Tabela4[[#This Row],[Cenário]],Tabela4[[#All],[Status]],Tabela4[[#Headers],[Elo - Em correção ]])</f>
        <v>0</v>
      </c>
      <c r="U120">
        <f>COUNTIFS(Tabela4[[#All],[Cenário]],Tabela4[[#This Row],[Cenário]],Tabela4[[#All],[Status]],Tabela4[[#Headers],[Keyuser - Aguardando tarefa precedente]])</f>
        <v>0</v>
      </c>
      <c r="V120">
        <f>COUNTIFS(Tabela4[[#All],[Cenário]],Tabela4[[#This Row],[Cenário]],Tabela4[[#All],[Status]],Tabela4[[#Headers],[Não liberado  para testes]])</f>
        <v>1</v>
      </c>
      <c r="W120" t="str">
        <f>IF(Tabela4[[#This Row],[Elo - Em correção ]]&gt;0,"Sim","Não")</f>
        <v>Não</v>
      </c>
      <c r="X120" t="str">
        <f>IF(Tabela4[[#This Row],[Keyuser - Aguardando tarefa precedente]]&gt;0,"Sim","Não")</f>
        <v>Não</v>
      </c>
      <c r="Y120" t="str">
        <f>IF(Tabela4[[#This Row],[Não liberado  para testes]]&gt;0,"Sim","Não")</f>
        <v>Sim</v>
      </c>
      <c r="Z120" t="str">
        <f ca="1">IF(Tabela4[[#This Row],[Status]]="Keyuser - Pendente",NETWORKDAYS(Tabela4[[#This Row],[Dt Inicial]],TODAY()),"")</f>
        <v/>
      </c>
      <c r="AA120" t="b">
        <f>AND(Tabela4[[#This Row],[Status]]="Keyuser - Aguardando tarefa precedente",K119="Keyuser - Concluído ")</f>
        <v>0</v>
      </c>
    </row>
    <row r="121" spans="1:27" x14ac:dyDescent="0.25">
      <c r="A121" t="str">
        <f>"OUT-"&amp;IFERROR(MID(Tabela4[[#This Row],[Cenário]],SEARCH("(",Tabela4[[#This Row],[Cenário]])+1,SEARCH(")",Tabela4[[#This Row],[Cenário]])-SEARCH("(",Tabela4[[#This Row],[Cenário]])-1),"")&amp;"_"&amp;ROW()</f>
        <v>OUT-YRET_121</v>
      </c>
      <c r="B121" t="s">
        <v>374</v>
      </c>
      <c r="C121" t="s">
        <v>428</v>
      </c>
      <c r="D121" t="s">
        <v>286</v>
      </c>
      <c r="E121">
        <v>6</v>
      </c>
      <c r="F121" t="s">
        <v>286</v>
      </c>
      <c r="G121" t="s">
        <v>287</v>
      </c>
      <c r="H121" s="13"/>
      <c r="I121" s="13"/>
      <c r="J121" s="13"/>
      <c r="K121" s="9" t="s">
        <v>262</v>
      </c>
      <c r="N121" s="78"/>
      <c r="O121" s="31"/>
      <c r="P121" s="9"/>
      <c r="Q121" s="9">
        <f>COUNTIF(Tabela4[[#All],[Cenário]],Tabela4[[#This Row],[Cenário]])</f>
        <v>6</v>
      </c>
      <c r="R121">
        <f>COUNTIFS(Tabela4[[#All],[Cenário]],Tabela4[[#This Row],[Cenário]],Tabela4[[#All],[Status]],"Keyuser - Concluído ")</f>
        <v>5</v>
      </c>
      <c r="S121" t="str">
        <f>IF(Tabela4[[#This Row],[Tarefas por Cenário]]-Tabela4[[#This Row],[Tarefas Concluídas]]&gt;0,"Não","Sim")</f>
        <v>Não</v>
      </c>
      <c r="T121">
        <f>COUNTIFS(Tabela4[[#All],[Cenário]],Tabela4[[#This Row],[Cenário]],Tabela4[[#All],[Status]],Tabela4[[#Headers],[Elo - Em correção ]])</f>
        <v>0</v>
      </c>
      <c r="U121">
        <f>COUNTIFS(Tabela4[[#All],[Cenário]],Tabela4[[#This Row],[Cenário]],Tabela4[[#All],[Status]],Tabela4[[#Headers],[Keyuser - Aguardando tarefa precedente]])</f>
        <v>0</v>
      </c>
      <c r="V121">
        <f>COUNTIFS(Tabela4[[#All],[Cenário]],Tabela4[[#This Row],[Cenário]],Tabela4[[#All],[Status]],Tabela4[[#Headers],[Não liberado  para testes]])</f>
        <v>1</v>
      </c>
      <c r="W121" t="str">
        <f>IF(Tabela4[[#This Row],[Elo - Em correção ]]&gt;0,"Sim","Não")</f>
        <v>Não</v>
      </c>
      <c r="X121" t="str">
        <f>IF(Tabela4[[#This Row],[Keyuser - Aguardando tarefa precedente]]&gt;0,"Sim","Não")</f>
        <v>Não</v>
      </c>
      <c r="Y121" t="str">
        <f>IF(Tabela4[[#This Row],[Não liberado  para testes]]&gt;0,"Sim","Não")</f>
        <v>Sim</v>
      </c>
      <c r="Z121" t="str">
        <f ca="1">IF(Tabela4[[#This Row],[Status]]="Keyuser - Pendente",NETWORKDAYS(Tabela4[[#This Row],[Dt Inicial]],TODAY()),"")</f>
        <v/>
      </c>
      <c r="AA121" t="b">
        <f>AND(Tabela4[[#This Row],[Status]]="Keyuser - Aguardando tarefa precedente",K120="Keyuser - Concluído ")</f>
        <v>0</v>
      </c>
    </row>
    <row r="122" spans="1:27" x14ac:dyDescent="0.25">
      <c r="A122" t="str">
        <f>"OUT-"&amp;IFERROR(MID(Tabela4[[#This Row],[Cenário]],SEARCH("(",Tabela4[[#This Row],[Cenário]])+1,SEARCH(")",Tabela4[[#This Row],[Cenário]])-SEARCH("(",Tabela4[[#This Row],[Cenário]])-1),"")&amp;"_"&amp;ROW()</f>
        <v>OUT-Logum_122</v>
      </c>
      <c r="B122" t="s">
        <v>358</v>
      </c>
      <c r="C122" t="s">
        <v>431</v>
      </c>
      <c r="D122" t="s">
        <v>360</v>
      </c>
      <c r="E122">
        <v>1</v>
      </c>
      <c r="F122" t="s">
        <v>360</v>
      </c>
      <c r="G122" t="s">
        <v>361</v>
      </c>
      <c r="H122" s="18">
        <v>15603636</v>
      </c>
      <c r="I122" s="13" t="s">
        <v>432</v>
      </c>
      <c r="J122" s="9" t="s">
        <v>364</v>
      </c>
      <c r="K122" s="9" t="s">
        <v>271</v>
      </c>
      <c r="L122" s="78">
        <v>45952</v>
      </c>
      <c r="N122" s="78">
        <v>45952</v>
      </c>
      <c r="O122" s="31"/>
      <c r="P122" s="9"/>
      <c r="Q122" s="9">
        <f>COUNTIF(Tabela4[[#All],[Cenário]],Tabela4[[#This Row],[Cenário]])</f>
        <v>8</v>
      </c>
      <c r="R122">
        <f>COUNTIFS(Tabela4[[#All],[Cenário]],Tabela4[[#This Row],[Cenário]],Tabela4[[#All],[Status]],"Keyuser - Concluído ")</f>
        <v>7</v>
      </c>
      <c r="S122" t="str">
        <f>IF(Tabela4[[#This Row],[Tarefas por Cenário]]-Tabela4[[#This Row],[Tarefas Concluídas]]&gt;0,"Não","Sim")</f>
        <v>Não</v>
      </c>
      <c r="T122">
        <f>COUNTIFS(Tabela4[[#All],[Cenário]],Tabela4[[#This Row],[Cenário]],Tabela4[[#All],[Status]],Tabela4[[#Headers],[Elo - Em correção ]])</f>
        <v>0</v>
      </c>
      <c r="U122">
        <f>COUNTIFS(Tabela4[[#All],[Cenário]],Tabela4[[#This Row],[Cenário]],Tabela4[[#All],[Status]],Tabela4[[#Headers],[Keyuser - Aguardando tarefa precedente]])</f>
        <v>0</v>
      </c>
      <c r="V122">
        <f>COUNTIFS(Tabela4[[#All],[Cenário]],Tabela4[[#This Row],[Cenário]],Tabela4[[#All],[Status]],Tabela4[[#Headers],[Não liberado  para testes]])</f>
        <v>1</v>
      </c>
      <c r="W122" t="str">
        <f>IF(Tabela4[[#This Row],[Elo - Em correção ]]&gt;0,"Sim","Não")</f>
        <v>Não</v>
      </c>
      <c r="X122" t="str">
        <f>IF(Tabela4[[#This Row],[Keyuser - Aguardando tarefa precedente]]&gt;0,"Sim","Não")</f>
        <v>Não</v>
      </c>
      <c r="Y122" t="str">
        <f>IF(Tabela4[[#This Row],[Não liberado  para testes]]&gt;0,"Sim","Não")</f>
        <v>Sim</v>
      </c>
      <c r="Z122" t="str">
        <f ca="1">IF(Tabela4[[#This Row],[Status]]="Keyuser - Pendente",NETWORKDAYS(Tabela4[[#This Row],[Dt Inicial]],TODAY()),"")</f>
        <v/>
      </c>
      <c r="AA122" t="b">
        <f>AND(Tabela4[[#This Row],[Status]]="Keyuser - Aguardando tarefa precedente",K121="Keyuser - Concluído ")</f>
        <v>0</v>
      </c>
    </row>
    <row r="123" spans="1:27" x14ac:dyDescent="0.25">
      <c r="A123" t="str">
        <f>"OUT-"&amp;IFERROR(MID(Tabela4[[#This Row],[Cenário]],SEARCH("(",Tabela4[[#This Row],[Cenário]])+1,SEARCH(")",Tabela4[[#This Row],[Cenário]])-SEARCH("(",Tabela4[[#This Row],[Cenário]])-1),"")&amp;"_"&amp;ROW()</f>
        <v>OUT-Logum_123</v>
      </c>
      <c r="B123" t="s">
        <v>358</v>
      </c>
      <c r="C123" t="s">
        <v>431</v>
      </c>
      <c r="D123" t="s">
        <v>365</v>
      </c>
      <c r="E123">
        <v>2</v>
      </c>
      <c r="F123" t="s">
        <v>365</v>
      </c>
      <c r="G123" t="s">
        <v>310</v>
      </c>
      <c r="H123" s="18">
        <v>15603636</v>
      </c>
      <c r="I123" s="13" t="s">
        <v>432</v>
      </c>
      <c r="J123" s="9" t="s">
        <v>364</v>
      </c>
      <c r="K123" s="9" t="s">
        <v>271</v>
      </c>
      <c r="L123" s="78">
        <v>45952</v>
      </c>
      <c r="N123" s="78">
        <v>45952</v>
      </c>
      <c r="O123" s="31"/>
      <c r="P123" s="9"/>
      <c r="Q123" s="9">
        <f>COUNTIF(Tabela4[[#All],[Cenário]],Tabela4[[#This Row],[Cenário]])</f>
        <v>8</v>
      </c>
      <c r="R123">
        <f>COUNTIFS(Tabela4[[#All],[Cenário]],Tabela4[[#This Row],[Cenário]],Tabela4[[#All],[Status]],"Keyuser - Concluído ")</f>
        <v>7</v>
      </c>
      <c r="S123" t="str">
        <f>IF(Tabela4[[#This Row],[Tarefas por Cenário]]-Tabela4[[#This Row],[Tarefas Concluídas]]&gt;0,"Não","Sim")</f>
        <v>Não</v>
      </c>
      <c r="T123">
        <f>COUNTIFS(Tabela4[[#All],[Cenário]],Tabela4[[#This Row],[Cenário]],Tabela4[[#All],[Status]],Tabela4[[#Headers],[Elo - Em correção ]])</f>
        <v>0</v>
      </c>
      <c r="U123">
        <f>COUNTIFS(Tabela4[[#All],[Cenário]],Tabela4[[#This Row],[Cenário]],Tabela4[[#All],[Status]],Tabela4[[#Headers],[Keyuser - Aguardando tarefa precedente]])</f>
        <v>0</v>
      </c>
      <c r="V123">
        <f>COUNTIFS(Tabela4[[#All],[Cenário]],Tabela4[[#This Row],[Cenário]],Tabela4[[#All],[Status]],Tabela4[[#Headers],[Não liberado  para testes]])</f>
        <v>1</v>
      </c>
      <c r="W123" t="str">
        <f>IF(Tabela4[[#This Row],[Elo - Em correção ]]&gt;0,"Sim","Não")</f>
        <v>Não</v>
      </c>
      <c r="X123" t="str">
        <f>IF(Tabela4[[#This Row],[Keyuser - Aguardando tarefa precedente]]&gt;0,"Sim","Não")</f>
        <v>Não</v>
      </c>
      <c r="Y123" t="str">
        <f>IF(Tabela4[[#This Row],[Não liberado  para testes]]&gt;0,"Sim","Não")</f>
        <v>Sim</v>
      </c>
      <c r="Z123" t="str">
        <f ca="1">IF(Tabela4[[#This Row],[Status]]="Keyuser - Pendente",NETWORKDAYS(Tabela4[[#This Row],[Dt Inicial]],TODAY()),"")</f>
        <v/>
      </c>
      <c r="AA123" t="b">
        <f>AND(Tabela4[[#This Row],[Status]]="Keyuser - Aguardando tarefa precedente",K122="Keyuser - Concluído ")</f>
        <v>0</v>
      </c>
    </row>
    <row r="124" spans="1:27" x14ac:dyDescent="0.25">
      <c r="A124" t="str">
        <f>"OUT-"&amp;IFERROR(MID(Tabela4[[#This Row],[Cenário]],SEARCH("(",Tabela4[[#This Row],[Cenário]])+1,SEARCH(")",Tabela4[[#This Row],[Cenário]])-SEARCH("(",Tabela4[[#This Row],[Cenário]])-1),"")&amp;"_"&amp;ROW()</f>
        <v>OUT-Logum_124</v>
      </c>
      <c r="B124" t="s">
        <v>358</v>
      </c>
      <c r="C124" t="s">
        <v>431</v>
      </c>
      <c r="D124" t="s">
        <v>366</v>
      </c>
      <c r="E124">
        <v>3</v>
      </c>
      <c r="F124" t="s">
        <v>366</v>
      </c>
      <c r="G124" t="s">
        <v>367</v>
      </c>
      <c r="H124" s="18">
        <v>15603636</v>
      </c>
      <c r="I124" s="13" t="s">
        <v>432</v>
      </c>
      <c r="J124" s="9" t="s">
        <v>364</v>
      </c>
      <c r="K124" s="9" t="s">
        <v>271</v>
      </c>
      <c r="L124" s="78">
        <v>45952</v>
      </c>
      <c r="N124" s="78">
        <v>45952</v>
      </c>
      <c r="O124" s="31"/>
      <c r="P124" s="9"/>
      <c r="Q124" s="9">
        <f>COUNTIF(Tabela4[[#All],[Cenário]],Tabela4[[#This Row],[Cenário]])</f>
        <v>8</v>
      </c>
      <c r="R124">
        <f>COUNTIFS(Tabela4[[#All],[Cenário]],Tabela4[[#This Row],[Cenário]],Tabela4[[#All],[Status]],"Keyuser - Concluído ")</f>
        <v>7</v>
      </c>
      <c r="S124" t="str">
        <f>IF(Tabela4[[#This Row],[Tarefas por Cenário]]-Tabela4[[#This Row],[Tarefas Concluídas]]&gt;0,"Não","Sim")</f>
        <v>Não</v>
      </c>
      <c r="T124">
        <f>COUNTIFS(Tabela4[[#All],[Cenário]],Tabela4[[#This Row],[Cenário]],Tabela4[[#All],[Status]],Tabela4[[#Headers],[Elo - Em correção ]])</f>
        <v>0</v>
      </c>
      <c r="U124">
        <f>COUNTIFS(Tabela4[[#All],[Cenário]],Tabela4[[#This Row],[Cenário]],Tabela4[[#All],[Status]],Tabela4[[#Headers],[Keyuser - Aguardando tarefa precedente]])</f>
        <v>0</v>
      </c>
      <c r="V124">
        <f>COUNTIFS(Tabela4[[#All],[Cenário]],Tabela4[[#This Row],[Cenário]],Tabela4[[#All],[Status]],Tabela4[[#Headers],[Não liberado  para testes]])</f>
        <v>1</v>
      </c>
      <c r="W124" t="str">
        <f>IF(Tabela4[[#This Row],[Elo - Em correção ]]&gt;0,"Sim","Não")</f>
        <v>Não</v>
      </c>
      <c r="X124" t="str">
        <f>IF(Tabela4[[#This Row],[Keyuser - Aguardando tarefa precedente]]&gt;0,"Sim","Não")</f>
        <v>Não</v>
      </c>
      <c r="Y124" t="str">
        <f>IF(Tabela4[[#This Row],[Não liberado  para testes]]&gt;0,"Sim","Não")</f>
        <v>Sim</v>
      </c>
      <c r="Z124" t="str">
        <f ca="1">IF(Tabela4[[#This Row],[Status]]="Keyuser - Pendente",NETWORKDAYS(Tabela4[[#This Row],[Dt Inicial]],TODAY()),"")</f>
        <v/>
      </c>
      <c r="AA124" t="b">
        <f>AND(Tabela4[[#This Row],[Status]]="Keyuser - Aguardando tarefa precedente",K123="Keyuser - Concluído ")</f>
        <v>0</v>
      </c>
    </row>
    <row r="125" spans="1:27" ht="14.85" customHeight="1" x14ac:dyDescent="0.25">
      <c r="A125" t="str">
        <f>"OUT-"&amp;IFERROR(MID(Tabela4[[#This Row],[Cenário]],SEARCH("(",Tabela4[[#This Row],[Cenário]])+1,SEARCH(")",Tabela4[[#This Row],[Cenário]])-SEARCH("(",Tabela4[[#This Row],[Cenário]])-1),"")&amp;"_"&amp;ROW()</f>
        <v>OUT-Logum_125</v>
      </c>
      <c r="B125" t="s">
        <v>358</v>
      </c>
      <c r="C125" t="s">
        <v>431</v>
      </c>
      <c r="D125" t="s">
        <v>368</v>
      </c>
      <c r="E125">
        <v>4</v>
      </c>
      <c r="F125" t="s">
        <v>368</v>
      </c>
      <c r="G125" t="s">
        <v>369</v>
      </c>
      <c r="H125" s="13" t="s">
        <v>433</v>
      </c>
      <c r="I125" s="13"/>
      <c r="J125" s="13" t="s">
        <v>364</v>
      </c>
      <c r="K125" s="9" t="s">
        <v>271</v>
      </c>
      <c r="L125" s="78">
        <v>45958</v>
      </c>
      <c r="N125" s="78">
        <v>45958</v>
      </c>
      <c r="O125" s="32"/>
      <c r="P125" s="9"/>
      <c r="Q125" s="9">
        <f>COUNTIF(Tabela4[[#All],[Cenário]],Tabela4[[#This Row],[Cenário]])</f>
        <v>8</v>
      </c>
      <c r="R125">
        <f>COUNTIFS(Tabela4[[#All],[Cenário]],Tabela4[[#This Row],[Cenário]],Tabela4[[#All],[Status]],"Keyuser - Concluído ")</f>
        <v>7</v>
      </c>
      <c r="S125" t="str">
        <f>IF(Tabela4[[#This Row],[Tarefas por Cenário]]-Tabela4[[#This Row],[Tarefas Concluídas]]&gt;0,"Não","Sim")</f>
        <v>Não</v>
      </c>
      <c r="T125">
        <f>COUNTIFS(Tabela4[[#All],[Cenário]],Tabela4[[#This Row],[Cenário]],Tabela4[[#All],[Status]],Tabela4[[#Headers],[Elo - Em correção ]])</f>
        <v>0</v>
      </c>
      <c r="U125">
        <f>COUNTIFS(Tabela4[[#All],[Cenário]],Tabela4[[#This Row],[Cenário]],Tabela4[[#All],[Status]],Tabela4[[#Headers],[Keyuser - Aguardando tarefa precedente]])</f>
        <v>0</v>
      </c>
      <c r="V125">
        <f>COUNTIFS(Tabela4[[#All],[Cenário]],Tabela4[[#This Row],[Cenário]],Tabela4[[#All],[Status]],Tabela4[[#Headers],[Não liberado  para testes]])</f>
        <v>1</v>
      </c>
      <c r="W125" t="str">
        <f>IF(Tabela4[[#This Row],[Elo - Em correção ]]&gt;0,"Sim","Não")</f>
        <v>Não</v>
      </c>
      <c r="X125" t="str">
        <f>IF(Tabela4[[#This Row],[Keyuser - Aguardando tarefa precedente]]&gt;0,"Sim","Não")</f>
        <v>Não</v>
      </c>
      <c r="Y125" t="str">
        <f>IF(Tabela4[[#This Row],[Não liberado  para testes]]&gt;0,"Sim","Não")</f>
        <v>Sim</v>
      </c>
      <c r="Z125" t="str">
        <f ca="1">IF(Tabela4[[#This Row],[Status]]="Keyuser - Pendente",NETWORKDAYS(Tabela4[[#This Row],[Dt Inicial]],TODAY()),"")</f>
        <v/>
      </c>
      <c r="AA125" t="b">
        <f>AND(Tabela4[[#This Row],[Status]]="Keyuser - Aguardando tarefa precedente",K124="Keyuser - Concluído ")</f>
        <v>0</v>
      </c>
    </row>
    <row r="126" spans="1:27" x14ac:dyDescent="0.25">
      <c r="A126" t="str">
        <f>"OUT-"&amp;IFERROR(MID(Tabela4[[#This Row],[Cenário]],SEARCH("(",Tabela4[[#This Row],[Cenário]])+1,SEARCH(")",Tabela4[[#This Row],[Cenário]])-SEARCH("(",Tabela4[[#This Row],[Cenário]])-1),"")&amp;"_"&amp;ROW()</f>
        <v>OUT-Logum_126</v>
      </c>
      <c r="B126" t="s">
        <v>358</v>
      </c>
      <c r="C126" t="s">
        <v>431</v>
      </c>
      <c r="D126" t="s">
        <v>434</v>
      </c>
      <c r="E126">
        <v>5</v>
      </c>
      <c r="F126" t="s">
        <v>435</v>
      </c>
      <c r="G126" t="s">
        <v>287</v>
      </c>
      <c r="H126" s="13" t="s">
        <v>433</v>
      </c>
      <c r="I126" s="13"/>
      <c r="J126" s="13"/>
      <c r="K126" s="50" t="s">
        <v>271</v>
      </c>
      <c r="L126" s="78">
        <v>45959</v>
      </c>
      <c r="N126" s="78">
        <v>45959</v>
      </c>
      <c r="O126" s="31"/>
      <c r="P126" s="9"/>
      <c r="Q126" s="9">
        <f>COUNTIF(Tabela4[[#All],[Cenário]],Tabela4[[#This Row],[Cenário]])</f>
        <v>8</v>
      </c>
      <c r="R126">
        <f>COUNTIFS(Tabela4[[#All],[Cenário]],Tabela4[[#This Row],[Cenário]],Tabela4[[#All],[Status]],"Keyuser - Concluído ")</f>
        <v>7</v>
      </c>
      <c r="S126" t="str">
        <f>IF(Tabela4[[#This Row],[Tarefas por Cenário]]-Tabela4[[#This Row],[Tarefas Concluídas]]&gt;0,"Não","Sim")</f>
        <v>Não</v>
      </c>
      <c r="T126">
        <f>COUNTIFS(Tabela4[[#All],[Cenário]],Tabela4[[#This Row],[Cenário]],Tabela4[[#All],[Status]],Tabela4[[#Headers],[Elo - Em correção ]])</f>
        <v>0</v>
      </c>
      <c r="U126">
        <f>COUNTIFS(Tabela4[[#All],[Cenário]],Tabela4[[#This Row],[Cenário]],Tabela4[[#All],[Status]],Tabela4[[#Headers],[Keyuser - Aguardando tarefa precedente]])</f>
        <v>0</v>
      </c>
      <c r="V126">
        <f>COUNTIFS(Tabela4[[#All],[Cenário]],Tabela4[[#This Row],[Cenário]],Tabela4[[#All],[Status]],Tabela4[[#Headers],[Não liberado  para testes]])</f>
        <v>1</v>
      </c>
      <c r="W126" t="str">
        <f>IF(Tabela4[[#This Row],[Elo - Em correção ]]&gt;0,"Sim","Não")</f>
        <v>Não</v>
      </c>
      <c r="X126" t="str">
        <f>IF(Tabela4[[#This Row],[Keyuser - Aguardando tarefa precedente]]&gt;0,"Sim","Não")</f>
        <v>Não</v>
      </c>
      <c r="Y126" t="str">
        <f>IF(Tabela4[[#This Row],[Não liberado  para testes]]&gt;0,"Sim","Não")</f>
        <v>Sim</v>
      </c>
      <c r="Z126" t="str">
        <f ca="1">IF(Tabela4[[#This Row],[Status]]="Keyuser - Pendente",NETWORKDAYS(Tabela4[[#This Row],[Dt Inicial]],TODAY()),"")</f>
        <v/>
      </c>
      <c r="AA126" t="b">
        <f>AND(Tabela4[[#This Row],[Status]]="Keyuser - Aguardando tarefa precedente",K125="Keyuser - Concluído ")</f>
        <v>0</v>
      </c>
    </row>
    <row r="127" spans="1:27" x14ac:dyDescent="0.25">
      <c r="A127" t="str">
        <f>"OUT-"&amp;IFERROR(MID(Tabela4[[#This Row],[Cenário]],SEARCH("(",Tabela4[[#This Row],[Cenário]])+1,SEARCH(")",Tabela4[[#This Row],[Cenário]])-SEARCH("(",Tabela4[[#This Row],[Cenário]])-1),"")&amp;"_"&amp;ROW()</f>
        <v>OUT-Logum_127</v>
      </c>
      <c r="B127" t="s">
        <v>358</v>
      </c>
      <c r="C127" t="s">
        <v>431</v>
      </c>
      <c r="D127" t="s">
        <v>373</v>
      </c>
      <c r="E127">
        <v>6</v>
      </c>
      <c r="F127" t="s">
        <v>373</v>
      </c>
      <c r="G127" t="s">
        <v>283</v>
      </c>
      <c r="H127" s="13" t="s">
        <v>433</v>
      </c>
      <c r="I127" s="13"/>
      <c r="J127" s="13"/>
      <c r="K127" s="9" t="s">
        <v>271</v>
      </c>
      <c r="L127" s="78">
        <v>45960</v>
      </c>
      <c r="N127" s="78">
        <v>45960</v>
      </c>
      <c r="O127" s="31"/>
      <c r="P127" s="9"/>
      <c r="Q127" s="9">
        <f>COUNTIF(Tabela4[[#All],[Cenário]],Tabela4[[#This Row],[Cenário]])</f>
        <v>8</v>
      </c>
      <c r="R127">
        <f>COUNTIFS(Tabela4[[#All],[Cenário]],Tabela4[[#This Row],[Cenário]],Tabela4[[#All],[Status]],"Keyuser - Concluído ")</f>
        <v>7</v>
      </c>
      <c r="S127" t="str">
        <f>IF(Tabela4[[#This Row],[Tarefas por Cenário]]-Tabela4[[#This Row],[Tarefas Concluídas]]&gt;0,"Não","Sim")</f>
        <v>Não</v>
      </c>
      <c r="T127">
        <f>COUNTIFS(Tabela4[[#All],[Cenário]],Tabela4[[#This Row],[Cenário]],Tabela4[[#All],[Status]],Tabela4[[#Headers],[Elo - Em correção ]])</f>
        <v>0</v>
      </c>
      <c r="U127">
        <f>COUNTIFS(Tabela4[[#All],[Cenário]],Tabela4[[#This Row],[Cenário]],Tabela4[[#All],[Status]],Tabela4[[#Headers],[Keyuser - Aguardando tarefa precedente]])</f>
        <v>0</v>
      </c>
      <c r="V127">
        <f>COUNTIFS(Tabela4[[#All],[Cenário]],Tabela4[[#This Row],[Cenário]],Tabela4[[#All],[Status]],Tabela4[[#Headers],[Não liberado  para testes]])</f>
        <v>1</v>
      </c>
      <c r="W127" t="str">
        <f>IF(Tabela4[[#This Row],[Elo - Em correção ]]&gt;0,"Sim","Não")</f>
        <v>Não</v>
      </c>
      <c r="X127" t="str">
        <f>IF(Tabela4[[#This Row],[Keyuser - Aguardando tarefa precedente]]&gt;0,"Sim","Não")</f>
        <v>Não</v>
      </c>
      <c r="Y127" t="str">
        <f>IF(Tabela4[[#This Row],[Não liberado  para testes]]&gt;0,"Sim","Não")</f>
        <v>Sim</v>
      </c>
      <c r="Z127" t="str">
        <f ca="1">IF(Tabela4[[#This Row],[Status]]="Keyuser - Pendente",NETWORKDAYS(Tabela4[[#This Row],[Dt Inicial]],TODAY()),"")</f>
        <v/>
      </c>
      <c r="AA127" t="b">
        <f>AND(Tabela4[[#This Row],[Status]]="Keyuser - Aguardando tarefa precedente",K126="Keyuser - Concluído ")</f>
        <v>0</v>
      </c>
    </row>
    <row r="128" spans="1:27" x14ac:dyDescent="0.25">
      <c r="A128" t="str">
        <f>"OUT-"&amp;IFERROR(MID(Tabela4[[#This Row],[Cenário]],SEARCH("(",Tabela4[[#This Row],[Cenário]])+1,SEARCH(")",Tabela4[[#This Row],[Cenário]])-SEARCH("(",Tabela4[[#This Row],[Cenário]])-1),"")&amp;"_"&amp;ROW()</f>
        <v>OUT-Logum_128</v>
      </c>
      <c r="B128" t="s">
        <v>374</v>
      </c>
      <c r="C128" t="s">
        <v>431</v>
      </c>
      <c r="D128" t="s">
        <v>286</v>
      </c>
      <c r="E128">
        <v>7</v>
      </c>
      <c r="F128" t="s">
        <v>286</v>
      </c>
      <c r="G128" t="s">
        <v>287</v>
      </c>
      <c r="H128" s="13"/>
      <c r="I128" s="13"/>
      <c r="J128" s="13"/>
      <c r="K128" s="9" t="s">
        <v>262</v>
      </c>
      <c r="N128" s="78"/>
      <c r="O128" s="31"/>
      <c r="P128" s="9"/>
      <c r="Q128" s="9">
        <f>COUNTIF(Tabela4[[#All],[Cenário]],Tabela4[[#This Row],[Cenário]])</f>
        <v>8</v>
      </c>
      <c r="R128">
        <f>COUNTIFS(Tabela4[[#All],[Cenário]],Tabela4[[#This Row],[Cenário]],Tabela4[[#All],[Status]],"Keyuser - Concluído ")</f>
        <v>7</v>
      </c>
      <c r="S128" t="str">
        <f>IF(Tabela4[[#This Row],[Tarefas por Cenário]]-Tabela4[[#This Row],[Tarefas Concluídas]]&gt;0,"Não","Sim")</f>
        <v>Não</v>
      </c>
      <c r="T128">
        <f>COUNTIFS(Tabela4[[#All],[Cenário]],Tabela4[[#This Row],[Cenário]],Tabela4[[#All],[Status]],Tabela4[[#Headers],[Elo - Em correção ]])</f>
        <v>0</v>
      </c>
      <c r="U128">
        <f>COUNTIFS(Tabela4[[#All],[Cenário]],Tabela4[[#This Row],[Cenário]],Tabela4[[#All],[Status]],Tabela4[[#Headers],[Keyuser - Aguardando tarefa precedente]])</f>
        <v>0</v>
      </c>
      <c r="V128">
        <f>COUNTIFS(Tabela4[[#All],[Cenário]],Tabela4[[#This Row],[Cenário]],Tabela4[[#All],[Status]],Tabela4[[#Headers],[Não liberado  para testes]])</f>
        <v>1</v>
      </c>
      <c r="W128" t="str">
        <f>IF(Tabela4[[#This Row],[Elo - Em correção ]]&gt;0,"Sim","Não")</f>
        <v>Não</v>
      </c>
      <c r="X128" t="str">
        <f>IF(Tabela4[[#This Row],[Keyuser - Aguardando tarefa precedente]]&gt;0,"Sim","Não")</f>
        <v>Não</v>
      </c>
      <c r="Y128" t="str">
        <f>IF(Tabela4[[#This Row],[Não liberado  para testes]]&gt;0,"Sim","Não")</f>
        <v>Sim</v>
      </c>
      <c r="Z128" t="str">
        <f ca="1">IF(Tabela4[[#This Row],[Status]]="Keyuser - Pendente",NETWORKDAYS(Tabela4[[#This Row],[Dt Inicial]],TODAY()),"")</f>
        <v/>
      </c>
      <c r="AA128" t="b">
        <f>AND(Tabela4[[#This Row],[Status]]="Keyuser - Aguardando tarefa precedente",K127="Keyuser - Concluído ")</f>
        <v>0</v>
      </c>
    </row>
    <row r="129" spans="1:27" x14ac:dyDescent="0.25">
      <c r="A129" t="str">
        <f>"OUT-"&amp;IFERROR(MID(Tabela4[[#This Row],[Cenário]],SEARCH("(",Tabela4[[#This Row],[Cenário]])+1,SEARCH(")",Tabela4[[#This Row],[Cenário]])-SEARCH("(",Tabela4[[#This Row],[Cenário]])-1),"")&amp;"_"&amp;ROW()</f>
        <v>OUT-Logum_129</v>
      </c>
      <c r="B129" t="s">
        <v>358</v>
      </c>
      <c r="C129" t="s">
        <v>431</v>
      </c>
      <c r="D129" t="s">
        <v>375</v>
      </c>
      <c r="E129">
        <v>8</v>
      </c>
      <c r="F129" t="s">
        <v>375</v>
      </c>
      <c r="G129" t="s">
        <v>367</v>
      </c>
      <c r="H129" s="18">
        <v>15603636</v>
      </c>
      <c r="I129" s="13" t="s">
        <v>432</v>
      </c>
      <c r="J129" s="13"/>
      <c r="K129" s="9" t="s">
        <v>271</v>
      </c>
      <c r="L129" s="78">
        <v>45960</v>
      </c>
      <c r="N129" s="78">
        <v>45960</v>
      </c>
      <c r="O129" s="31"/>
      <c r="P129" s="9"/>
      <c r="Q129" s="9">
        <f>COUNTIF(Tabela4[[#All],[Cenário]],Tabela4[[#This Row],[Cenário]])</f>
        <v>8</v>
      </c>
      <c r="R129">
        <f>COUNTIFS(Tabela4[[#All],[Cenário]],Tabela4[[#This Row],[Cenário]],Tabela4[[#All],[Status]],"Keyuser - Concluído ")</f>
        <v>7</v>
      </c>
      <c r="S129" t="str">
        <f>IF(Tabela4[[#This Row],[Tarefas por Cenário]]-Tabela4[[#This Row],[Tarefas Concluídas]]&gt;0,"Não","Sim")</f>
        <v>Não</v>
      </c>
      <c r="T129">
        <f>COUNTIFS(Tabela4[[#All],[Cenário]],Tabela4[[#This Row],[Cenário]],Tabela4[[#All],[Status]],Tabela4[[#Headers],[Elo - Em correção ]])</f>
        <v>0</v>
      </c>
      <c r="U129">
        <f>COUNTIFS(Tabela4[[#All],[Cenário]],Tabela4[[#This Row],[Cenário]],Tabela4[[#All],[Status]],Tabela4[[#Headers],[Keyuser - Aguardando tarefa precedente]])</f>
        <v>0</v>
      </c>
      <c r="V129">
        <f>COUNTIFS(Tabela4[[#All],[Cenário]],Tabela4[[#This Row],[Cenário]],Tabela4[[#All],[Status]],Tabela4[[#Headers],[Não liberado  para testes]])</f>
        <v>1</v>
      </c>
      <c r="W129" t="str">
        <f>IF(Tabela4[[#This Row],[Elo - Em correção ]]&gt;0,"Sim","Não")</f>
        <v>Não</v>
      </c>
      <c r="X129" t="str">
        <f>IF(Tabela4[[#This Row],[Keyuser - Aguardando tarefa precedente]]&gt;0,"Sim","Não")</f>
        <v>Não</v>
      </c>
      <c r="Y129" t="str">
        <f>IF(Tabela4[[#This Row],[Não liberado  para testes]]&gt;0,"Sim","Não")</f>
        <v>Sim</v>
      </c>
      <c r="Z129" t="str">
        <f ca="1">IF(Tabela4[[#This Row],[Status]]="Keyuser - Pendente",NETWORKDAYS(Tabela4[[#This Row],[Dt Inicial]],TODAY()),"")</f>
        <v/>
      </c>
      <c r="AA129" t="b">
        <f>AND(Tabela4[[#This Row],[Status]]="Keyuser - Aguardando tarefa precedente",K128="Keyuser - Concluído ")</f>
        <v>0</v>
      </c>
    </row>
    <row r="130" spans="1:27" x14ac:dyDescent="0.25">
      <c r="A130" t="str">
        <f>"OUT-"&amp;IFERROR(MID(Tabela4[[#This Row],[Cenário]],SEARCH("(",Tabela4[[#This Row],[Cenário]])+1,SEARCH(")",Tabela4[[#This Row],[Cenário]])-SEARCH("(",Tabela4[[#This Row],[Cenário]])-1),"")&amp;"_"&amp;ROW()</f>
        <v>OUT-Logum_130</v>
      </c>
      <c r="B130" t="s">
        <v>358</v>
      </c>
      <c r="C130" t="s">
        <v>436</v>
      </c>
      <c r="D130" t="s">
        <v>360</v>
      </c>
      <c r="E130">
        <v>1</v>
      </c>
      <c r="F130" t="s">
        <v>360</v>
      </c>
      <c r="G130" t="s">
        <v>377</v>
      </c>
      <c r="H130" s="13">
        <v>60668358</v>
      </c>
      <c r="I130" s="13"/>
      <c r="J130" s="13"/>
      <c r="K130" s="9" t="s">
        <v>271</v>
      </c>
      <c r="L130" s="78">
        <v>45987</v>
      </c>
      <c r="N130" s="78">
        <v>45987</v>
      </c>
      <c r="O130" s="31"/>
      <c r="P130" s="9"/>
      <c r="Q130" s="9">
        <f>COUNTIF(Tabela4[[#All],[Cenário]],Tabela4[[#This Row],[Cenário]])</f>
        <v>6</v>
      </c>
      <c r="R130">
        <f>COUNTIFS(Tabela4[[#All],[Cenário]],Tabela4[[#This Row],[Cenário]],Tabela4[[#All],[Status]],"Keyuser - Concluído ")</f>
        <v>5</v>
      </c>
      <c r="S130" t="str">
        <f>IF(Tabela4[[#This Row],[Tarefas por Cenário]]-Tabela4[[#This Row],[Tarefas Concluídas]]&gt;0,"Não","Sim")</f>
        <v>Não</v>
      </c>
      <c r="T130">
        <f>COUNTIFS(Tabela4[[#All],[Cenário]],Tabela4[[#This Row],[Cenário]],Tabela4[[#All],[Status]],Tabela4[[#Headers],[Elo - Em correção ]])</f>
        <v>0</v>
      </c>
      <c r="U130">
        <f>COUNTIFS(Tabela4[[#All],[Cenário]],Tabela4[[#This Row],[Cenário]],Tabela4[[#All],[Status]],Tabela4[[#Headers],[Keyuser - Aguardando tarefa precedente]])</f>
        <v>0</v>
      </c>
      <c r="V130">
        <f>COUNTIFS(Tabela4[[#All],[Cenário]],Tabela4[[#This Row],[Cenário]],Tabela4[[#All],[Status]],Tabela4[[#Headers],[Não liberado  para testes]])</f>
        <v>1</v>
      </c>
      <c r="W130" t="str">
        <f>IF(Tabela4[[#This Row],[Elo - Em correção ]]&gt;0,"Sim","Não")</f>
        <v>Não</v>
      </c>
      <c r="X130" t="str">
        <f>IF(Tabela4[[#This Row],[Keyuser - Aguardando tarefa precedente]]&gt;0,"Sim","Não")</f>
        <v>Não</v>
      </c>
      <c r="Y130" t="str">
        <f>IF(Tabela4[[#This Row],[Não liberado  para testes]]&gt;0,"Sim","Não")</f>
        <v>Sim</v>
      </c>
      <c r="Z130" t="str">
        <f ca="1">IF(Tabela4[[#This Row],[Status]]="Keyuser - Pendente",NETWORKDAYS(Tabela4[[#This Row],[Dt Inicial]],TODAY()),"")</f>
        <v/>
      </c>
      <c r="AA130" t="b">
        <f>AND(Tabela4[[#This Row],[Status]]="Keyuser - Aguardando tarefa precedente",K129="Keyuser - Concluído ")</f>
        <v>0</v>
      </c>
    </row>
    <row r="131" spans="1:27" x14ac:dyDescent="0.25">
      <c r="A131" t="str">
        <f>"OUT-"&amp;IFERROR(MID(Tabela4[[#This Row],[Cenário]],SEARCH("(",Tabela4[[#This Row],[Cenário]])+1,SEARCH(")",Tabela4[[#This Row],[Cenário]])-SEARCH("(",Tabela4[[#This Row],[Cenário]])-1),"")&amp;"_"&amp;ROW()</f>
        <v>OUT-Logum_131</v>
      </c>
      <c r="B131" t="s">
        <v>358</v>
      </c>
      <c r="C131" t="s">
        <v>436</v>
      </c>
      <c r="D131" t="s">
        <v>365</v>
      </c>
      <c r="E131">
        <v>2</v>
      </c>
      <c r="F131" t="s">
        <v>365</v>
      </c>
      <c r="G131" t="s">
        <v>310</v>
      </c>
      <c r="H131" s="13">
        <v>60668358</v>
      </c>
      <c r="I131" s="13"/>
      <c r="J131" s="13"/>
      <c r="K131" s="9" t="s">
        <v>271</v>
      </c>
      <c r="L131" s="78">
        <v>45987</v>
      </c>
      <c r="N131" s="78">
        <v>45987</v>
      </c>
      <c r="O131" s="31"/>
      <c r="P131" s="9"/>
      <c r="Q131" s="9">
        <f>COUNTIF(Tabela4[[#All],[Cenário]],Tabela4[[#This Row],[Cenário]])</f>
        <v>6</v>
      </c>
      <c r="R131">
        <f>COUNTIFS(Tabela4[[#All],[Cenário]],Tabela4[[#This Row],[Cenário]],Tabela4[[#All],[Status]],"Keyuser - Concluído ")</f>
        <v>5</v>
      </c>
      <c r="S131" t="str">
        <f>IF(Tabela4[[#This Row],[Tarefas por Cenário]]-Tabela4[[#This Row],[Tarefas Concluídas]]&gt;0,"Não","Sim")</f>
        <v>Não</v>
      </c>
      <c r="T131">
        <f>COUNTIFS(Tabela4[[#All],[Cenário]],Tabela4[[#This Row],[Cenário]],Tabela4[[#All],[Status]],Tabela4[[#Headers],[Elo - Em correção ]])</f>
        <v>0</v>
      </c>
      <c r="U131">
        <f>COUNTIFS(Tabela4[[#All],[Cenário]],Tabela4[[#This Row],[Cenário]],Tabela4[[#All],[Status]],Tabela4[[#Headers],[Keyuser - Aguardando tarefa precedente]])</f>
        <v>0</v>
      </c>
      <c r="V131">
        <f>COUNTIFS(Tabela4[[#All],[Cenário]],Tabela4[[#This Row],[Cenário]],Tabela4[[#All],[Status]],Tabela4[[#Headers],[Não liberado  para testes]])</f>
        <v>1</v>
      </c>
      <c r="W131" t="str">
        <f>IF(Tabela4[[#This Row],[Elo - Em correção ]]&gt;0,"Sim","Não")</f>
        <v>Não</v>
      </c>
      <c r="X131" t="str">
        <f>IF(Tabela4[[#This Row],[Keyuser - Aguardando tarefa precedente]]&gt;0,"Sim","Não")</f>
        <v>Não</v>
      </c>
      <c r="Y131" t="str">
        <f>IF(Tabela4[[#This Row],[Não liberado  para testes]]&gt;0,"Sim","Não")</f>
        <v>Sim</v>
      </c>
      <c r="Z131" t="str">
        <f ca="1">IF(Tabela4[[#This Row],[Status]]="Keyuser - Pendente",NETWORKDAYS(Tabela4[[#This Row],[Dt Inicial]],TODAY()),"")</f>
        <v/>
      </c>
      <c r="AA131" t="b">
        <f>AND(Tabela4[[#This Row],[Status]]="Keyuser - Aguardando tarefa precedente",K130="Keyuser - Concluído ")</f>
        <v>0</v>
      </c>
    </row>
    <row r="132" spans="1:27" x14ac:dyDescent="0.25">
      <c r="A132" t="str">
        <f>"OUT-"&amp;IFERROR(MID(Tabela4[[#This Row],[Cenário]],SEARCH("(",Tabela4[[#This Row],[Cenário]])+1,SEARCH(")",Tabela4[[#This Row],[Cenário]])-SEARCH("(",Tabela4[[#This Row],[Cenário]])-1),"")&amp;"_"&amp;ROW()</f>
        <v>OUT-Logum_132</v>
      </c>
      <c r="B132" t="s">
        <v>358</v>
      </c>
      <c r="C132" t="s">
        <v>436</v>
      </c>
      <c r="D132" t="s">
        <v>368</v>
      </c>
      <c r="E132">
        <v>3</v>
      </c>
      <c r="F132" t="s">
        <v>368</v>
      </c>
      <c r="G132" t="s">
        <v>377</v>
      </c>
      <c r="H132" s="13" t="s">
        <v>437</v>
      </c>
      <c r="I132" s="13"/>
      <c r="J132" s="13"/>
      <c r="K132" s="9" t="s">
        <v>271</v>
      </c>
      <c r="L132" s="78">
        <v>45987</v>
      </c>
      <c r="N132" s="78">
        <v>45995</v>
      </c>
      <c r="O132" s="31" t="s">
        <v>438</v>
      </c>
      <c r="P132" s="9"/>
      <c r="Q132" s="9">
        <f>COUNTIF(Tabela4[[#All],[Cenário]],Tabela4[[#This Row],[Cenário]])</f>
        <v>6</v>
      </c>
      <c r="R132">
        <f>COUNTIFS(Tabela4[[#All],[Cenário]],Tabela4[[#This Row],[Cenário]],Tabela4[[#All],[Status]],"Keyuser - Concluído ")</f>
        <v>5</v>
      </c>
      <c r="S132" t="str">
        <f>IF(Tabela4[[#This Row],[Tarefas por Cenário]]-Tabela4[[#This Row],[Tarefas Concluídas]]&gt;0,"Não","Sim")</f>
        <v>Não</v>
      </c>
      <c r="T132">
        <f>COUNTIFS(Tabela4[[#All],[Cenário]],Tabela4[[#This Row],[Cenário]],Tabela4[[#All],[Status]],Tabela4[[#Headers],[Elo - Em correção ]])</f>
        <v>0</v>
      </c>
      <c r="U132">
        <f>COUNTIFS(Tabela4[[#All],[Cenário]],Tabela4[[#This Row],[Cenário]],Tabela4[[#All],[Status]],Tabela4[[#Headers],[Keyuser - Aguardando tarefa precedente]])</f>
        <v>0</v>
      </c>
      <c r="V132">
        <f>COUNTIFS(Tabela4[[#All],[Cenário]],Tabela4[[#This Row],[Cenário]],Tabela4[[#All],[Status]],Tabela4[[#Headers],[Não liberado  para testes]])</f>
        <v>1</v>
      </c>
      <c r="W132" t="str">
        <f>IF(Tabela4[[#This Row],[Elo - Em correção ]]&gt;0,"Sim","Não")</f>
        <v>Não</v>
      </c>
      <c r="X132" t="str">
        <f>IF(Tabela4[[#This Row],[Keyuser - Aguardando tarefa precedente]]&gt;0,"Sim","Não")</f>
        <v>Não</v>
      </c>
      <c r="Y132" t="str">
        <f>IF(Tabela4[[#This Row],[Não liberado  para testes]]&gt;0,"Sim","Não")</f>
        <v>Sim</v>
      </c>
      <c r="Z132" t="str">
        <f ca="1">IF(Tabela4[[#This Row],[Status]]="Keyuser - Pendente",NETWORKDAYS(Tabela4[[#This Row],[Dt Inicial]],TODAY()),"")</f>
        <v/>
      </c>
      <c r="AA132" t="b">
        <f>AND(Tabela4[[#This Row],[Status]]="Keyuser - Aguardando tarefa precedente",K131="Keyuser - Concluído ")</f>
        <v>0</v>
      </c>
    </row>
    <row r="133" spans="1:27" x14ac:dyDescent="0.25">
      <c r="A133" t="str">
        <f>"OUT-"&amp;IFERROR(MID(Tabela4[[#This Row],[Cenário]],SEARCH("(",Tabela4[[#This Row],[Cenário]])+1,SEARCH(")",Tabela4[[#This Row],[Cenário]])-SEARCH("(",Tabela4[[#This Row],[Cenário]])-1),"")&amp;"_"&amp;ROW()</f>
        <v>OUT-Logum_133</v>
      </c>
      <c r="B133" t="s">
        <v>358</v>
      </c>
      <c r="C133" t="s">
        <v>436</v>
      </c>
      <c r="D133" t="s">
        <v>371</v>
      </c>
      <c r="E133">
        <v>4</v>
      </c>
      <c r="F133" t="s">
        <v>372</v>
      </c>
      <c r="G133" t="s">
        <v>287</v>
      </c>
      <c r="H133" s="13" t="s">
        <v>437</v>
      </c>
      <c r="I133" s="13"/>
      <c r="J133" s="13"/>
      <c r="K133" s="9" t="s">
        <v>271</v>
      </c>
      <c r="L133" s="78">
        <v>45789</v>
      </c>
      <c r="N133" s="78">
        <v>45789</v>
      </c>
      <c r="O133" s="31"/>
      <c r="P133" s="9"/>
      <c r="Q133" s="9">
        <f>COUNTIF(Tabela4[[#All],[Cenário]],Tabela4[[#This Row],[Cenário]])</f>
        <v>6</v>
      </c>
      <c r="R133">
        <f>COUNTIFS(Tabela4[[#All],[Cenário]],Tabela4[[#This Row],[Cenário]],Tabela4[[#All],[Status]],"Keyuser - Concluído ")</f>
        <v>5</v>
      </c>
      <c r="S133" t="str">
        <f>IF(Tabela4[[#This Row],[Tarefas por Cenário]]-Tabela4[[#This Row],[Tarefas Concluídas]]&gt;0,"Não","Sim")</f>
        <v>Não</v>
      </c>
      <c r="T133">
        <f>COUNTIFS(Tabela4[[#All],[Cenário]],Tabela4[[#This Row],[Cenário]],Tabela4[[#All],[Status]],Tabela4[[#Headers],[Elo - Em correção ]])</f>
        <v>0</v>
      </c>
      <c r="U133">
        <f>COUNTIFS(Tabela4[[#All],[Cenário]],Tabela4[[#This Row],[Cenário]],Tabela4[[#All],[Status]],Tabela4[[#Headers],[Keyuser - Aguardando tarefa precedente]])</f>
        <v>0</v>
      </c>
      <c r="V133">
        <f>COUNTIFS(Tabela4[[#All],[Cenário]],Tabela4[[#This Row],[Cenário]],Tabela4[[#All],[Status]],Tabela4[[#Headers],[Não liberado  para testes]])</f>
        <v>1</v>
      </c>
      <c r="W133" t="str">
        <f>IF(Tabela4[[#This Row],[Elo - Em correção ]]&gt;0,"Sim","Não")</f>
        <v>Não</v>
      </c>
      <c r="X133" t="str">
        <f>IF(Tabela4[[#This Row],[Keyuser - Aguardando tarefa precedente]]&gt;0,"Sim","Não")</f>
        <v>Não</v>
      </c>
      <c r="Y133" t="str">
        <f>IF(Tabela4[[#This Row],[Não liberado  para testes]]&gt;0,"Sim","Não")</f>
        <v>Sim</v>
      </c>
      <c r="Z133" t="str">
        <f ca="1">IF(Tabela4[[#This Row],[Status]]="Keyuser - Pendente",NETWORKDAYS(Tabela4[[#This Row],[Dt Inicial]],TODAY()),"")</f>
        <v/>
      </c>
      <c r="AA133" t="b">
        <f>AND(Tabela4[[#This Row],[Status]]="Keyuser - Aguardando tarefa precedente",K132="Keyuser - Concluído ")</f>
        <v>0</v>
      </c>
    </row>
    <row r="134" spans="1:27" x14ac:dyDescent="0.25">
      <c r="A134" t="str">
        <f>"OUT-"&amp;IFERROR(MID(Tabela4[[#This Row],[Cenário]],SEARCH("(",Tabela4[[#This Row],[Cenário]])+1,SEARCH(")",Tabela4[[#This Row],[Cenário]])-SEARCH("(",Tabela4[[#This Row],[Cenário]])-1),"")&amp;"_"&amp;ROW()</f>
        <v>OUT-Logum_134</v>
      </c>
      <c r="B134" t="s">
        <v>358</v>
      </c>
      <c r="C134" t="s">
        <v>436</v>
      </c>
      <c r="D134" t="s">
        <v>373</v>
      </c>
      <c r="E134">
        <v>5</v>
      </c>
      <c r="F134" t="s">
        <v>373</v>
      </c>
      <c r="G134" t="s">
        <v>283</v>
      </c>
      <c r="H134" s="13" t="s">
        <v>437</v>
      </c>
      <c r="I134" s="13"/>
      <c r="J134" s="13"/>
      <c r="K134" s="9" t="s">
        <v>271</v>
      </c>
      <c r="L134" s="78">
        <v>45996</v>
      </c>
      <c r="N134" s="78">
        <v>45789</v>
      </c>
      <c r="O134" s="31"/>
      <c r="P134" s="9"/>
      <c r="Q134" s="9">
        <f>COUNTIF(Tabela4[[#All],[Cenário]],Tabela4[[#This Row],[Cenário]])</f>
        <v>6</v>
      </c>
      <c r="R134">
        <f>COUNTIFS(Tabela4[[#All],[Cenário]],Tabela4[[#This Row],[Cenário]],Tabela4[[#All],[Status]],"Keyuser - Concluído ")</f>
        <v>5</v>
      </c>
      <c r="S134" t="str">
        <f>IF(Tabela4[[#This Row],[Tarefas por Cenário]]-Tabela4[[#This Row],[Tarefas Concluídas]]&gt;0,"Não","Sim")</f>
        <v>Não</v>
      </c>
      <c r="T134">
        <f>COUNTIFS(Tabela4[[#All],[Cenário]],Tabela4[[#This Row],[Cenário]],Tabela4[[#All],[Status]],Tabela4[[#Headers],[Elo - Em correção ]])</f>
        <v>0</v>
      </c>
      <c r="U134">
        <f>COUNTIFS(Tabela4[[#All],[Cenário]],Tabela4[[#This Row],[Cenário]],Tabela4[[#All],[Status]],Tabela4[[#Headers],[Keyuser - Aguardando tarefa precedente]])</f>
        <v>0</v>
      </c>
      <c r="V134">
        <f>COUNTIFS(Tabela4[[#All],[Cenário]],Tabela4[[#This Row],[Cenário]],Tabela4[[#All],[Status]],Tabela4[[#Headers],[Não liberado  para testes]])</f>
        <v>1</v>
      </c>
      <c r="W134" t="str">
        <f>IF(Tabela4[[#This Row],[Elo - Em correção ]]&gt;0,"Sim","Não")</f>
        <v>Não</v>
      </c>
      <c r="X134" t="str">
        <f>IF(Tabela4[[#This Row],[Keyuser - Aguardando tarefa precedente]]&gt;0,"Sim","Não")</f>
        <v>Não</v>
      </c>
      <c r="Y134" t="str">
        <f>IF(Tabela4[[#This Row],[Não liberado  para testes]]&gt;0,"Sim","Não")</f>
        <v>Sim</v>
      </c>
      <c r="Z134" t="str">
        <f ca="1">IF(Tabela4[[#This Row],[Status]]="Keyuser - Pendente",NETWORKDAYS(Tabela4[[#This Row],[Dt Inicial]],TODAY()),"")</f>
        <v/>
      </c>
      <c r="AA134" t="b">
        <f>AND(Tabela4[[#This Row],[Status]]="Keyuser - Aguardando tarefa precedente",K133="Keyuser - Concluído ")</f>
        <v>0</v>
      </c>
    </row>
    <row r="135" spans="1:27" x14ac:dyDescent="0.25">
      <c r="A135" t="str">
        <f>"OUT-"&amp;IFERROR(MID(Tabela4[[#This Row],[Cenário]],SEARCH("(",Tabela4[[#This Row],[Cenário]])+1,SEARCH(")",Tabela4[[#This Row],[Cenário]])-SEARCH("(",Tabela4[[#This Row],[Cenário]])-1),"")&amp;"_"&amp;ROW()</f>
        <v>OUT-Logum_135</v>
      </c>
      <c r="B135" t="s">
        <v>374</v>
      </c>
      <c r="C135" t="s">
        <v>436</v>
      </c>
      <c r="D135" t="s">
        <v>286</v>
      </c>
      <c r="E135">
        <v>6</v>
      </c>
      <c r="F135" t="s">
        <v>286</v>
      </c>
      <c r="G135" t="s">
        <v>287</v>
      </c>
      <c r="H135" s="13"/>
      <c r="I135" s="13"/>
      <c r="J135" s="13"/>
      <c r="K135" s="9" t="s">
        <v>262</v>
      </c>
      <c r="N135" s="78"/>
      <c r="O135" s="31"/>
      <c r="P135" s="9"/>
      <c r="Q135" s="9">
        <f>COUNTIF(Tabela4[[#All],[Cenário]],Tabela4[[#This Row],[Cenário]])</f>
        <v>6</v>
      </c>
      <c r="R135">
        <f>COUNTIFS(Tabela4[[#All],[Cenário]],Tabela4[[#This Row],[Cenário]],Tabela4[[#All],[Status]],"Keyuser - Concluído ")</f>
        <v>5</v>
      </c>
      <c r="S135" t="str">
        <f>IF(Tabela4[[#This Row],[Tarefas por Cenário]]-Tabela4[[#This Row],[Tarefas Concluídas]]&gt;0,"Não","Sim")</f>
        <v>Não</v>
      </c>
      <c r="T135">
        <f>COUNTIFS(Tabela4[[#All],[Cenário]],Tabela4[[#This Row],[Cenário]],Tabela4[[#All],[Status]],Tabela4[[#Headers],[Elo - Em correção ]])</f>
        <v>0</v>
      </c>
      <c r="U135">
        <f>COUNTIFS(Tabela4[[#All],[Cenário]],Tabela4[[#This Row],[Cenário]],Tabela4[[#All],[Status]],Tabela4[[#Headers],[Keyuser - Aguardando tarefa precedente]])</f>
        <v>0</v>
      </c>
      <c r="V135">
        <f>COUNTIFS(Tabela4[[#All],[Cenário]],Tabela4[[#This Row],[Cenário]],Tabela4[[#All],[Status]],Tabela4[[#Headers],[Não liberado  para testes]])</f>
        <v>1</v>
      </c>
      <c r="W135" t="str">
        <f>IF(Tabela4[[#This Row],[Elo - Em correção ]]&gt;0,"Sim","Não")</f>
        <v>Não</v>
      </c>
      <c r="X135" t="str">
        <f>IF(Tabela4[[#This Row],[Keyuser - Aguardando tarefa precedente]]&gt;0,"Sim","Não")</f>
        <v>Não</v>
      </c>
      <c r="Y135" t="str">
        <f>IF(Tabela4[[#This Row],[Não liberado  para testes]]&gt;0,"Sim","Não")</f>
        <v>Sim</v>
      </c>
      <c r="Z135" t="str">
        <f ca="1">IF(Tabela4[[#This Row],[Status]]="Keyuser - Pendente",NETWORKDAYS(Tabela4[[#This Row],[Dt Inicial]],TODAY()),"")</f>
        <v/>
      </c>
      <c r="AA135" t="b">
        <f>AND(Tabela4[[#This Row],[Status]]="Keyuser - Aguardando tarefa precedente",K134="Keyuser - Concluído ")</f>
        <v>0</v>
      </c>
    </row>
    <row r="136" spans="1:27" x14ac:dyDescent="0.25">
      <c r="A136" t="str">
        <f>"OUT-"&amp;IFERROR(MID(Tabela4[[#This Row],[Cenário]],SEARCH("(",Tabela4[[#This Row],[Cenário]])+1,SEARCH(")",Tabela4[[#This Row],[Cenário]])-SEARCH("(",Tabela4[[#This Row],[Cenário]])-1),"")&amp;"_"&amp;ROW()</f>
        <v>OUT-Logum_136</v>
      </c>
      <c r="B136" t="s">
        <v>358</v>
      </c>
      <c r="C136" t="s">
        <v>439</v>
      </c>
      <c r="D136" t="s">
        <v>360</v>
      </c>
      <c r="E136">
        <v>1</v>
      </c>
      <c r="F136" t="s">
        <v>360</v>
      </c>
      <c r="G136" t="s">
        <v>377</v>
      </c>
      <c r="H136" s="13">
        <v>60668356</v>
      </c>
      <c r="I136" s="13"/>
      <c r="J136" s="13"/>
      <c r="K136" s="9" t="s">
        <v>271</v>
      </c>
      <c r="L136" s="78">
        <v>45972</v>
      </c>
      <c r="N136" s="78">
        <v>45972</v>
      </c>
      <c r="O136" s="31"/>
      <c r="P136" s="9"/>
      <c r="Q136" s="9">
        <f>COUNTIF(Tabela4[[#All],[Cenário]],Tabela4[[#This Row],[Cenário]])</f>
        <v>6</v>
      </c>
      <c r="R136">
        <f>COUNTIFS(Tabela4[[#All],[Cenário]],Tabela4[[#This Row],[Cenário]],Tabela4[[#All],[Status]],"Keyuser - Concluído ")</f>
        <v>5</v>
      </c>
      <c r="S136" t="str">
        <f>IF(Tabela4[[#This Row],[Tarefas por Cenário]]-Tabela4[[#This Row],[Tarefas Concluídas]]&gt;0,"Não","Sim")</f>
        <v>Não</v>
      </c>
      <c r="T136">
        <f>COUNTIFS(Tabela4[[#All],[Cenário]],Tabela4[[#This Row],[Cenário]],Tabela4[[#All],[Status]],Tabela4[[#Headers],[Elo - Em correção ]])</f>
        <v>0</v>
      </c>
      <c r="U136">
        <f>COUNTIFS(Tabela4[[#All],[Cenário]],Tabela4[[#This Row],[Cenário]],Tabela4[[#All],[Status]],Tabela4[[#Headers],[Keyuser - Aguardando tarefa precedente]])</f>
        <v>0</v>
      </c>
      <c r="V136">
        <f>COUNTIFS(Tabela4[[#All],[Cenário]],Tabela4[[#This Row],[Cenário]],Tabela4[[#All],[Status]],Tabela4[[#Headers],[Não liberado  para testes]])</f>
        <v>1</v>
      </c>
      <c r="W136" t="str">
        <f>IF(Tabela4[[#This Row],[Elo - Em correção ]]&gt;0,"Sim","Não")</f>
        <v>Não</v>
      </c>
      <c r="X136" t="str">
        <f>IF(Tabela4[[#This Row],[Keyuser - Aguardando tarefa precedente]]&gt;0,"Sim","Não")</f>
        <v>Não</v>
      </c>
      <c r="Y136" t="str">
        <f>IF(Tabela4[[#This Row],[Não liberado  para testes]]&gt;0,"Sim","Não")</f>
        <v>Sim</v>
      </c>
      <c r="Z136" t="str">
        <f ca="1">IF(Tabela4[[#This Row],[Status]]="Keyuser - Pendente",NETWORKDAYS(Tabela4[[#This Row],[Dt Inicial]],TODAY()),"")</f>
        <v/>
      </c>
      <c r="AA136" t="b">
        <f>AND(Tabela4[[#This Row],[Status]]="Keyuser - Aguardando tarefa precedente",K135="Keyuser - Concluído ")</f>
        <v>0</v>
      </c>
    </row>
    <row r="137" spans="1:27" x14ac:dyDescent="0.25">
      <c r="A137" t="str">
        <f>"OUT-"&amp;IFERROR(MID(Tabela4[[#This Row],[Cenário]],SEARCH("(",Tabela4[[#This Row],[Cenário]])+1,SEARCH(")",Tabela4[[#This Row],[Cenário]])-SEARCH("(",Tabela4[[#This Row],[Cenário]])-1),"")&amp;"_"&amp;ROW()</f>
        <v>OUT-Logum_137</v>
      </c>
      <c r="B137" t="s">
        <v>358</v>
      </c>
      <c r="C137" t="s">
        <v>439</v>
      </c>
      <c r="D137" t="s">
        <v>365</v>
      </c>
      <c r="E137">
        <v>2</v>
      </c>
      <c r="F137" t="s">
        <v>365</v>
      </c>
      <c r="G137" t="s">
        <v>310</v>
      </c>
      <c r="H137" s="13">
        <v>60668356</v>
      </c>
      <c r="I137" s="13"/>
      <c r="J137" s="13"/>
      <c r="K137" s="9" t="s">
        <v>271</v>
      </c>
      <c r="L137" s="78">
        <v>45974</v>
      </c>
      <c r="N137" s="78">
        <v>45974</v>
      </c>
      <c r="O137" s="31"/>
      <c r="P137" s="9"/>
      <c r="Q137" s="9">
        <f>COUNTIF(Tabela4[[#All],[Cenário]],Tabela4[[#This Row],[Cenário]])</f>
        <v>6</v>
      </c>
      <c r="R137">
        <f>COUNTIFS(Tabela4[[#All],[Cenário]],Tabela4[[#This Row],[Cenário]],Tabela4[[#All],[Status]],"Keyuser - Concluído ")</f>
        <v>5</v>
      </c>
      <c r="S137" t="str">
        <f>IF(Tabela4[[#This Row],[Tarefas por Cenário]]-Tabela4[[#This Row],[Tarefas Concluídas]]&gt;0,"Não","Sim")</f>
        <v>Não</v>
      </c>
      <c r="T137">
        <f>COUNTIFS(Tabela4[[#All],[Cenário]],Tabela4[[#This Row],[Cenário]],Tabela4[[#All],[Status]],Tabela4[[#Headers],[Elo - Em correção ]])</f>
        <v>0</v>
      </c>
      <c r="U137">
        <f>COUNTIFS(Tabela4[[#All],[Cenário]],Tabela4[[#This Row],[Cenário]],Tabela4[[#All],[Status]],Tabela4[[#Headers],[Keyuser - Aguardando tarefa precedente]])</f>
        <v>0</v>
      </c>
      <c r="V137">
        <f>COUNTIFS(Tabela4[[#All],[Cenário]],Tabela4[[#This Row],[Cenário]],Tabela4[[#All],[Status]],Tabela4[[#Headers],[Não liberado  para testes]])</f>
        <v>1</v>
      </c>
      <c r="W137" t="str">
        <f>IF(Tabela4[[#This Row],[Elo - Em correção ]]&gt;0,"Sim","Não")</f>
        <v>Não</v>
      </c>
      <c r="X137" t="str">
        <f>IF(Tabela4[[#This Row],[Keyuser - Aguardando tarefa precedente]]&gt;0,"Sim","Não")</f>
        <v>Não</v>
      </c>
      <c r="Y137" t="str">
        <f>IF(Tabela4[[#This Row],[Não liberado  para testes]]&gt;0,"Sim","Não")</f>
        <v>Sim</v>
      </c>
      <c r="Z137" t="str">
        <f ca="1">IF(Tabela4[[#This Row],[Status]]="Keyuser - Pendente",NETWORKDAYS(Tabela4[[#This Row],[Dt Inicial]],TODAY()),"")</f>
        <v/>
      </c>
      <c r="AA137" t="b">
        <f>AND(Tabela4[[#This Row],[Status]]="Keyuser - Aguardando tarefa precedente",K136="Keyuser - Concluído ")</f>
        <v>0</v>
      </c>
    </row>
    <row r="138" spans="1:27" x14ac:dyDescent="0.25">
      <c r="A138" t="str">
        <f>"OUT-"&amp;IFERROR(MID(Tabela4[[#This Row],[Cenário]],SEARCH("(",Tabela4[[#This Row],[Cenário]])+1,SEARCH(")",Tabela4[[#This Row],[Cenário]])-SEARCH("(",Tabela4[[#This Row],[Cenário]])-1),"")&amp;"_"&amp;ROW()</f>
        <v>OUT-Logum_138</v>
      </c>
      <c r="B138" t="s">
        <v>358</v>
      </c>
      <c r="C138" t="s">
        <v>439</v>
      </c>
      <c r="D138" t="s">
        <v>368</v>
      </c>
      <c r="E138">
        <v>3</v>
      </c>
      <c r="F138" t="s">
        <v>368</v>
      </c>
      <c r="G138" t="s">
        <v>377</v>
      </c>
      <c r="H138" s="13" t="s">
        <v>440</v>
      </c>
      <c r="I138" s="13"/>
      <c r="J138" s="13"/>
      <c r="K138" s="9" t="s">
        <v>271</v>
      </c>
      <c r="L138" s="78">
        <v>45974</v>
      </c>
      <c r="N138" s="78">
        <v>45975</v>
      </c>
      <c r="O138" s="31" t="s">
        <v>441</v>
      </c>
      <c r="P138" s="9"/>
      <c r="Q138" s="9">
        <f>COUNTIF(Tabela4[[#All],[Cenário]],Tabela4[[#This Row],[Cenário]])</f>
        <v>6</v>
      </c>
      <c r="R138">
        <f>COUNTIFS(Tabela4[[#All],[Cenário]],Tabela4[[#This Row],[Cenário]],Tabela4[[#All],[Status]],"Keyuser - Concluído ")</f>
        <v>5</v>
      </c>
      <c r="S138" t="str">
        <f>IF(Tabela4[[#This Row],[Tarefas por Cenário]]-Tabela4[[#This Row],[Tarefas Concluídas]]&gt;0,"Não","Sim")</f>
        <v>Não</v>
      </c>
      <c r="T138">
        <f>COUNTIFS(Tabela4[[#All],[Cenário]],Tabela4[[#This Row],[Cenário]],Tabela4[[#All],[Status]],Tabela4[[#Headers],[Elo - Em correção ]])</f>
        <v>0</v>
      </c>
      <c r="U138">
        <f>COUNTIFS(Tabela4[[#All],[Cenário]],Tabela4[[#This Row],[Cenário]],Tabela4[[#All],[Status]],Tabela4[[#Headers],[Keyuser - Aguardando tarefa precedente]])</f>
        <v>0</v>
      </c>
      <c r="V138">
        <f>COUNTIFS(Tabela4[[#All],[Cenário]],Tabela4[[#This Row],[Cenário]],Tabela4[[#All],[Status]],Tabela4[[#Headers],[Não liberado  para testes]])</f>
        <v>1</v>
      </c>
      <c r="W138" t="str">
        <f>IF(Tabela4[[#This Row],[Elo - Em correção ]]&gt;0,"Sim","Não")</f>
        <v>Não</v>
      </c>
      <c r="X138" t="str">
        <f>IF(Tabela4[[#This Row],[Keyuser - Aguardando tarefa precedente]]&gt;0,"Sim","Não")</f>
        <v>Não</v>
      </c>
      <c r="Y138" t="str">
        <f>IF(Tabela4[[#This Row],[Não liberado  para testes]]&gt;0,"Sim","Não")</f>
        <v>Sim</v>
      </c>
      <c r="Z138" t="str">
        <f ca="1">IF(Tabela4[[#This Row],[Status]]="Keyuser - Pendente",NETWORKDAYS(Tabela4[[#This Row],[Dt Inicial]],TODAY()),"")</f>
        <v/>
      </c>
      <c r="AA138" t="b">
        <f>AND(Tabela4[[#This Row],[Status]]="Keyuser - Aguardando tarefa precedente",K137="Keyuser - Concluído ")</f>
        <v>0</v>
      </c>
    </row>
    <row r="139" spans="1:27" x14ac:dyDescent="0.25">
      <c r="A139" t="str">
        <f>"OUT-"&amp;IFERROR(MID(Tabela4[[#This Row],[Cenário]],SEARCH("(",Tabela4[[#This Row],[Cenário]])+1,SEARCH(")",Tabela4[[#This Row],[Cenário]])-SEARCH("(",Tabela4[[#This Row],[Cenário]])-1),"")&amp;"_"&amp;ROW()</f>
        <v>OUT-Logum_139</v>
      </c>
      <c r="B139" t="s">
        <v>358</v>
      </c>
      <c r="C139" t="s">
        <v>439</v>
      </c>
      <c r="D139" t="s">
        <v>371</v>
      </c>
      <c r="E139">
        <v>4</v>
      </c>
      <c r="F139" t="s">
        <v>372</v>
      </c>
      <c r="G139" t="s">
        <v>287</v>
      </c>
      <c r="H139" s="13" t="s">
        <v>440</v>
      </c>
      <c r="I139" s="13"/>
      <c r="J139" s="13"/>
      <c r="K139" s="9" t="s">
        <v>271</v>
      </c>
      <c r="L139" s="78">
        <v>45978</v>
      </c>
      <c r="N139" s="78">
        <v>45978</v>
      </c>
      <c r="O139" s="31"/>
      <c r="P139" s="9"/>
      <c r="Q139" s="9">
        <f>COUNTIF(Tabela4[[#All],[Cenário]],Tabela4[[#This Row],[Cenário]])</f>
        <v>6</v>
      </c>
      <c r="R139">
        <f>COUNTIFS(Tabela4[[#All],[Cenário]],Tabela4[[#This Row],[Cenário]],Tabela4[[#All],[Status]],"Keyuser - Concluído ")</f>
        <v>5</v>
      </c>
      <c r="S139" t="str">
        <f>IF(Tabela4[[#This Row],[Tarefas por Cenário]]-Tabela4[[#This Row],[Tarefas Concluídas]]&gt;0,"Não","Sim")</f>
        <v>Não</v>
      </c>
      <c r="T139">
        <f>COUNTIFS(Tabela4[[#All],[Cenário]],Tabela4[[#This Row],[Cenário]],Tabela4[[#All],[Status]],Tabela4[[#Headers],[Elo - Em correção ]])</f>
        <v>0</v>
      </c>
      <c r="U139">
        <f>COUNTIFS(Tabela4[[#All],[Cenário]],Tabela4[[#This Row],[Cenário]],Tabela4[[#All],[Status]],Tabela4[[#Headers],[Keyuser - Aguardando tarefa precedente]])</f>
        <v>0</v>
      </c>
      <c r="V139">
        <f>COUNTIFS(Tabela4[[#All],[Cenário]],Tabela4[[#This Row],[Cenário]],Tabela4[[#All],[Status]],Tabela4[[#Headers],[Não liberado  para testes]])</f>
        <v>1</v>
      </c>
      <c r="W139" t="str">
        <f>IF(Tabela4[[#This Row],[Elo - Em correção ]]&gt;0,"Sim","Não")</f>
        <v>Não</v>
      </c>
      <c r="X139" t="str">
        <f>IF(Tabela4[[#This Row],[Keyuser - Aguardando tarefa precedente]]&gt;0,"Sim","Não")</f>
        <v>Não</v>
      </c>
      <c r="Y139" t="str">
        <f>IF(Tabela4[[#This Row],[Não liberado  para testes]]&gt;0,"Sim","Não")</f>
        <v>Sim</v>
      </c>
      <c r="Z139" t="str">
        <f ca="1">IF(Tabela4[[#This Row],[Status]]="Keyuser - Pendente",NETWORKDAYS(Tabela4[[#This Row],[Dt Inicial]],TODAY()),"")</f>
        <v/>
      </c>
      <c r="AA139" t="b">
        <f>AND(Tabela4[[#This Row],[Status]]="Keyuser - Aguardando tarefa precedente",K138="Keyuser - Concluído ")</f>
        <v>0</v>
      </c>
    </row>
    <row r="140" spans="1:27" x14ac:dyDescent="0.25">
      <c r="A140" t="str">
        <f>"OUT-"&amp;IFERROR(MID(Tabela4[[#This Row],[Cenário]],SEARCH("(",Tabela4[[#This Row],[Cenário]])+1,SEARCH(")",Tabela4[[#This Row],[Cenário]])-SEARCH("(",Tabela4[[#This Row],[Cenário]])-1),"")&amp;"_"&amp;ROW()</f>
        <v>OUT-Logum_140</v>
      </c>
      <c r="B140" t="s">
        <v>358</v>
      </c>
      <c r="C140" t="s">
        <v>439</v>
      </c>
      <c r="D140" t="s">
        <v>373</v>
      </c>
      <c r="E140">
        <v>5</v>
      </c>
      <c r="F140" t="s">
        <v>373</v>
      </c>
      <c r="G140" t="s">
        <v>283</v>
      </c>
      <c r="H140" s="13" t="s">
        <v>440</v>
      </c>
      <c r="I140" s="13"/>
      <c r="J140" s="13"/>
      <c r="K140" s="9" t="s">
        <v>271</v>
      </c>
      <c r="L140" s="78">
        <v>45986</v>
      </c>
      <c r="N140" s="78">
        <v>45986</v>
      </c>
      <c r="O140" s="31"/>
      <c r="P140" s="9"/>
      <c r="Q140" s="9">
        <f>COUNTIF(Tabela4[[#All],[Cenário]],Tabela4[[#This Row],[Cenário]])</f>
        <v>6</v>
      </c>
      <c r="R140">
        <f>COUNTIFS(Tabela4[[#All],[Cenário]],Tabela4[[#This Row],[Cenário]],Tabela4[[#All],[Status]],"Keyuser - Concluído ")</f>
        <v>5</v>
      </c>
      <c r="S140" t="str">
        <f>IF(Tabela4[[#This Row],[Tarefas por Cenário]]-Tabela4[[#This Row],[Tarefas Concluídas]]&gt;0,"Não","Sim")</f>
        <v>Não</v>
      </c>
      <c r="T140">
        <f>COUNTIFS(Tabela4[[#All],[Cenário]],Tabela4[[#This Row],[Cenário]],Tabela4[[#All],[Status]],Tabela4[[#Headers],[Elo - Em correção ]])</f>
        <v>0</v>
      </c>
      <c r="U140">
        <f>COUNTIFS(Tabela4[[#All],[Cenário]],Tabela4[[#This Row],[Cenário]],Tabela4[[#All],[Status]],Tabela4[[#Headers],[Keyuser - Aguardando tarefa precedente]])</f>
        <v>0</v>
      </c>
      <c r="V140">
        <f>COUNTIFS(Tabela4[[#All],[Cenário]],Tabela4[[#This Row],[Cenário]],Tabela4[[#All],[Status]],Tabela4[[#Headers],[Não liberado  para testes]])</f>
        <v>1</v>
      </c>
      <c r="W140" t="str">
        <f>IF(Tabela4[[#This Row],[Elo - Em correção ]]&gt;0,"Sim","Não")</f>
        <v>Não</v>
      </c>
      <c r="X140" t="str">
        <f>IF(Tabela4[[#This Row],[Keyuser - Aguardando tarefa precedente]]&gt;0,"Sim","Não")</f>
        <v>Não</v>
      </c>
      <c r="Y140" t="str">
        <f>IF(Tabela4[[#This Row],[Não liberado  para testes]]&gt;0,"Sim","Não")</f>
        <v>Sim</v>
      </c>
      <c r="Z140" t="str">
        <f ca="1">IF(Tabela4[[#This Row],[Status]]="Keyuser - Pendente",NETWORKDAYS(Tabela4[[#This Row],[Dt Inicial]],TODAY()),"")</f>
        <v/>
      </c>
      <c r="AA140" t="b">
        <f>AND(Tabela4[[#This Row],[Status]]="Keyuser - Aguardando tarefa precedente",K139="Keyuser - Concluído ")</f>
        <v>0</v>
      </c>
    </row>
    <row r="141" spans="1:27" x14ac:dyDescent="0.25">
      <c r="A141" t="str">
        <f>"OUT-"&amp;IFERROR(MID(Tabela4[[#This Row],[Cenário]],SEARCH("(",Tabela4[[#This Row],[Cenário]])+1,SEARCH(")",Tabela4[[#This Row],[Cenário]])-SEARCH("(",Tabela4[[#This Row],[Cenário]])-1),"")&amp;"_"&amp;ROW()</f>
        <v>OUT-Logum_141</v>
      </c>
      <c r="B141" t="s">
        <v>374</v>
      </c>
      <c r="C141" t="s">
        <v>439</v>
      </c>
      <c r="D141" t="s">
        <v>286</v>
      </c>
      <c r="E141">
        <v>6</v>
      </c>
      <c r="F141" t="s">
        <v>286</v>
      </c>
      <c r="G141" t="s">
        <v>287</v>
      </c>
      <c r="H141" s="13"/>
      <c r="I141" s="13"/>
      <c r="J141" s="13"/>
      <c r="K141" s="9" t="s">
        <v>262</v>
      </c>
      <c r="N141" s="78"/>
      <c r="O141" s="31"/>
      <c r="P141" s="9"/>
      <c r="Q141" s="9">
        <f>COUNTIF(Tabela4[[#All],[Cenário]],Tabela4[[#This Row],[Cenário]])</f>
        <v>6</v>
      </c>
      <c r="R141">
        <f>COUNTIFS(Tabela4[[#All],[Cenário]],Tabela4[[#This Row],[Cenário]],Tabela4[[#All],[Status]],"Keyuser - Concluído ")</f>
        <v>5</v>
      </c>
      <c r="S141" t="str">
        <f>IF(Tabela4[[#This Row],[Tarefas por Cenário]]-Tabela4[[#This Row],[Tarefas Concluídas]]&gt;0,"Não","Sim")</f>
        <v>Não</v>
      </c>
      <c r="T141">
        <f>COUNTIFS(Tabela4[[#All],[Cenário]],Tabela4[[#This Row],[Cenário]],Tabela4[[#All],[Status]],Tabela4[[#Headers],[Elo - Em correção ]])</f>
        <v>0</v>
      </c>
      <c r="U141">
        <f>COUNTIFS(Tabela4[[#All],[Cenário]],Tabela4[[#This Row],[Cenário]],Tabela4[[#All],[Status]],Tabela4[[#Headers],[Keyuser - Aguardando tarefa precedente]])</f>
        <v>0</v>
      </c>
      <c r="V141">
        <f>COUNTIFS(Tabela4[[#All],[Cenário]],Tabela4[[#This Row],[Cenário]],Tabela4[[#All],[Status]],Tabela4[[#Headers],[Não liberado  para testes]])</f>
        <v>1</v>
      </c>
      <c r="W141" t="str">
        <f>IF(Tabela4[[#This Row],[Elo - Em correção ]]&gt;0,"Sim","Não")</f>
        <v>Não</v>
      </c>
      <c r="X141" t="str">
        <f>IF(Tabela4[[#This Row],[Keyuser - Aguardando tarefa precedente]]&gt;0,"Sim","Não")</f>
        <v>Não</v>
      </c>
      <c r="Y141" t="str">
        <f>IF(Tabela4[[#This Row],[Não liberado  para testes]]&gt;0,"Sim","Não")</f>
        <v>Sim</v>
      </c>
      <c r="Z141" t="str">
        <f ca="1">IF(Tabela4[[#This Row],[Status]]="Keyuser - Pendente",NETWORKDAYS(Tabela4[[#This Row],[Dt Inicial]],TODAY()),"")</f>
        <v/>
      </c>
      <c r="AA141" t="b">
        <f>AND(Tabela4[[#This Row],[Status]]="Keyuser - Aguardando tarefa precedente",K140="Keyuser - Concluído ")</f>
        <v>0</v>
      </c>
    </row>
    <row r="142" spans="1:27" x14ac:dyDescent="0.25">
      <c r="A142" t="str">
        <f>"OUT-"&amp;IFERROR(MID(Tabela4[[#This Row],[Cenário]],SEARCH("(",Tabela4[[#This Row],[Cenário]])+1,SEARCH(")",Tabela4[[#This Row],[Cenário]])-SEARCH("(",Tabela4[[#This Row],[Cenário]])-1),"")&amp;"_"&amp;ROW()</f>
        <v>OUT-Logum_142</v>
      </c>
      <c r="B142" t="s">
        <v>358</v>
      </c>
      <c r="C142" t="s">
        <v>442</v>
      </c>
      <c r="D142" s="5" t="s">
        <v>360</v>
      </c>
      <c r="E142">
        <v>1</v>
      </c>
      <c r="F142" t="s">
        <v>360</v>
      </c>
      <c r="G142" t="s">
        <v>361</v>
      </c>
      <c r="H142" s="18">
        <v>15603657</v>
      </c>
      <c r="I142" s="9" t="s">
        <v>443</v>
      </c>
      <c r="J142" s="9" t="s">
        <v>364</v>
      </c>
      <c r="K142" s="9" t="s">
        <v>271</v>
      </c>
      <c r="L142" s="78">
        <v>45957</v>
      </c>
      <c r="N142" s="78">
        <v>45957</v>
      </c>
      <c r="O142" s="31"/>
      <c r="P142" s="9"/>
      <c r="Q142" s="9">
        <f>COUNTIF(Tabela4[[#All],[Cenário]],Tabela4[[#This Row],[Cenário]])</f>
        <v>6</v>
      </c>
      <c r="R142">
        <f>COUNTIFS(Tabela4[[#All],[Cenário]],Tabela4[[#This Row],[Cenário]],Tabela4[[#All],[Status]],"Keyuser - Concluído ")</f>
        <v>5</v>
      </c>
      <c r="S142" t="str">
        <f>IF(Tabela4[[#This Row],[Tarefas por Cenário]]-Tabela4[[#This Row],[Tarefas Concluídas]]&gt;0,"Não","Sim")</f>
        <v>Não</v>
      </c>
      <c r="T142">
        <f>COUNTIFS(Tabela4[[#All],[Cenário]],Tabela4[[#This Row],[Cenário]],Tabela4[[#All],[Status]],Tabela4[[#Headers],[Elo - Em correção ]])</f>
        <v>0</v>
      </c>
      <c r="U142">
        <f>COUNTIFS(Tabela4[[#All],[Cenário]],Tabela4[[#This Row],[Cenário]],Tabela4[[#All],[Status]],Tabela4[[#Headers],[Keyuser - Aguardando tarefa precedente]])</f>
        <v>0</v>
      </c>
      <c r="V142">
        <f>COUNTIFS(Tabela4[[#All],[Cenário]],Tabela4[[#This Row],[Cenário]],Tabela4[[#All],[Status]],Tabela4[[#Headers],[Não liberado  para testes]])</f>
        <v>1</v>
      </c>
      <c r="W142" t="str">
        <f>IF(Tabela4[[#This Row],[Elo - Em correção ]]&gt;0,"Sim","Não")</f>
        <v>Não</v>
      </c>
      <c r="X142" t="str">
        <f>IF(Tabela4[[#This Row],[Keyuser - Aguardando tarefa precedente]]&gt;0,"Sim","Não")</f>
        <v>Não</v>
      </c>
      <c r="Y142" t="str">
        <f>IF(Tabela4[[#This Row],[Não liberado  para testes]]&gt;0,"Sim","Não")</f>
        <v>Sim</v>
      </c>
      <c r="Z142" t="str">
        <f ca="1">IF(Tabela4[[#This Row],[Status]]="Keyuser - Pendente",NETWORKDAYS(Tabela4[[#This Row],[Dt Inicial]],TODAY()),"")</f>
        <v/>
      </c>
      <c r="AA142" t="b">
        <f>AND(Tabela4[[#This Row],[Status]]="Keyuser - Aguardando tarefa precedente",K141="Keyuser - Concluído ")</f>
        <v>0</v>
      </c>
    </row>
    <row r="143" spans="1:27" x14ac:dyDescent="0.25">
      <c r="A143" t="str">
        <f>"OUT-"&amp;IFERROR(MID(Tabela4[[#This Row],[Cenário]],SEARCH("(",Tabela4[[#This Row],[Cenário]])+1,SEARCH(")",Tabela4[[#This Row],[Cenário]])-SEARCH("(",Tabela4[[#This Row],[Cenário]])-1),"")&amp;"_"&amp;ROW()</f>
        <v>OUT-Logum_143</v>
      </c>
      <c r="B143" t="s">
        <v>358</v>
      </c>
      <c r="C143" t="s">
        <v>442</v>
      </c>
      <c r="D143" s="5" t="s">
        <v>365</v>
      </c>
      <c r="E143">
        <v>2</v>
      </c>
      <c r="F143" t="s">
        <v>365</v>
      </c>
      <c r="G143" t="s">
        <v>310</v>
      </c>
      <c r="H143" s="18">
        <v>15603657</v>
      </c>
      <c r="I143" s="9" t="s">
        <v>443</v>
      </c>
      <c r="J143" s="9" t="s">
        <v>364</v>
      </c>
      <c r="K143" s="9" t="s">
        <v>271</v>
      </c>
      <c r="L143" s="78">
        <v>45958</v>
      </c>
      <c r="N143" s="78">
        <v>45958</v>
      </c>
      <c r="O143" s="31"/>
      <c r="P143" s="9"/>
      <c r="Q143" s="9">
        <f>COUNTIF(Tabela4[[#All],[Cenário]],Tabela4[[#This Row],[Cenário]])</f>
        <v>6</v>
      </c>
      <c r="R143">
        <f>COUNTIFS(Tabela4[[#All],[Cenário]],Tabela4[[#This Row],[Cenário]],Tabela4[[#All],[Status]],"Keyuser - Concluído ")</f>
        <v>5</v>
      </c>
      <c r="S143" t="str">
        <f>IF(Tabela4[[#This Row],[Tarefas por Cenário]]-Tabela4[[#This Row],[Tarefas Concluídas]]&gt;0,"Não","Sim")</f>
        <v>Não</v>
      </c>
      <c r="T143">
        <f>COUNTIFS(Tabela4[[#All],[Cenário]],Tabela4[[#This Row],[Cenário]],Tabela4[[#All],[Status]],Tabela4[[#Headers],[Elo - Em correção ]])</f>
        <v>0</v>
      </c>
      <c r="U143">
        <f>COUNTIFS(Tabela4[[#All],[Cenário]],Tabela4[[#This Row],[Cenário]],Tabela4[[#All],[Status]],Tabela4[[#Headers],[Keyuser - Aguardando tarefa precedente]])</f>
        <v>0</v>
      </c>
      <c r="V143">
        <f>COUNTIFS(Tabela4[[#All],[Cenário]],Tabela4[[#This Row],[Cenário]],Tabela4[[#All],[Status]],Tabela4[[#Headers],[Não liberado  para testes]])</f>
        <v>1</v>
      </c>
      <c r="W143" t="str">
        <f>IF(Tabela4[[#This Row],[Elo - Em correção ]]&gt;0,"Sim","Não")</f>
        <v>Não</v>
      </c>
      <c r="X143" t="str">
        <f>IF(Tabela4[[#This Row],[Keyuser - Aguardando tarefa precedente]]&gt;0,"Sim","Não")</f>
        <v>Não</v>
      </c>
      <c r="Y143" t="str">
        <f>IF(Tabela4[[#This Row],[Não liberado  para testes]]&gt;0,"Sim","Não")</f>
        <v>Sim</v>
      </c>
      <c r="Z143" t="str">
        <f ca="1">IF(Tabela4[[#This Row],[Status]]="Keyuser - Pendente",NETWORKDAYS(Tabela4[[#This Row],[Dt Inicial]],TODAY()),"")</f>
        <v/>
      </c>
      <c r="AA143" t="b">
        <f>AND(Tabela4[[#This Row],[Status]]="Keyuser - Aguardando tarefa precedente",K142="Keyuser - Concluído ")</f>
        <v>0</v>
      </c>
    </row>
    <row r="144" spans="1:27" x14ac:dyDescent="0.25">
      <c r="A144" t="str">
        <f>"OUT-"&amp;IFERROR(MID(Tabela4[[#This Row],[Cenário]],SEARCH("(",Tabela4[[#This Row],[Cenário]])+1,SEARCH(")",Tabela4[[#This Row],[Cenário]])-SEARCH("(",Tabela4[[#This Row],[Cenário]])-1),"")&amp;"_"&amp;ROW()</f>
        <v>OUT-Logum_144</v>
      </c>
      <c r="B144" t="s">
        <v>358</v>
      </c>
      <c r="C144" t="s">
        <v>442</v>
      </c>
      <c r="D144" s="5" t="s">
        <v>368</v>
      </c>
      <c r="E144">
        <v>3</v>
      </c>
      <c r="F144" t="s">
        <v>368</v>
      </c>
      <c r="G144" t="s">
        <v>369</v>
      </c>
      <c r="H144" s="9" t="s">
        <v>444</v>
      </c>
      <c r="J144" s="9" t="s">
        <v>364</v>
      </c>
      <c r="K144" s="9" t="s">
        <v>271</v>
      </c>
      <c r="L144" s="78">
        <v>45958</v>
      </c>
      <c r="N144" s="78">
        <v>45958</v>
      </c>
      <c r="O144" s="31"/>
      <c r="P144" s="9"/>
      <c r="Q144" s="9">
        <f>COUNTIF(Tabela4[[#All],[Cenário]],Tabela4[[#This Row],[Cenário]])</f>
        <v>6</v>
      </c>
      <c r="R144">
        <f>COUNTIFS(Tabela4[[#All],[Cenário]],Tabela4[[#This Row],[Cenário]],Tabela4[[#All],[Status]],"Keyuser - Concluído ")</f>
        <v>5</v>
      </c>
      <c r="S144" t="str">
        <f>IF(Tabela4[[#This Row],[Tarefas por Cenário]]-Tabela4[[#This Row],[Tarefas Concluídas]]&gt;0,"Não","Sim")</f>
        <v>Não</v>
      </c>
      <c r="T144">
        <f>COUNTIFS(Tabela4[[#All],[Cenário]],Tabela4[[#This Row],[Cenário]],Tabela4[[#All],[Status]],Tabela4[[#Headers],[Elo - Em correção ]])</f>
        <v>0</v>
      </c>
      <c r="U144">
        <f>COUNTIFS(Tabela4[[#All],[Cenário]],Tabela4[[#This Row],[Cenário]],Tabela4[[#All],[Status]],Tabela4[[#Headers],[Keyuser - Aguardando tarefa precedente]])</f>
        <v>0</v>
      </c>
      <c r="V144">
        <f>COUNTIFS(Tabela4[[#All],[Cenário]],Tabela4[[#This Row],[Cenário]],Tabela4[[#All],[Status]],Tabela4[[#Headers],[Não liberado  para testes]])</f>
        <v>1</v>
      </c>
      <c r="W144" t="str">
        <f>IF(Tabela4[[#This Row],[Elo - Em correção ]]&gt;0,"Sim","Não")</f>
        <v>Não</v>
      </c>
      <c r="X144" t="str">
        <f>IF(Tabela4[[#This Row],[Keyuser - Aguardando tarefa precedente]]&gt;0,"Sim","Não")</f>
        <v>Não</v>
      </c>
      <c r="Y144" t="str">
        <f>IF(Tabela4[[#This Row],[Não liberado  para testes]]&gt;0,"Sim","Não")</f>
        <v>Sim</v>
      </c>
      <c r="Z144" t="str">
        <f ca="1">IF(Tabela4[[#This Row],[Status]]="Keyuser - Pendente",NETWORKDAYS(Tabela4[[#This Row],[Dt Inicial]],TODAY()),"")</f>
        <v/>
      </c>
      <c r="AA144" t="b">
        <f>AND(Tabela4[[#This Row],[Status]]="Keyuser - Aguardando tarefa precedente",K143="Keyuser - Concluído ")</f>
        <v>0</v>
      </c>
    </row>
    <row r="145" spans="1:27" x14ac:dyDescent="0.25">
      <c r="A145" t="str">
        <f>"OUT-"&amp;IFERROR(MID(Tabela4[[#This Row],[Cenário]],SEARCH("(",Tabela4[[#This Row],[Cenário]])+1,SEARCH(")",Tabela4[[#This Row],[Cenário]])-SEARCH("(",Tabela4[[#This Row],[Cenário]])-1),"")&amp;"_"&amp;ROW()</f>
        <v>OUT-Logum_145</v>
      </c>
      <c r="B145" t="s">
        <v>358</v>
      </c>
      <c r="C145" t="s">
        <v>442</v>
      </c>
      <c r="D145" s="5" t="s">
        <v>371</v>
      </c>
      <c r="E145">
        <v>4</v>
      </c>
      <c r="F145" t="s">
        <v>372</v>
      </c>
      <c r="G145" t="s">
        <v>287</v>
      </c>
      <c r="H145" s="9" t="s">
        <v>444</v>
      </c>
      <c r="K145" s="9" t="s">
        <v>271</v>
      </c>
      <c r="L145" s="78">
        <v>45958</v>
      </c>
      <c r="N145" s="78">
        <v>45958</v>
      </c>
      <c r="O145" s="31"/>
      <c r="P145" s="9"/>
      <c r="Q145" s="9">
        <f>COUNTIF(Tabela4[[#All],[Cenário]],Tabela4[[#This Row],[Cenário]])</f>
        <v>6</v>
      </c>
      <c r="R145">
        <f>COUNTIFS(Tabela4[[#All],[Cenário]],Tabela4[[#This Row],[Cenário]],Tabela4[[#All],[Status]],"Keyuser - Concluído ")</f>
        <v>5</v>
      </c>
      <c r="S145" t="str">
        <f>IF(Tabela4[[#This Row],[Tarefas por Cenário]]-Tabela4[[#This Row],[Tarefas Concluídas]]&gt;0,"Não","Sim")</f>
        <v>Não</v>
      </c>
      <c r="T145">
        <f>COUNTIFS(Tabela4[[#All],[Cenário]],Tabela4[[#This Row],[Cenário]],Tabela4[[#All],[Status]],Tabela4[[#Headers],[Elo - Em correção ]])</f>
        <v>0</v>
      </c>
      <c r="U145">
        <f>COUNTIFS(Tabela4[[#All],[Cenário]],Tabela4[[#This Row],[Cenário]],Tabela4[[#All],[Status]],Tabela4[[#Headers],[Keyuser - Aguardando tarefa precedente]])</f>
        <v>0</v>
      </c>
      <c r="V145">
        <f>COUNTIFS(Tabela4[[#All],[Cenário]],Tabela4[[#This Row],[Cenário]],Tabela4[[#All],[Status]],Tabela4[[#Headers],[Não liberado  para testes]])</f>
        <v>1</v>
      </c>
      <c r="W145" t="str">
        <f>IF(Tabela4[[#This Row],[Elo - Em correção ]]&gt;0,"Sim","Não")</f>
        <v>Não</v>
      </c>
      <c r="X145" t="str">
        <f>IF(Tabela4[[#This Row],[Keyuser - Aguardando tarefa precedente]]&gt;0,"Sim","Não")</f>
        <v>Não</v>
      </c>
      <c r="Y145" t="str">
        <f>IF(Tabela4[[#This Row],[Não liberado  para testes]]&gt;0,"Sim","Não")</f>
        <v>Sim</v>
      </c>
      <c r="Z145" t="str">
        <f ca="1">IF(Tabela4[[#This Row],[Status]]="Keyuser - Pendente",NETWORKDAYS(Tabela4[[#This Row],[Dt Inicial]],TODAY()),"")</f>
        <v/>
      </c>
      <c r="AA145" t="b">
        <f>AND(Tabela4[[#This Row],[Status]]="Keyuser - Aguardando tarefa precedente",K144="Keyuser - Concluído ")</f>
        <v>0</v>
      </c>
    </row>
    <row r="146" spans="1:27" x14ac:dyDescent="0.25">
      <c r="A146" t="str">
        <f>"OUT-"&amp;IFERROR(MID(Tabela4[[#This Row],[Cenário]],SEARCH("(",Tabela4[[#This Row],[Cenário]])+1,SEARCH(")",Tabela4[[#This Row],[Cenário]])-SEARCH("(",Tabela4[[#This Row],[Cenário]])-1),"")&amp;"_"&amp;ROW()</f>
        <v>OUT-Logum_146</v>
      </c>
      <c r="B146" t="s">
        <v>358</v>
      </c>
      <c r="C146" t="s">
        <v>442</v>
      </c>
      <c r="D146" s="5" t="s">
        <v>373</v>
      </c>
      <c r="E146">
        <v>5</v>
      </c>
      <c r="F146" t="s">
        <v>373</v>
      </c>
      <c r="G146" t="s">
        <v>283</v>
      </c>
      <c r="H146" s="9" t="s">
        <v>444</v>
      </c>
      <c r="K146" s="9" t="s">
        <v>271</v>
      </c>
      <c r="L146" s="78">
        <v>45958</v>
      </c>
      <c r="N146" s="78">
        <v>45958</v>
      </c>
      <c r="O146" s="31"/>
      <c r="P146" s="9"/>
      <c r="Q146" s="9">
        <f>COUNTIF(Tabela4[[#All],[Cenário]],Tabela4[[#This Row],[Cenário]])</f>
        <v>6</v>
      </c>
      <c r="R146">
        <f>COUNTIFS(Tabela4[[#All],[Cenário]],Tabela4[[#This Row],[Cenário]],Tabela4[[#All],[Status]],"Keyuser - Concluído ")</f>
        <v>5</v>
      </c>
      <c r="S146" t="str">
        <f>IF(Tabela4[[#This Row],[Tarefas por Cenário]]-Tabela4[[#This Row],[Tarefas Concluídas]]&gt;0,"Não","Sim")</f>
        <v>Não</v>
      </c>
      <c r="T146">
        <f>COUNTIFS(Tabela4[[#All],[Cenário]],Tabela4[[#This Row],[Cenário]],Tabela4[[#All],[Status]],Tabela4[[#Headers],[Elo - Em correção ]])</f>
        <v>0</v>
      </c>
      <c r="U146">
        <f>COUNTIFS(Tabela4[[#All],[Cenário]],Tabela4[[#This Row],[Cenário]],Tabela4[[#All],[Status]],Tabela4[[#Headers],[Keyuser - Aguardando tarefa precedente]])</f>
        <v>0</v>
      </c>
      <c r="V146">
        <f>COUNTIFS(Tabela4[[#All],[Cenário]],Tabela4[[#This Row],[Cenário]],Tabela4[[#All],[Status]],Tabela4[[#Headers],[Não liberado  para testes]])</f>
        <v>1</v>
      </c>
      <c r="W146" t="str">
        <f>IF(Tabela4[[#This Row],[Elo - Em correção ]]&gt;0,"Sim","Não")</f>
        <v>Não</v>
      </c>
      <c r="X146" t="str">
        <f>IF(Tabela4[[#This Row],[Keyuser - Aguardando tarefa precedente]]&gt;0,"Sim","Não")</f>
        <v>Não</v>
      </c>
      <c r="Y146" t="str">
        <f>IF(Tabela4[[#This Row],[Não liberado  para testes]]&gt;0,"Sim","Não")</f>
        <v>Sim</v>
      </c>
      <c r="Z146" t="str">
        <f ca="1">IF(Tabela4[[#This Row],[Status]]="Keyuser - Pendente",NETWORKDAYS(Tabela4[[#This Row],[Dt Inicial]],TODAY()),"")</f>
        <v/>
      </c>
      <c r="AA146" t="b">
        <f>AND(Tabela4[[#This Row],[Status]]="Keyuser - Aguardando tarefa precedente",K145="Keyuser - Concluído ")</f>
        <v>0</v>
      </c>
    </row>
    <row r="147" spans="1:27" x14ac:dyDescent="0.25">
      <c r="A147" t="str">
        <f>"OUT-"&amp;IFERROR(MID(Tabela4[[#This Row],[Cenário]],SEARCH("(",Tabela4[[#This Row],[Cenário]])+1,SEARCH(")",Tabela4[[#This Row],[Cenário]])-SEARCH("(",Tabela4[[#This Row],[Cenário]])-1),"")&amp;"_"&amp;ROW()</f>
        <v>OUT-Logum_147</v>
      </c>
      <c r="B147" t="s">
        <v>374</v>
      </c>
      <c r="C147" t="s">
        <v>442</v>
      </c>
      <c r="D147" s="5" t="s">
        <v>286</v>
      </c>
      <c r="E147">
        <v>6</v>
      </c>
      <c r="F147" t="s">
        <v>286</v>
      </c>
      <c r="G147" t="s">
        <v>287</v>
      </c>
      <c r="K147" s="9" t="s">
        <v>262</v>
      </c>
      <c r="N147" s="78"/>
      <c r="O147" s="31"/>
      <c r="P147" s="9"/>
      <c r="Q147" s="9">
        <f>COUNTIF(Tabela4[[#All],[Cenário]],Tabela4[[#This Row],[Cenário]])</f>
        <v>6</v>
      </c>
      <c r="R147">
        <f>COUNTIFS(Tabela4[[#All],[Cenário]],Tabela4[[#This Row],[Cenário]],Tabela4[[#All],[Status]],"Keyuser - Concluído ")</f>
        <v>5</v>
      </c>
      <c r="S147" t="str">
        <f>IF(Tabela4[[#This Row],[Tarefas por Cenário]]-Tabela4[[#This Row],[Tarefas Concluídas]]&gt;0,"Não","Sim")</f>
        <v>Não</v>
      </c>
      <c r="T147">
        <f>COUNTIFS(Tabela4[[#All],[Cenário]],Tabela4[[#This Row],[Cenário]],Tabela4[[#All],[Status]],Tabela4[[#Headers],[Elo - Em correção ]])</f>
        <v>0</v>
      </c>
      <c r="U147">
        <f>COUNTIFS(Tabela4[[#All],[Cenário]],Tabela4[[#This Row],[Cenário]],Tabela4[[#All],[Status]],Tabela4[[#Headers],[Keyuser - Aguardando tarefa precedente]])</f>
        <v>0</v>
      </c>
      <c r="V147">
        <f>COUNTIFS(Tabela4[[#All],[Cenário]],Tabela4[[#This Row],[Cenário]],Tabela4[[#All],[Status]],Tabela4[[#Headers],[Não liberado  para testes]])</f>
        <v>1</v>
      </c>
      <c r="W147" t="str">
        <f>IF(Tabela4[[#This Row],[Elo - Em correção ]]&gt;0,"Sim","Não")</f>
        <v>Não</v>
      </c>
      <c r="X147" t="str">
        <f>IF(Tabela4[[#This Row],[Keyuser - Aguardando tarefa precedente]]&gt;0,"Sim","Não")</f>
        <v>Não</v>
      </c>
      <c r="Y147" t="str">
        <f>IF(Tabela4[[#This Row],[Não liberado  para testes]]&gt;0,"Sim","Não")</f>
        <v>Sim</v>
      </c>
      <c r="Z147" t="str">
        <f ca="1">IF(Tabela4[[#This Row],[Status]]="Keyuser - Pendente",NETWORKDAYS(Tabela4[[#This Row],[Dt Inicial]],TODAY()),"")</f>
        <v/>
      </c>
      <c r="AA147" t="b">
        <f>AND(Tabela4[[#This Row],[Status]]="Keyuser - Aguardando tarefa precedente",K146="Keyuser - Concluído ")</f>
        <v>0</v>
      </c>
    </row>
    <row r="148" spans="1:27" x14ac:dyDescent="0.25">
      <c r="A148" t="str">
        <f>"OUT-"&amp;IFERROR(MID(Tabela4[[#This Row],[Cenário]],SEARCH("(",Tabela4[[#This Row],[Cenário]])+1,SEARCH(")",Tabela4[[#This Row],[Cenário]])-SEARCH("(",Tabela4[[#This Row],[Cenário]])-1),"")&amp;"_"&amp;ROW()</f>
        <v>OUT-Logum_148</v>
      </c>
      <c r="B148" t="s">
        <v>358</v>
      </c>
      <c r="C148" t="s">
        <v>445</v>
      </c>
      <c r="D148" s="5" t="s">
        <v>360</v>
      </c>
      <c r="E148">
        <v>1</v>
      </c>
      <c r="F148" t="s">
        <v>360</v>
      </c>
      <c r="G148" t="s">
        <v>377</v>
      </c>
      <c r="H148" s="9">
        <v>60668341</v>
      </c>
      <c r="K148" s="9" t="s">
        <v>271</v>
      </c>
      <c r="L148" s="78">
        <v>45960</v>
      </c>
      <c r="N148" s="78">
        <v>45960</v>
      </c>
      <c r="O148" s="31"/>
      <c r="P148" s="9"/>
      <c r="Q148" s="9">
        <f>COUNTIF(Tabela4[[#All],[Cenário]],Tabela4[[#This Row],[Cenário]])</f>
        <v>6</v>
      </c>
      <c r="R148">
        <f>COUNTIFS(Tabela4[[#All],[Cenário]],Tabela4[[#This Row],[Cenário]],Tabela4[[#All],[Status]],"Keyuser - Concluído ")</f>
        <v>5</v>
      </c>
      <c r="S148" t="str">
        <f>IF(Tabela4[[#This Row],[Tarefas por Cenário]]-Tabela4[[#This Row],[Tarefas Concluídas]]&gt;0,"Não","Sim")</f>
        <v>Não</v>
      </c>
      <c r="T148">
        <f>COUNTIFS(Tabela4[[#All],[Cenário]],Tabela4[[#This Row],[Cenário]],Tabela4[[#All],[Status]],Tabela4[[#Headers],[Elo - Em correção ]])</f>
        <v>0</v>
      </c>
      <c r="U148">
        <f>COUNTIFS(Tabela4[[#All],[Cenário]],Tabela4[[#This Row],[Cenário]],Tabela4[[#All],[Status]],Tabela4[[#Headers],[Keyuser - Aguardando tarefa precedente]])</f>
        <v>0</v>
      </c>
      <c r="V148">
        <f>COUNTIFS(Tabela4[[#All],[Cenário]],Tabela4[[#This Row],[Cenário]],Tabela4[[#All],[Status]],Tabela4[[#Headers],[Não liberado  para testes]])</f>
        <v>1</v>
      </c>
      <c r="W148" t="str">
        <f>IF(Tabela4[[#This Row],[Elo - Em correção ]]&gt;0,"Sim","Não")</f>
        <v>Não</v>
      </c>
      <c r="X148" t="str">
        <f>IF(Tabela4[[#This Row],[Keyuser - Aguardando tarefa precedente]]&gt;0,"Sim","Não")</f>
        <v>Não</v>
      </c>
      <c r="Y148" t="str">
        <f>IF(Tabela4[[#This Row],[Não liberado  para testes]]&gt;0,"Sim","Não")</f>
        <v>Sim</v>
      </c>
      <c r="Z148" t="str">
        <f ca="1">IF(Tabela4[[#This Row],[Status]]="Keyuser - Pendente",NETWORKDAYS(Tabela4[[#This Row],[Dt Inicial]],TODAY()),"")</f>
        <v/>
      </c>
      <c r="AA148" t="b">
        <f>AND(Tabela4[[#This Row],[Status]]="Keyuser - Aguardando tarefa precedente",K147="Keyuser - Concluído ")</f>
        <v>0</v>
      </c>
    </row>
    <row r="149" spans="1:27" x14ac:dyDescent="0.25">
      <c r="A149" t="str">
        <f>"OUT-"&amp;IFERROR(MID(Tabela4[[#This Row],[Cenário]],SEARCH("(",Tabela4[[#This Row],[Cenário]])+1,SEARCH(")",Tabela4[[#This Row],[Cenário]])-SEARCH("(",Tabela4[[#This Row],[Cenário]])-1),"")&amp;"_"&amp;ROW()</f>
        <v>OUT-Logum_149</v>
      </c>
      <c r="B149" t="s">
        <v>358</v>
      </c>
      <c r="C149" t="s">
        <v>445</v>
      </c>
      <c r="D149" s="5" t="s">
        <v>365</v>
      </c>
      <c r="E149">
        <v>2</v>
      </c>
      <c r="F149" t="s">
        <v>365</v>
      </c>
      <c r="G149" t="s">
        <v>310</v>
      </c>
      <c r="H149" s="9">
        <v>60668341</v>
      </c>
      <c r="K149" s="9" t="s">
        <v>271</v>
      </c>
      <c r="L149" s="78">
        <v>45961</v>
      </c>
      <c r="N149" s="78">
        <v>45961</v>
      </c>
      <c r="O149" s="31"/>
      <c r="P149" s="9"/>
      <c r="Q149" s="9">
        <f>COUNTIF(Tabela4[[#All],[Cenário]],Tabela4[[#This Row],[Cenário]])</f>
        <v>6</v>
      </c>
      <c r="R149">
        <f>COUNTIFS(Tabela4[[#All],[Cenário]],Tabela4[[#This Row],[Cenário]],Tabela4[[#All],[Status]],"Keyuser - Concluído ")</f>
        <v>5</v>
      </c>
      <c r="S149" t="str">
        <f>IF(Tabela4[[#This Row],[Tarefas por Cenário]]-Tabela4[[#This Row],[Tarefas Concluídas]]&gt;0,"Não","Sim")</f>
        <v>Não</v>
      </c>
      <c r="T149">
        <f>COUNTIFS(Tabela4[[#All],[Cenário]],Tabela4[[#This Row],[Cenário]],Tabela4[[#All],[Status]],Tabela4[[#Headers],[Elo - Em correção ]])</f>
        <v>0</v>
      </c>
      <c r="U149">
        <f>COUNTIFS(Tabela4[[#All],[Cenário]],Tabela4[[#This Row],[Cenário]],Tabela4[[#All],[Status]],Tabela4[[#Headers],[Keyuser - Aguardando tarefa precedente]])</f>
        <v>0</v>
      </c>
      <c r="V149">
        <f>COUNTIFS(Tabela4[[#All],[Cenário]],Tabela4[[#This Row],[Cenário]],Tabela4[[#All],[Status]],Tabela4[[#Headers],[Não liberado  para testes]])</f>
        <v>1</v>
      </c>
      <c r="W149" t="str">
        <f>IF(Tabela4[[#This Row],[Elo - Em correção ]]&gt;0,"Sim","Não")</f>
        <v>Não</v>
      </c>
      <c r="X149" t="str">
        <f>IF(Tabela4[[#This Row],[Keyuser - Aguardando tarefa precedente]]&gt;0,"Sim","Não")</f>
        <v>Não</v>
      </c>
      <c r="Y149" t="str">
        <f>IF(Tabela4[[#This Row],[Não liberado  para testes]]&gt;0,"Sim","Não")</f>
        <v>Sim</v>
      </c>
      <c r="Z149" t="str">
        <f ca="1">IF(Tabela4[[#This Row],[Status]]="Keyuser - Pendente",NETWORKDAYS(Tabela4[[#This Row],[Dt Inicial]],TODAY()),"")</f>
        <v/>
      </c>
      <c r="AA149" t="b">
        <f>AND(Tabela4[[#This Row],[Status]]="Keyuser - Aguardando tarefa precedente",K148="Keyuser - Concluído ")</f>
        <v>0</v>
      </c>
    </row>
    <row r="150" spans="1:27" x14ac:dyDescent="0.25">
      <c r="A150" t="str">
        <f>"OUT-"&amp;IFERROR(MID(Tabela4[[#This Row],[Cenário]],SEARCH("(",Tabela4[[#This Row],[Cenário]])+1,SEARCH(")",Tabela4[[#This Row],[Cenário]])-SEARCH("(",Tabela4[[#This Row],[Cenário]])-1),"")&amp;"_"&amp;ROW()</f>
        <v>OUT-Logum_150</v>
      </c>
      <c r="B150" t="s">
        <v>358</v>
      </c>
      <c r="C150" t="s">
        <v>445</v>
      </c>
      <c r="D150" s="5" t="s">
        <v>368</v>
      </c>
      <c r="E150">
        <v>3</v>
      </c>
      <c r="F150" t="s">
        <v>368</v>
      </c>
      <c r="G150" t="s">
        <v>377</v>
      </c>
      <c r="H150" s="9" t="s">
        <v>446</v>
      </c>
      <c r="K150" s="9" t="s">
        <v>271</v>
      </c>
      <c r="L150" s="78">
        <v>45964</v>
      </c>
      <c r="N150" s="78">
        <v>45964</v>
      </c>
      <c r="O150" s="31"/>
      <c r="P150" s="9"/>
      <c r="Q150" s="9">
        <f>COUNTIF(Tabela4[[#All],[Cenário]],Tabela4[[#This Row],[Cenário]])</f>
        <v>6</v>
      </c>
      <c r="R150">
        <f>COUNTIFS(Tabela4[[#All],[Cenário]],Tabela4[[#This Row],[Cenário]],Tabela4[[#All],[Status]],"Keyuser - Concluído ")</f>
        <v>5</v>
      </c>
      <c r="S150" t="str">
        <f>IF(Tabela4[[#This Row],[Tarefas por Cenário]]-Tabela4[[#This Row],[Tarefas Concluídas]]&gt;0,"Não","Sim")</f>
        <v>Não</v>
      </c>
      <c r="T150">
        <f>COUNTIFS(Tabela4[[#All],[Cenário]],Tabela4[[#This Row],[Cenário]],Tabela4[[#All],[Status]],Tabela4[[#Headers],[Elo - Em correção ]])</f>
        <v>0</v>
      </c>
      <c r="U150">
        <f>COUNTIFS(Tabela4[[#All],[Cenário]],Tabela4[[#This Row],[Cenário]],Tabela4[[#All],[Status]],Tabela4[[#Headers],[Keyuser - Aguardando tarefa precedente]])</f>
        <v>0</v>
      </c>
      <c r="V150">
        <f>COUNTIFS(Tabela4[[#All],[Cenário]],Tabela4[[#This Row],[Cenário]],Tabela4[[#All],[Status]],Tabela4[[#Headers],[Não liberado  para testes]])</f>
        <v>1</v>
      </c>
      <c r="W150" t="str">
        <f>IF(Tabela4[[#This Row],[Elo - Em correção ]]&gt;0,"Sim","Não")</f>
        <v>Não</v>
      </c>
      <c r="X150" t="str">
        <f>IF(Tabela4[[#This Row],[Keyuser - Aguardando tarefa precedente]]&gt;0,"Sim","Não")</f>
        <v>Não</v>
      </c>
      <c r="Y150" t="str">
        <f>IF(Tabela4[[#This Row],[Não liberado  para testes]]&gt;0,"Sim","Não")</f>
        <v>Sim</v>
      </c>
      <c r="Z150" t="str">
        <f ca="1">IF(Tabela4[[#This Row],[Status]]="Keyuser - Pendente",NETWORKDAYS(Tabela4[[#This Row],[Dt Inicial]],TODAY()),"")</f>
        <v/>
      </c>
      <c r="AA150" t="b">
        <f>AND(Tabela4[[#This Row],[Status]]="Keyuser - Aguardando tarefa precedente",K149="Keyuser - Concluído ")</f>
        <v>0</v>
      </c>
    </row>
    <row r="151" spans="1:27" x14ac:dyDescent="0.25">
      <c r="A151" t="str">
        <f>"OUT-"&amp;IFERROR(MID(Tabela4[[#This Row],[Cenário]],SEARCH("(",Tabela4[[#This Row],[Cenário]])+1,SEARCH(")",Tabela4[[#This Row],[Cenário]])-SEARCH("(",Tabela4[[#This Row],[Cenário]])-1),"")&amp;"_"&amp;ROW()</f>
        <v>OUT-Logum_151</v>
      </c>
      <c r="B151" t="s">
        <v>358</v>
      </c>
      <c r="C151" t="s">
        <v>445</v>
      </c>
      <c r="D151" s="5" t="s">
        <v>371</v>
      </c>
      <c r="E151">
        <v>4</v>
      </c>
      <c r="F151" t="s">
        <v>372</v>
      </c>
      <c r="G151" t="s">
        <v>287</v>
      </c>
      <c r="H151" s="9" t="s">
        <v>446</v>
      </c>
      <c r="K151" s="9" t="s">
        <v>271</v>
      </c>
      <c r="L151" s="78">
        <v>45941</v>
      </c>
      <c r="N151" s="78">
        <v>45941</v>
      </c>
      <c r="O151" s="31"/>
      <c r="P151" s="9"/>
      <c r="Q151" s="9">
        <f>COUNTIF(Tabela4[[#All],[Cenário]],Tabela4[[#This Row],[Cenário]])</f>
        <v>6</v>
      </c>
      <c r="R151">
        <f>COUNTIFS(Tabela4[[#All],[Cenário]],Tabela4[[#This Row],[Cenário]],Tabela4[[#All],[Status]],"Keyuser - Concluído ")</f>
        <v>5</v>
      </c>
      <c r="S151" t="str">
        <f>IF(Tabela4[[#This Row],[Tarefas por Cenário]]-Tabela4[[#This Row],[Tarefas Concluídas]]&gt;0,"Não","Sim")</f>
        <v>Não</v>
      </c>
      <c r="T151">
        <f>COUNTIFS(Tabela4[[#All],[Cenário]],Tabela4[[#This Row],[Cenário]],Tabela4[[#All],[Status]],Tabela4[[#Headers],[Elo - Em correção ]])</f>
        <v>0</v>
      </c>
      <c r="U151">
        <f>COUNTIFS(Tabela4[[#All],[Cenário]],Tabela4[[#This Row],[Cenário]],Tabela4[[#All],[Status]],Tabela4[[#Headers],[Keyuser - Aguardando tarefa precedente]])</f>
        <v>0</v>
      </c>
      <c r="V151">
        <f>COUNTIFS(Tabela4[[#All],[Cenário]],Tabela4[[#This Row],[Cenário]],Tabela4[[#All],[Status]],Tabela4[[#Headers],[Não liberado  para testes]])</f>
        <v>1</v>
      </c>
      <c r="W151" t="str">
        <f>IF(Tabela4[[#This Row],[Elo - Em correção ]]&gt;0,"Sim","Não")</f>
        <v>Não</v>
      </c>
      <c r="X151" t="str">
        <f>IF(Tabela4[[#This Row],[Keyuser - Aguardando tarefa precedente]]&gt;0,"Sim","Não")</f>
        <v>Não</v>
      </c>
      <c r="Y151" t="str">
        <f>IF(Tabela4[[#This Row],[Não liberado  para testes]]&gt;0,"Sim","Não")</f>
        <v>Sim</v>
      </c>
      <c r="Z151" t="str">
        <f ca="1">IF(Tabela4[[#This Row],[Status]]="Keyuser - Pendente",NETWORKDAYS(Tabela4[[#This Row],[Dt Inicial]],TODAY()),"")</f>
        <v/>
      </c>
      <c r="AA151" t="b">
        <f>AND(Tabela4[[#This Row],[Status]]="Keyuser - Aguardando tarefa precedente",K150="Keyuser - Concluído ")</f>
        <v>0</v>
      </c>
    </row>
    <row r="152" spans="1:27" x14ac:dyDescent="0.25">
      <c r="A152" t="str">
        <f>"OUT-"&amp;IFERROR(MID(Tabela4[[#This Row],[Cenário]],SEARCH("(",Tabela4[[#This Row],[Cenário]])+1,SEARCH(")",Tabela4[[#This Row],[Cenário]])-SEARCH("(",Tabela4[[#This Row],[Cenário]])-1),"")&amp;"_"&amp;ROW()</f>
        <v>OUT-Logum_152</v>
      </c>
      <c r="B152" t="s">
        <v>358</v>
      </c>
      <c r="C152" t="s">
        <v>445</v>
      </c>
      <c r="D152" s="5" t="s">
        <v>373</v>
      </c>
      <c r="E152">
        <v>5</v>
      </c>
      <c r="F152" t="s">
        <v>373</v>
      </c>
      <c r="G152" t="s">
        <v>283</v>
      </c>
      <c r="H152" s="9" t="s">
        <v>446</v>
      </c>
      <c r="K152" s="9" t="s">
        <v>271</v>
      </c>
      <c r="L152" s="78">
        <v>45941</v>
      </c>
      <c r="N152" s="78">
        <v>45941</v>
      </c>
      <c r="O152" s="31"/>
      <c r="P152" s="9"/>
      <c r="Q152" s="9">
        <f>COUNTIF(Tabela4[[#All],[Cenário]],Tabela4[[#This Row],[Cenário]])</f>
        <v>6</v>
      </c>
      <c r="R152">
        <f>COUNTIFS(Tabela4[[#All],[Cenário]],Tabela4[[#This Row],[Cenário]],Tabela4[[#All],[Status]],"Keyuser - Concluído ")</f>
        <v>5</v>
      </c>
      <c r="S152" t="str">
        <f>IF(Tabela4[[#This Row],[Tarefas por Cenário]]-Tabela4[[#This Row],[Tarefas Concluídas]]&gt;0,"Não","Sim")</f>
        <v>Não</v>
      </c>
      <c r="T152">
        <f>COUNTIFS(Tabela4[[#All],[Cenário]],Tabela4[[#This Row],[Cenário]],Tabela4[[#All],[Status]],Tabela4[[#Headers],[Elo - Em correção ]])</f>
        <v>0</v>
      </c>
      <c r="U152">
        <f>COUNTIFS(Tabela4[[#All],[Cenário]],Tabela4[[#This Row],[Cenário]],Tabela4[[#All],[Status]],Tabela4[[#Headers],[Keyuser - Aguardando tarefa precedente]])</f>
        <v>0</v>
      </c>
      <c r="V152">
        <f>COUNTIFS(Tabela4[[#All],[Cenário]],Tabela4[[#This Row],[Cenário]],Tabela4[[#All],[Status]],Tabela4[[#Headers],[Não liberado  para testes]])</f>
        <v>1</v>
      </c>
      <c r="W152" t="str">
        <f>IF(Tabela4[[#This Row],[Elo - Em correção ]]&gt;0,"Sim","Não")</f>
        <v>Não</v>
      </c>
      <c r="X152" t="str">
        <f>IF(Tabela4[[#This Row],[Keyuser - Aguardando tarefa precedente]]&gt;0,"Sim","Não")</f>
        <v>Não</v>
      </c>
      <c r="Y152" t="str">
        <f>IF(Tabela4[[#This Row],[Não liberado  para testes]]&gt;0,"Sim","Não")</f>
        <v>Sim</v>
      </c>
      <c r="Z152" t="str">
        <f ca="1">IF(Tabela4[[#This Row],[Status]]="Keyuser - Pendente",NETWORKDAYS(Tabela4[[#This Row],[Dt Inicial]],TODAY()),"")</f>
        <v/>
      </c>
      <c r="AA152" t="b">
        <f>AND(Tabela4[[#This Row],[Status]]="Keyuser - Aguardando tarefa precedente",K151="Keyuser - Concluído ")</f>
        <v>0</v>
      </c>
    </row>
    <row r="153" spans="1:27" x14ac:dyDescent="0.25">
      <c r="A153" t="str">
        <f>"OUT-"&amp;IFERROR(MID(Tabela4[[#This Row],[Cenário]],SEARCH("(",Tabela4[[#This Row],[Cenário]])+1,SEARCH(")",Tabela4[[#This Row],[Cenário]])-SEARCH("(",Tabela4[[#This Row],[Cenário]])-1),"")&amp;"_"&amp;ROW()</f>
        <v>OUT-Logum_153</v>
      </c>
      <c r="B153" t="s">
        <v>374</v>
      </c>
      <c r="C153" t="s">
        <v>445</v>
      </c>
      <c r="D153" s="5" t="s">
        <v>286</v>
      </c>
      <c r="E153">
        <v>6</v>
      </c>
      <c r="F153" t="s">
        <v>286</v>
      </c>
      <c r="G153" t="s">
        <v>287</v>
      </c>
      <c r="K153" s="9" t="s">
        <v>262</v>
      </c>
      <c r="N153" s="78"/>
      <c r="O153" s="31"/>
      <c r="P153" s="9"/>
      <c r="Q153" s="9">
        <f>COUNTIF(Tabela4[[#All],[Cenário]],Tabela4[[#This Row],[Cenário]])</f>
        <v>6</v>
      </c>
      <c r="R153">
        <f>COUNTIFS(Tabela4[[#All],[Cenário]],Tabela4[[#This Row],[Cenário]],Tabela4[[#All],[Status]],"Keyuser - Concluído ")</f>
        <v>5</v>
      </c>
      <c r="S153" t="str">
        <f>IF(Tabela4[[#This Row],[Tarefas por Cenário]]-Tabela4[[#This Row],[Tarefas Concluídas]]&gt;0,"Não","Sim")</f>
        <v>Não</v>
      </c>
      <c r="T153">
        <f>COUNTIFS(Tabela4[[#All],[Cenário]],Tabela4[[#This Row],[Cenário]],Tabela4[[#All],[Status]],Tabela4[[#Headers],[Elo - Em correção ]])</f>
        <v>0</v>
      </c>
      <c r="U153">
        <f>COUNTIFS(Tabela4[[#All],[Cenário]],Tabela4[[#This Row],[Cenário]],Tabela4[[#All],[Status]],Tabela4[[#Headers],[Keyuser - Aguardando tarefa precedente]])</f>
        <v>0</v>
      </c>
      <c r="V153">
        <f>COUNTIFS(Tabela4[[#All],[Cenário]],Tabela4[[#This Row],[Cenário]],Tabela4[[#All],[Status]],Tabela4[[#Headers],[Não liberado  para testes]])</f>
        <v>1</v>
      </c>
      <c r="W153" t="str">
        <f>IF(Tabela4[[#This Row],[Elo - Em correção ]]&gt;0,"Sim","Não")</f>
        <v>Não</v>
      </c>
      <c r="X153" t="str">
        <f>IF(Tabela4[[#This Row],[Keyuser - Aguardando tarefa precedente]]&gt;0,"Sim","Não")</f>
        <v>Não</v>
      </c>
      <c r="Y153" t="str">
        <f>IF(Tabela4[[#This Row],[Não liberado  para testes]]&gt;0,"Sim","Não")</f>
        <v>Sim</v>
      </c>
      <c r="Z153" t="str">
        <f ca="1">IF(Tabela4[[#This Row],[Status]]="Keyuser - Pendente",NETWORKDAYS(Tabela4[[#This Row],[Dt Inicial]],TODAY()),"")</f>
        <v/>
      </c>
      <c r="AA153" t="b">
        <f>AND(Tabela4[[#This Row],[Status]]="Keyuser - Aguardando tarefa precedente",K152="Keyuser - Concluído ")</f>
        <v>0</v>
      </c>
    </row>
    <row r="154" spans="1:27" x14ac:dyDescent="0.25">
      <c r="A154" t="str">
        <f>"OUT-"&amp;IFERROR(MID(Tabela4[[#This Row],[Cenário]],SEARCH("(",Tabela4[[#This Row],[Cenário]])+1,SEARCH(")",Tabela4[[#This Row],[Cenário]])-SEARCH("(",Tabela4[[#This Row],[Cenário]])-1),"")&amp;"_"&amp;ROW()</f>
        <v>OUT-Logum_154</v>
      </c>
      <c r="B154" t="s">
        <v>358</v>
      </c>
      <c r="C154" t="s">
        <v>447</v>
      </c>
      <c r="D154" t="s">
        <v>360</v>
      </c>
      <c r="E154">
        <v>1</v>
      </c>
      <c r="F154" t="s">
        <v>360</v>
      </c>
      <c r="G154" t="s">
        <v>377</v>
      </c>
      <c r="H154" s="13">
        <v>60668353</v>
      </c>
      <c r="I154" s="13"/>
      <c r="J154" s="13"/>
      <c r="K154" s="9" t="s">
        <v>271</v>
      </c>
      <c r="L154" s="78">
        <v>45969</v>
      </c>
      <c r="N154" s="78">
        <v>45969</v>
      </c>
      <c r="O154" s="31"/>
      <c r="P154" s="9"/>
      <c r="Q154" s="9">
        <f>COUNTIF(Tabela4[[#All],[Cenário]],Tabela4[[#This Row],[Cenário]])</f>
        <v>6</v>
      </c>
      <c r="R154">
        <f>COUNTIFS(Tabela4[[#All],[Cenário]],Tabela4[[#This Row],[Cenário]],Tabela4[[#All],[Status]],"Keyuser - Concluído ")</f>
        <v>5</v>
      </c>
      <c r="S154" t="str">
        <f>IF(Tabela4[[#This Row],[Tarefas por Cenário]]-Tabela4[[#This Row],[Tarefas Concluídas]]&gt;0,"Não","Sim")</f>
        <v>Não</v>
      </c>
      <c r="T154">
        <f>COUNTIFS(Tabela4[[#All],[Cenário]],Tabela4[[#This Row],[Cenário]],Tabela4[[#All],[Status]],Tabela4[[#Headers],[Elo - Em correção ]])</f>
        <v>0</v>
      </c>
      <c r="U154">
        <f>COUNTIFS(Tabela4[[#All],[Cenário]],Tabela4[[#This Row],[Cenário]],Tabela4[[#All],[Status]],Tabela4[[#Headers],[Keyuser - Aguardando tarefa precedente]])</f>
        <v>0</v>
      </c>
      <c r="V154">
        <f>COUNTIFS(Tabela4[[#All],[Cenário]],Tabela4[[#This Row],[Cenário]],Tabela4[[#All],[Status]],Tabela4[[#Headers],[Não liberado  para testes]])</f>
        <v>1</v>
      </c>
      <c r="W154" t="str">
        <f>IF(Tabela4[[#This Row],[Elo - Em correção ]]&gt;0,"Sim","Não")</f>
        <v>Não</v>
      </c>
      <c r="X154" t="str">
        <f>IF(Tabela4[[#This Row],[Keyuser - Aguardando tarefa precedente]]&gt;0,"Sim","Não")</f>
        <v>Não</v>
      </c>
      <c r="Y154" t="str">
        <f>IF(Tabela4[[#This Row],[Não liberado  para testes]]&gt;0,"Sim","Não")</f>
        <v>Sim</v>
      </c>
      <c r="Z154" t="str">
        <f ca="1">IF(Tabela4[[#This Row],[Status]]="Keyuser - Pendente",NETWORKDAYS(Tabela4[[#This Row],[Dt Inicial]],TODAY()),"")</f>
        <v/>
      </c>
      <c r="AA154" t="b">
        <f>AND(Tabela4[[#This Row],[Status]]="Keyuser - Aguardando tarefa precedente",K153="Keyuser - Concluído ")</f>
        <v>0</v>
      </c>
    </row>
    <row r="155" spans="1:27" x14ac:dyDescent="0.25">
      <c r="A155" t="str">
        <f>"OUT-"&amp;IFERROR(MID(Tabela4[[#This Row],[Cenário]],SEARCH("(",Tabela4[[#This Row],[Cenário]])+1,SEARCH(")",Tabela4[[#This Row],[Cenário]])-SEARCH("(",Tabela4[[#This Row],[Cenário]])-1),"")&amp;"_"&amp;ROW()</f>
        <v>OUT-Logum_155</v>
      </c>
      <c r="B155" t="s">
        <v>358</v>
      </c>
      <c r="C155" t="s">
        <v>447</v>
      </c>
      <c r="D155" t="s">
        <v>365</v>
      </c>
      <c r="E155">
        <v>2</v>
      </c>
      <c r="F155" t="s">
        <v>365</v>
      </c>
      <c r="G155" t="s">
        <v>310</v>
      </c>
      <c r="H155" s="13">
        <v>60668353</v>
      </c>
      <c r="I155" s="13"/>
      <c r="J155" s="13"/>
      <c r="K155" s="9" t="s">
        <v>271</v>
      </c>
      <c r="L155" s="78">
        <v>45969</v>
      </c>
      <c r="N155" s="78">
        <v>45969</v>
      </c>
      <c r="O155" s="31"/>
      <c r="P155" s="9"/>
      <c r="Q155" s="9">
        <f>COUNTIF(Tabela4[[#All],[Cenário]],Tabela4[[#This Row],[Cenário]])</f>
        <v>6</v>
      </c>
      <c r="R155">
        <f>COUNTIFS(Tabela4[[#All],[Cenário]],Tabela4[[#This Row],[Cenário]],Tabela4[[#All],[Status]],"Keyuser - Concluído ")</f>
        <v>5</v>
      </c>
      <c r="S155" t="str">
        <f>IF(Tabela4[[#This Row],[Tarefas por Cenário]]-Tabela4[[#This Row],[Tarefas Concluídas]]&gt;0,"Não","Sim")</f>
        <v>Não</v>
      </c>
      <c r="T155">
        <f>COUNTIFS(Tabela4[[#All],[Cenário]],Tabela4[[#This Row],[Cenário]],Tabela4[[#All],[Status]],Tabela4[[#Headers],[Elo - Em correção ]])</f>
        <v>0</v>
      </c>
      <c r="U155">
        <f>COUNTIFS(Tabela4[[#All],[Cenário]],Tabela4[[#This Row],[Cenário]],Tabela4[[#All],[Status]],Tabela4[[#Headers],[Keyuser - Aguardando tarefa precedente]])</f>
        <v>0</v>
      </c>
      <c r="V155">
        <f>COUNTIFS(Tabela4[[#All],[Cenário]],Tabela4[[#This Row],[Cenário]],Tabela4[[#All],[Status]],Tabela4[[#Headers],[Não liberado  para testes]])</f>
        <v>1</v>
      </c>
      <c r="W155" t="str">
        <f>IF(Tabela4[[#This Row],[Elo - Em correção ]]&gt;0,"Sim","Não")</f>
        <v>Não</v>
      </c>
      <c r="X155" t="str">
        <f>IF(Tabela4[[#This Row],[Keyuser - Aguardando tarefa precedente]]&gt;0,"Sim","Não")</f>
        <v>Não</v>
      </c>
      <c r="Y155" t="str">
        <f>IF(Tabela4[[#This Row],[Não liberado  para testes]]&gt;0,"Sim","Não")</f>
        <v>Sim</v>
      </c>
      <c r="Z155" t="str">
        <f ca="1">IF(Tabela4[[#This Row],[Status]]="Keyuser - Pendente",NETWORKDAYS(Tabela4[[#This Row],[Dt Inicial]],TODAY()),"")</f>
        <v/>
      </c>
      <c r="AA155" t="b">
        <f>AND(Tabela4[[#This Row],[Status]]="Keyuser - Aguardando tarefa precedente",K154="Keyuser - Concluído ")</f>
        <v>0</v>
      </c>
    </row>
    <row r="156" spans="1:27" x14ac:dyDescent="0.25">
      <c r="A156" t="str">
        <f>"OUT-"&amp;IFERROR(MID(Tabela4[[#This Row],[Cenário]],SEARCH("(",Tabela4[[#This Row],[Cenário]])+1,SEARCH(")",Tabela4[[#This Row],[Cenário]])-SEARCH("(",Tabela4[[#This Row],[Cenário]])-1),"")&amp;"_"&amp;ROW()</f>
        <v>OUT-Logum_156</v>
      </c>
      <c r="B156" t="s">
        <v>358</v>
      </c>
      <c r="C156" t="s">
        <v>447</v>
      </c>
      <c r="D156" t="s">
        <v>368</v>
      </c>
      <c r="E156">
        <v>3</v>
      </c>
      <c r="F156" t="s">
        <v>368</v>
      </c>
      <c r="G156" t="s">
        <v>377</v>
      </c>
      <c r="H156" s="13" t="s">
        <v>448</v>
      </c>
      <c r="I156" s="13"/>
      <c r="J156" s="13"/>
      <c r="K156" s="9" t="s">
        <v>271</v>
      </c>
      <c r="L156" s="78">
        <v>45972</v>
      </c>
      <c r="N156" s="78">
        <v>45972</v>
      </c>
      <c r="O156" s="31" t="s">
        <v>449</v>
      </c>
      <c r="P156" s="9"/>
      <c r="Q156" s="9">
        <f>COUNTIF(Tabela4[[#All],[Cenário]],Tabela4[[#This Row],[Cenário]])</f>
        <v>6</v>
      </c>
      <c r="R156">
        <f>COUNTIFS(Tabela4[[#All],[Cenário]],Tabela4[[#This Row],[Cenário]],Tabela4[[#All],[Status]],"Keyuser - Concluído ")</f>
        <v>5</v>
      </c>
      <c r="S156" t="str">
        <f>IF(Tabela4[[#This Row],[Tarefas por Cenário]]-Tabela4[[#This Row],[Tarefas Concluídas]]&gt;0,"Não","Sim")</f>
        <v>Não</v>
      </c>
      <c r="T156">
        <f>COUNTIFS(Tabela4[[#All],[Cenário]],Tabela4[[#This Row],[Cenário]],Tabela4[[#All],[Status]],Tabela4[[#Headers],[Elo - Em correção ]])</f>
        <v>0</v>
      </c>
      <c r="U156">
        <f>COUNTIFS(Tabela4[[#All],[Cenário]],Tabela4[[#This Row],[Cenário]],Tabela4[[#All],[Status]],Tabela4[[#Headers],[Keyuser - Aguardando tarefa precedente]])</f>
        <v>0</v>
      </c>
      <c r="V156">
        <f>COUNTIFS(Tabela4[[#All],[Cenário]],Tabela4[[#This Row],[Cenário]],Tabela4[[#All],[Status]],Tabela4[[#Headers],[Não liberado  para testes]])</f>
        <v>1</v>
      </c>
      <c r="W156" t="str">
        <f>IF(Tabela4[[#This Row],[Elo - Em correção ]]&gt;0,"Sim","Não")</f>
        <v>Não</v>
      </c>
      <c r="X156" t="str">
        <f>IF(Tabela4[[#This Row],[Keyuser - Aguardando tarefa precedente]]&gt;0,"Sim","Não")</f>
        <v>Não</v>
      </c>
      <c r="Y156" t="str">
        <f>IF(Tabela4[[#This Row],[Não liberado  para testes]]&gt;0,"Sim","Não")</f>
        <v>Sim</v>
      </c>
      <c r="Z156" t="str">
        <f ca="1">IF(Tabela4[[#This Row],[Status]]="Keyuser - Pendente",NETWORKDAYS(Tabela4[[#This Row],[Dt Inicial]],TODAY()),"")</f>
        <v/>
      </c>
      <c r="AA156" t="b">
        <f>AND(Tabela4[[#This Row],[Status]]="Keyuser - Aguardando tarefa precedente",K155="Keyuser - Concluído ")</f>
        <v>0</v>
      </c>
    </row>
    <row r="157" spans="1:27" x14ac:dyDescent="0.25">
      <c r="A157" t="str">
        <f>"OUT-"&amp;IFERROR(MID(Tabela4[[#This Row],[Cenário]],SEARCH("(",Tabela4[[#This Row],[Cenário]])+1,SEARCH(")",Tabela4[[#This Row],[Cenário]])-SEARCH("(",Tabela4[[#This Row],[Cenário]])-1),"")&amp;"_"&amp;ROW()</f>
        <v>OUT-Logum_157</v>
      </c>
      <c r="B157" t="s">
        <v>358</v>
      </c>
      <c r="C157" t="s">
        <v>447</v>
      </c>
      <c r="D157" t="s">
        <v>371</v>
      </c>
      <c r="E157">
        <v>4</v>
      </c>
      <c r="F157" t="s">
        <v>372</v>
      </c>
      <c r="G157" t="s">
        <v>287</v>
      </c>
      <c r="H157" s="13" t="s">
        <v>448</v>
      </c>
      <c r="I157" s="13"/>
      <c r="J157" s="13"/>
      <c r="K157" s="9" t="s">
        <v>271</v>
      </c>
      <c r="L157" s="78">
        <v>45974</v>
      </c>
      <c r="N157" s="78">
        <v>45974</v>
      </c>
      <c r="O157" s="31"/>
      <c r="P157" s="9"/>
      <c r="Q157" s="9">
        <f>COUNTIF(Tabela4[[#All],[Cenário]],Tabela4[[#This Row],[Cenário]])</f>
        <v>6</v>
      </c>
      <c r="R157">
        <f>COUNTIFS(Tabela4[[#All],[Cenário]],Tabela4[[#This Row],[Cenário]],Tabela4[[#All],[Status]],"Keyuser - Concluído ")</f>
        <v>5</v>
      </c>
      <c r="S157" t="str">
        <f>IF(Tabela4[[#This Row],[Tarefas por Cenário]]-Tabela4[[#This Row],[Tarefas Concluídas]]&gt;0,"Não","Sim")</f>
        <v>Não</v>
      </c>
      <c r="T157">
        <f>COUNTIFS(Tabela4[[#All],[Cenário]],Tabela4[[#This Row],[Cenário]],Tabela4[[#All],[Status]],Tabela4[[#Headers],[Elo - Em correção ]])</f>
        <v>0</v>
      </c>
      <c r="U157">
        <f>COUNTIFS(Tabela4[[#All],[Cenário]],Tabela4[[#This Row],[Cenário]],Tabela4[[#All],[Status]],Tabela4[[#Headers],[Keyuser - Aguardando tarefa precedente]])</f>
        <v>0</v>
      </c>
      <c r="V157">
        <f>COUNTIFS(Tabela4[[#All],[Cenário]],Tabela4[[#This Row],[Cenário]],Tabela4[[#All],[Status]],Tabela4[[#Headers],[Não liberado  para testes]])</f>
        <v>1</v>
      </c>
      <c r="W157" t="str">
        <f>IF(Tabela4[[#This Row],[Elo - Em correção ]]&gt;0,"Sim","Não")</f>
        <v>Não</v>
      </c>
      <c r="X157" t="str">
        <f>IF(Tabela4[[#This Row],[Keyuser - Aguardando tarefa precedente]]&gt;0,"Sim","Não")</f>
        <v>Não</v>
      </c>
      <c r="Y157" t="str">
        <f>IF(Tabela4[[#This Row],[Não liberado  para testes]]&gt;0,"Sim","Não")</f>
        <v>Sim</v>
      </c>
      <c r="Z157" t="str">
        <f ca="1">IF(Tabela4[[#This Row],[Status]]="Keyuser - Pendente",NETWORKDAYS(Tabela4[[#This Row],[Dt Inicial]],TODAY()),"")</f>
        <v/>
      </c>
      <c r="AA157" t="b">
        <f>AND(Tabela4[[#This Row],[Status]]="Keyuser - Aguardando tarefa precedente",K156="Keyuser - Concluído ")</f>
        <v>0</v>
      </c>
    </row>
    <row r="158" spans="1:27" x14ac:dyDescent="0.25">
      <c r="A158" t="str">
        <f>"OUT-"&amp;IFERROR(MID(Tabela4[[#This Row],[Cenário]],SEARCH("(",Tabela4[[#This Row],[Cenário]])+1,SEARCH(")",Tabela4[[#This Row],[Cenário]])-SEARCH("(",Tabela4[[#This Row],[Cenário]])-1),"")&amp;"_"&amp;ROW()</f>
        <v>OUT-Logum_158</v>
      </c>
      <c r="B158" t="s">
        <v>358</v>
      </c>
      <c r="C158" t="s">
        <v>447</v>
      </c>
      <c r="D158" t="s">
        <v>373</v>
      </c>
      <c r="E158">
        <v>5</v>
      </c>
      <c r="F158" t="s">
        <v>373</v>
      </c>
      <c r="G158" t="s">
        <v>283</v>
      </c>
      <c r="H158" s="13" t="s">
        <v>448</v>
      </c>
      <c r="I158" s="13"/>
      <c r="J158" s="13"/>
      <c r="K158" s="9" t="s">
        <v>271</v>
      </c>
      <c r="L158" s="78">
        <v>45978</v>
      </c>
      <c r="N158" s="78">
        <v>45978</v>
      </c>
      <c r="O158" s="31"/>
      <c r="P158" s="9"/>
      <c r="Q158" s="9">
        <f>COUNTIF(Tabela4[[#All],[Cenário]],Tabela4[[#This Row],[Cenário]])</f>
        <v>6</v>
      </c>
      <c r="R158">
        <f>COUNTIFS(Tabela4[[#All],[Cenário]],Tabela4[[#This Row],[Cenário]],Tabela4[[#All],[Status]],"Keyuser - Concluído ")</f>
        <v>5</v>
      </c>
      <c r="S158" t="str">
        <f>IF(Tabela4[[#This Row],[Tarefas por Cenário]]-Tabela4[[#This Row],[Tarefas Concluídas]]&gt;0,"Não","Sim")</f>
        <v>Não</v>
      </c>
      <c r="T158">
        <f>COUNTIFS(Tabela4[[#All],[Cenário]],Tabela4[[#This Row],[Cenário]],Tabela4[[#All],[Status]],Tabela4[[#Headers],[Elo - Em correção ]])</f>
        <v>0</v>
      </c>
      <c r="U158">
        <f>COUNTIFS(Tabela4[[#All],[Cenário]],Tabela4[[#This Row],[Cenário]],Tabela4[[#All],[Status]],Tabela4[[#Headers],[Keyuser - Aguardando tarefa precedente]])</f>
        <v>0</v>
      </c>
      <c r="V158">
        <f>COUNTIFS(Tabela4[[#All],[Cenário]],Tabela4[[#This Row],[Cenário]],Tabela4[[#All],[Status]],Tabela4[[#Headers],[Não liberado  para testes]])</f>
        <v>1</v>
      </c>
      <c r="W158" t="str">
        <f>IF(Tabela4[[#This Row],[Elo - Em correção ]]&gt;0,"Sim","Não")</f>
        <v>Não</v>
      </c>
      <c r="X158" t="str">
        <f>IF(Tabela4[[#This Row],[Keyuser - Aguardando tarefa precedente]]&gt;0,"Sim","Não")</f>
        <v>Não</v>
      </c>
      <c r="Y158" t="str">
        <f>IF(Tabela4[[#This Row],[Não liberado  para testes]]&gt;0,"Sim","Não")</f>
        <v>Sim</v>
      </c>
      <c r="Z158" t="str">
        <f ca="1">IF(Tabela4[[#This Row],[Status]]="Keyuser - Pendente",NETWORKDAYS(Tabela4[[#This Row],[Dt Inicial]],TODAY()),"")</f>
        <v/>
      </c>
      <c r="AA158" t="b">
        <f>AND(Tabela4[[#This Row],[Status]]="Keyuser - Aguardando tarefa precedente",K157="Keyuser - Concluído ")</f>
        <v>0</v>
      </c>
    </row>
    <row r="159" spans="1:27" x14ac:dyDescent="0.25">
      <c r="A159" t="str">
        <f>"OUT-"&amp;IFERROR(MID(Tabela4[[#This Row],[Cenário]],SEARCH("(",Tabela4[[#This Row],[Cenário]])+1,SEARCH(")",Tabela4[[#This Row],[Cenário]])-SEARCH("(",Tabela4[[#This Row],[Cenário]])-1),"")&amp;"_"&amp;ROW()</f>
        <v>OUT-Logum_159</v>
      </c>
      <c r="B159" t="s">
        <v>374</v>
      </c>
      <c r="C159" t="s">
        <v>447</v>
      </c>
      <c r="D159" t="s">
        <v>286</v>
      </c>
      <c r="E159">
        <v>6</v>
      </c>
      <c r="F159" t="s">
        <v>286</v>
      </c>
      <c r="G159" t="s">
        <v>287</v>
      </c>
      <c r="H159" s="13"/>
      <c r="I159" s="13"/>
      <c r="J159" s="13"/>
      <c r="K159" s="9" t="s">
        <v>262</v>
      </c>
      <c r="N159" s="78"/>
      <c r="O159" s="31"/>
      <c r="P159" s="9"/>
      <c r="Q159" s="9">
        <f>COUNTIF(Tabela4[[#All],[Cenário]],Tabela4[[#This Row],[Cenário]])</f>
        <v>6</v>
      </c>
      <c r="R159">
        <f>COUNTIFS(Tabela4[[#All],[Cenário]],Tabela4[[#This Row],[Cenário]],Tabela4[[#All],[Status]],"Keyuser - Concluído ")</f>
        <v>5</v>
      </c>
      <c r="S159" t="str">
        <f>IF(Tabela4[[#This Row],[Tarefas por Cenário]]-Tabela4[[#This Row],[Tarefas Concluídas]]&gt;0,"Não","Sim")</f>
        <v>Não</v>
      </c>
      <c r="T159">
        <f>COUNTIFS(Tabela4[[#All],[Cenário]],Tabela4[[#This Row],[Cenário]],Tabela4[[#All],[Status]],Tabela4[[#Headers],[Elo - Em correção ]])</f>
        <v>0</v>
      </c>
      <c r="U159">
        <f>COUNTIFS(Tabela4[[#All],[Cenário]],Tabela4[[#This Row],[Cenário]],Tabela4[[#All],[Status]],Tabela4[[#Headers],[Keyuser - Aguardando tarefa precedente]])</f>
        <v>0</v>
      </c>
      <c r="V159">
        <f>COUNTIFS(Tabela4[[#All],[Cenário]],Tabela4[[#This Row],[Cenário]],Tabela4[[#All],[Status]],Tabela4[[#Headers],[Não liberado  para testes]])</f>
        <v>1</v>
      </c>
      <c r="W159" t="str">
        <f>IF(Tabela4[[#This Row],[Elo - Em correção ]]&gt;0,"Sim","Não")</f>
        <v>Não</v>
      </c>
      <c r="X159" t="str">
        <f>IF(Tabela4[[#This Row],[Keyuser - Aguardando tarefa precedente]]&gt;0,"Sim","Não")</f>
        <v>Não</v>
      </c>
      <c r="Y159" t="str">
        <f>IF(Tabela4[[#This Row],[Não liberado  para testes]]&gt;0,"Sim","Não")</f>
        <v>Sim</v>
      </c>
      <c r="Z159" t="str">
        <f ca="1">IF(Tabela4[[#This Row],[Status]]="Keyuser - Pendente",NETWORKDAYS(Tabela4[[#This Row],[Dt Inicial]],TODAY()),"")</f>
        <v/>
      </c>
      <c r="AA159" t="b">
        <f>AND(Tabela4[[#This Row],[Status]]="Keyuser - Aguardando tarefa precedente",K158="Keyuser - Concluído ")</f>
        <v>0</v>
      </c>
    </row>
    <row r="160" spans="1:27" x14ac:dyDescent="0.25">
      <c r="A160" t="str">
        <f>"OUT-"&amp;IFERROR(MID(Tabela4[[#This Row],[Cenário]],SEARCH("(",Tabela4[[#This Row],[Cenário]])+1,SEARCH(")",Tabela4[[#This Row],[Cenário]])-SEARCH("(",Tabela4[[#This Row],[Cenário]])-1),"")&amp;"_"&amp;ROW()</f>
        <v>OUT-OPLA_160</v>
      </c>
      <c r="B160" t="s">
        <v>358</v>
      </c>
      <c r="C160" t="s">
        <v>450</v>
      </c>
      <c r="D160" t="s">
        <v>360</v>
      </c>
      <c r="E160">
        <v>1</v>
      </c>
      <c r="F160" t="s">
        <v>360</v>
      </c>
      <c r="G160" t="s">
        <v>361</v>
      </c>
      <c r="H160" s="49">
        <v>15603695</v>
      </c>
      <c r="I160" s="13" t="s">
        <v>451</v>
      </c>
      <c r="J160" s="9" t="s">
        <v>364</v>
      </c>
      <c r="K160" s="9" t="s">
        <v>271</v>
      </c>
      <c r="L160" s="78">
        <v>45978</v>
      </c>
      <c r="N160" s="78">
        <v>45978</v>
      </c>
      <c r="O160" s="31"/>
      <c r="P160" s="9"/>
      <c r="Q160" s="9">
        <f>COUNTIF(Tabela4[[#All],[Cenário]],Tabela4[[#This Row],[Cenário]])</f>
        <v>8</v>
      </c>
      <c r="R160">
        <f>COUNTIFS(Tabela4[[#All],[Cenário]],Tabela4[[#This Row],[Cenário]],Tabela4[[#All],[Status]],"Keyuser - Concluído ")</f>
        <v>7</v>
      </c>
      <c r="S160" t="str">
        <f>IF(Tabela4[[#This Row],[Tarefas por Cenário]]-Tabela4[[#This Row],[Tarefas Concluídas]]&gt;0,"Não","Sim")</f>
        <v>Não</v>
      </c>
      <c r="T160">
        <f>COUNTIFS(Tabela4[[#All],[Cenário]],Tabela4[[#This Row],[Cenário]],Tabela4[[#All],[Status]],Tabela4[[#Headers],[Elo - Em correção ]])</f>
        <v>0</v>
      </c>
      <c r="U160">
        <f>COUNTIFS(Tabela4[[#All],[Cenário]],Tabela4[[#This Row],[Cenário]],Tabela4[[#All],[Status]],Tabela4[[#Headers],[Keyuser - Aguardando tarefa precedente]])</f>
        <v>0</v>
      </c>
      <c r="V160">
        <f>COUNTIFS(Tabela4[[#All],[Cenário]],Tabela4[[#This Row],[Cenário]],Tabela4[[#All],[Status]],Tabela4[[#Headers],[Não liberado  para testes]])</f>
        <v>1</v>
      </c>
      <c r="W160" t="str">
        <f>IF(Tabela4[[#This Row],[Elo - Em correção ]]&gt;0,"Sim","Não")</f>
        <v>Não</v>
      </c>
      <c r="X160" t="str">
        <f>IF(Tabela4[[#This Row],[Keyuser - Aguardando tarefa precedente]]&gt;0,"Sim","Não")</f>
        <v>Não</v>
      </c>
      <c r="Y160" t="str">
        <f>IF(Tabela4[[#This Row],[Não liberado  para testes]]&gt;0,"Sim","Não")</f>
        <v>Sim</v>
      </c>
      <c r="Z160" t="str">
        <f ca="1">IF(Tabela4[[#This Row],[Status]]="Keyuser - Pendente",NETWORKDAYS(Tabela4[[#This Row],[Dt Inicial]],TODAY()),"")</f>
        <v/>
      </c>
      <c r="AA160" t="b">
        <f>AND(Tabela4[[#This Row],[Status]]="Keyuser - Aguardando tarefa precedente",K159="Keyuser - Concluído ")</f>
        <v>0</v>
      </c>
    </row>
    <row r="161" spans="1:27" x14ac:dyDescent="0.25">
      <c r="A161" t="str">
        <f>"OUT-"&amp;IFERROR(MID(Tabela4[[#This Row],[Cenário]],SEARCH("(",Tabela4[[#This Row],[Cenário]])+1,SEARCH(")",Tabela4[[#This Row],[Cenário]])-SEARCH("(",Tabela4[[#This Row],[Cenário]])-1),"")&amp;"_"&amp;ROW()</f>
        <v>OUT-OPLA_161</v>
      </c>
      <c r="B161" t="s">
        <v>358</v>
      </c>
      <c r="C161" t="s">
        <v>450</v>
      </c>
      <c r="D161" t="s">
        <v>365</v>
      </c>
      <c r="E161">
        <v>2</v>
      </c>
      <c r="F161" t="s">
        <v>365</v>
      </c>
      <c r="G161" t="s">
        <v>310</v>
      </c>
      <c r="H161" s="69">
        <v>15603695</v>
      </c>
      <c r="I161" s="68"/>
      <c r="J161" s="68"/>
      <c r="K161" s="9" t="s">
        <v>271</v>
      </c>
      <c r="L161" s="78">
        <v>45979</v>
      </c>
      <c r="N161" s="78">
        <v>45979</v>
      </c>
      <c r="O161" s="31"/>
      <c r="P161" s="9"/>
      <c r="Q161" s="9">
        <f>COUNTIF(Tabela4[[#All],[Cenário]],Tabela4[[#This Row],[Cenário]])</f>
        <v>8</v>
      </c>
      <c r="R161">
        <f>COUNTIFS(Tabela4[[#All],[Cenário]],Tabela4[[#This Row],[Cenário]],Tabela4[[#All],[Status]],"Keyuser - Concluído ")</f>
        <v>7</v>
      </c>
      <c r="S161" t="str">
        <f>IF(Tabela4[[#This Row],[Tarefas por Cenário]]-Tabela4[[#This Row],[Tarefas Concluídas]]&gt;0,"Não","Sim")</f>
        <v>Não</v>
      </c>
      <c r="T161">
        <f>COUNTIFS(Tabela4[[#All],[Cenário]],Tabela4[[#This Row],[Cenário]],Tabela4[[#All],[Status]],Tabela4[[#Headers],[Elo - Em correção ]])</f>
        <v>0</v>
      </c>
      <c r="U161">
        <f>COUNTIFS(Tabela4[[#All],[Cenário]],Tabela4[[#This Row],[Cenário]],Tabela4[[#All],[Status]],Tabela4[[#Headers],[Keyuser - Aguardando tarefa precedente]])</f>
        <v>0</v>
      </c>
      <c r="V161">
        <f>COUNTIFS(Tabela4[[#All],[Cenário]],Tabela4[[#This Row],[Cenário]],Tabela4[[#All],[Status]],Tabela4[[#Headers],[Não liberado  para testes]])</f>
        <v>1</v>
      </c>
      <c r="W161" t="str">
        <f>IF(Tabela4[[#This Row],[Elo - Em correção ]]&gt;0,"Sim","Não")</f>
        <v>Não</v>
      </c>
      <c r="X161" t="str">
        <f>IF(Tabela4[[#This Row],[Keyuser - Aguardando tarefa precedente]]&gt;0,"Sim","Não")</f>
        <v>Não</v>
      </c>
      <c r="Y161" t="str">
        <f>IF(Tabela4[[#This Row],[Não liberado  para testes]]&gt;0,"Sim","Não")</f>
        <v>Sim</v>
      </c>
      <c r="Z161" t="str">
        <f ca="1">IF(Tabela4[[#This Row],[Status]]="Keyuser - Pendente",NETWORKDAYS(Tabela4[[#This Row],[Dt Inicial]],TODAY()),"")</f>
        <v/>
      </c>
      <c r="AA161" t="b">
        <f>AND(Tabela4[[#This Row],[Status]]="Keyuser - Aguardando tarefa precedente",K160="Keyuser - Concluído ")</f>
        <v>0</v>
      </c>
    </row>
    <row r="162" spans="1:27" x14ac:dyDescent="0.25">
      <c r="A162" t="str">
        <f>"OUT-"&amp;IFERROR(MID(Tabela4[[#This Row],[Cenário]],SEARCH("(",Tabela4[[#This Row],[Cenário]])+1,SEARCH(")",Tabela4[[#This Row],[Cenário]])-SEARCH("(",Tabela4[[#This Row],[Cenário]])-1),"")&amp;"_"&amp;ROW()</f>
        <v>OUT-OPLA_162</v>
      </c>
      <c r="B162" t="s">
        <v>358</v>
      </c>
      <c r="C162" t="s">
        <v>450</v>
      </c>
      <c r="D162" t="s">
        <v>366</v>
      </c>
      <c r="E162">
        <v>3</v>
      </c>
      <c r="F162" t="s">
        <v>366</v>
      </c>
      <c r="G162" t="s">
        <v>367</v>
      </c>
      <c r="H162" s="69">
        <v>15603695</v>
      </c>
      <c r="I162" s="68"/>
      <c r="J162" s="68"/>
      <c r="K162" s="9" t="s">
        <v>271</v>
      </c>
      <c r="L162" s="78">
        <v>45979</v>
      </c>
      <c r="N162" s="78">
        <v>45979</v>
      </c>
      <c r="O162" s="31"/>
      <c r="P162" s="9"/>
      <c r="Q162" s="9">
        <f>COUNTIF(Tabela4[[#All],[Cenário]],Tabela4[[#This Row],[Cenário]])</f>
        <v>8</v>
      </c>
      <c r="R162">
        <f>COUNTIFS(Tabela4[[#All],[Cenário]],Tabela4[[#This Row],[Cenário]],Tabela4[[#All],[Status]],"Keyuser - Concluído ")</f>
        <v>7</v>
      </c>
      <c r="S162" t="str">
        <f>IF(Tabela4[[#This Row],[Tarefas por Cenário]]-Tabela4[[#This Row],[Tarefas Concluídas]]&gt;0,"Não","Sim")</f>
        <v>Não</v>
      </c>
      <c r="T162">
        <f>COUNTIFS(Tabela4[[#All],[Cenário]],Tabela4[[#This Row],[Cenário]],Tabela4[[#All],[Status]],Tabela4[[#Headers],[Elo - Em correção ]])</f>
        <v>0</v>
      </c>
      <c r="U162">
        <f>COUNTIFS(Tabela4[[#All],[Cenário]],Tabela4[[#This Row],[Cenário]],Tabela4[[#All],[Status]],Tabela4[[#Headers],[Keyuser - Aguardando tarefa precedente]])</f>
        <v>0</v>
      </c>
      <c r="V162">
        <f>COUNTIFS(Tabela4[[#All],[Cenário]],Tabela4[[#This Row],[Cenário]],Tabela4[[#All],[Status]],Tabela4[[#Headers],[Não liberado  para testes]])</f>
        <v>1</v>
      </c>
      <c r="W162" t="str">
        <f>IF(Tabela4[[#This Row],[Elo - Em correção ]]&gt;0,"Sim","Não")</f>
        <v>Não</v>
      </c>
      <c r="X162" t="str">
        <f>IF(Tabela4[[#This Row],[Keyuser - Aguardando tarefa precedente]]&gt;0,"Sim","Não")</f>
        <v>Não</v>
      </c>
      <c r="Y162" t="str">
        <f>IF(Tabela4[[#This Row],[Não liberado  para testes]]&gt;0,"Sim","Não")</f>
        <v>Sim</v>
      </c>
      <c r="Z162" t="str">
        <f ca="1">IF(Tabela4[[#This Row],[Status]]="Keyuser - Pendente",NETWORKDAYS(Tabela4[[#This Row],[Dt Inicial]],TODAY()),"")</f>
        <v/>
      </c>
      <c r="AA162" t="b">
        <f>AND(Tabela4[[#This Row],[Status]]="Keyuser - Aguardando tarefa precedente",K161="Keyuser - Concluído ")</f>
        <v>0</v>
      </c>
    </row>
    <row r="163" spans="1:27" x14ac:dyDescent="0.25">
      <c r="A163" t="str">
        <f>"OUT-"&amp;IFERROR(MID(Tabela4[[#This Row],[Cenário]],SEARCH("(",Tabela4[[#This Row],[Cenário]])+1,SEARCH(")",Tabela4[[#This Row],[Cenário]])-SEARCH("(",Tabela4[[#This Row],[Cenário]])-1),"")&amp;"_"&amp;ROW()</f>
        <v>OUT-OPLA_163</v>
      </c>
      <c r="B163" t="s">
        <v>358</v>
      </c>
      <c r="C163" t="s">
        <v>450</v>
      </c>
      <c r="D163" t="s">
        <v>368</v>
      </c>
      <c r="E163">
        <v>4</v>
      </c>
      <c r="F163" t="s">
        <v>368</v>
      </c>
      <c r="G163" t="s">
        <v>369</v>
      </c>
      <c r="H163" s="13" t="s">
        <v>452</v>
      </c>
      <c r="I163" s="68"/>
      <c r="J163" s="13" t="s">
        <v>364</v>
      </c>
      <c r="K163" s="9" t="s">
        <v>271</v>
      </c>
      <c r="L163" s="78">
        <v>45979</v>
      </c>
      <c r="N163" s="78">
        <v>45979</v>
      </c>
      <c r="O163" s="31"/>
      <c r="P163" s="9"/>
      <c r="Q163" s="9">
        <f>COUNTIF(Tabela4[[#All],[Cenário]],Tabela4[[#This Row],[Cenário]])</f>
        <v>8</v>
      </c>
      <c r="R163">
        <f>COUNTIFS(Tabela4[[#All],[Cenário]],Tabela4[[#This Row],[Cenário]],Tabela4[[#All],[Status]],"Keyuser - Concluído ")</f>
        <v>7</v>
      </c>
      <c r="S163" t="str">
        <f>IF(Tabela4[[#This Row],[Tarefas por Cenário]]-Tabela4[[#This Row],[Tarefas Concluídas]]&gt;0,"Não","Sim")</f>
        <v>Não</v>
      </c>
      <c r="T163">
        <f>COUNTIFS(Tabela4[[#All],[Cenário]],Tabela4[[#This Row],[Cenário]],Tabela4[[#All],[Status]],Tabela4[[#Headers],[Elo - Em correção ]])</f>
        <v>0</v>
      </c>
      <c r="U163">
        <f>COUNTIFS(Tabela4[[#All],[Cenário]],Tabela4[[#This Row],[Cenário]],Tabela4[[#All],[Status]],Tabela4[[#Headers],[Keyuser - Aguardando tarefa precedente]])</f>
        <v>0</v>
      </c>
      <c r="V163">
        <f>COUNTIFS(Tabela4[[#All],[Cenário]],Tabela4[[#This Row],[Cenário]],Tabela4[[#All],[Status]],Tabela4[[#Headers],[Não liberado  para testes]])</f>
        <v>1</v>
      </c>
      <c r="W163" t="str">
        <f>IF(Tabela4[[#This Row],[Elo - Em correção ]]&gt;0,"Sim","Não")</f>
        <v>Não</v>
      </c>
      <c r="X163" t="str">
        <f>IF(Tabela4[[#This Row],[Keyuser - Aguardando tarefa precedente]]&gt;0,"Sim","Não")</f>
        <v>Não</v>
      </c>
      <c r="Y163" t="str">
        <f>IF(Tabela4[[#This Row],[Não liberado  para testes]]&gt;0,"Sim","Não")</f>
        <v>Sim</v>
      </c>
      <c r="Z163" t="str">
        <f ca="1">IF(Tabela4[[#This Row],[Status]]="Keyuser - Pendente",NETWORKDAYS(Tabela4[[#This Row],[Dt Inicial]],TODAY()),"")</f>
        <v/>
      </c>
      <c r="AA163" t="b">
        <f>AND(Tabela4[[#This Row],[Status]]="Keyuser - Aguardando tarefa precedente",K162="Keyuser - Concluído ")</f>
        <v>0</v>
      </c>
    </row>
    <row r="164" spans="1:27" x14ac:dyDescent="0.25">
      <c r="A164" t="str">
        <f>"OUT-"&amp;IFERROR(MID(Tabela4[[#This Row],[Cenário]],SEARCH("(",Tabela4[[#This Row],[Cenário]])+1,SEARCH(")",Tabela4[[#This Row],[Cenário]])-SEARCH("(",Tabela4[[#This Row],[Cenário]])-1),"")&amp;"_"&amp;ROW()</f>
        <v>OUT-OPLA_164</v>
      </c>
      <c r="B164" t="s">
        <v>358</v>
      </c>
      <c r="C164" t="s">
        <v>450</v>
      </c>
      <c r="D164" t="s">
        <v>371</v>
      </c>
      <c r="E164">
        <v>5</v>
      </c>
      <c r="F164" t="s">
        <v>372</v>
      </c>
      <c r="G164" t="s">
        <v>287</v>
      </c>
      <c r="H164" s="13" t="s">
        <v>452</v>
      </c>
      <c r="I164" s="68"/>
      <c r="J164" s="68"/>
      <c r="K164" s="9" t="s">
        <v>271</v>
      </c>
      <c r="L164" s="78">
        <v>45980</v>
      </c>
      <c r="N164" s="78">
        <v>45980</v>
      </c>
      <c r="O164" s="31"/>
      <c r="P164" s="9"/>
      <c r="Q164" s="9">
        <f>COUNTIF(Tabela4[[#All],[Cenário]],Tabela4[[#This Row],[Cenário]])</f>
        <v>8</v>
      </c>
      <c r="R164">
        <f>COUNTIFS(Tabela4[[#All],[Cenário]],Tabela4[[#This Row],[Cenário]],Tabela4[[#All],[Status]],"Keyuser - Concluído ")</f>
        <v>7</v>
      </c>
      <c r="S164" t="str">
        <f>IF(Tabela4[[#This Row],[Tarefas por Cenário]]-Tabela4[[#This Row],[Tarefas Concluídas]]&gt;0,"Não","Sim")</f>
        <v>Não</v>
      </c>
      <c r="T164">
        <f>COUNTIFS(Tabela4[[#All],[Cenário]],Tabela4[[#This Row],[Cenário]],Tabela4[[#All],[Status]],Tabela4[[#Headers],[Elo - Em correção ]])</f>
        <v>0</v>
      </c>
      <c r="U164">
        <f>COUNTIFS(Tabela4[[#All],[Cenário]],Tabela4[[#This Row],[Cenário]],Tabela4[[#All],[Status]],Tabela4[[#Headers],[Keyuser - Aguardando tarefa precedente]])</f>
        <v>0</v>
      </c>
      <c r="V164">
        <f>COUNTIFS(Tabela4[[#All],[Cenário]],Tabela4[[#This Row],[Cenário]],Tabela4[[#All],[Status]],Tabela4[[#Headers],[Não liberado  para testes]])</f>
        <v>1</v>
      </c>
      <c r="W164" t="str">
        <f>IF(Tabela4[[#This Row],[Elo - Em correção ]]&gt;0,"Sim","Não")</f>
        <v>Não</v>
      </c>
      <c r="X164" t="str">
        <f>IF(Tabela4[[#This Row],[Keyuser - Aguardando tarefa precedente]]&gt;0,"Sim","Não")</f>
        <v>Não</v>
      </c>
      <c r="Y164" t="str">
        <f>IF(Tabela4[[#This Row],[Não liberado  para testes]]&gt;0,"Sim","Não")</f>
        <v>Sim</v>
      </c>
      <c r="Z164" t="str">
        <f ca="1">IF(Tabela4[[#This Row],[Status]]="Keyuser - Pendente",NETWORKDAYS(Tabela4[[#This Row],[Dt Inicial]],TODAY()),"")</f>
        <v/>
      </c>
      <c r="AA164" t="b">
        <f>AND(Tabela4[[#This Row],[Status]]="Keyuser - Aguardando tarefa precedente",K163="Keyuser - Concluído ")</f>
        <v>0</v>
      </c>
    </row>
    <row r="165" spans="1:27" x14ac:dyDescent="0.25">
      <c r="A165" t="str">
        <f>"OUT-"&amp;IFERROR(MID(Tabela4[[#This Row],[Cenário]],SEARCH("(",Tabela4[[#This Row],[Cenário]])+1,SEARCH(")",Tabela4[[#This Row],[Cenário]])-SEARCH("(",Tabela4[[#This Row],[Cenário]])-1),"")&amp;"_"&amp;ROW()</f>
        <v>OUT-OPLA_165</v>
      </c>
      <c r="B165" t="s">
        <v>358</v>
      </c>
      <c r="C165" t="s">
        <v>450</v>
      </c>
      <c r="D165" t="s">
        <v>373</v>
      </c>
      <c r="E165">
        <v>6</v>
      </c>
      <c r="F165" t="s">
        <v>373</v>
      </c>
      <c r="G165" t="s">
        <v>283</v>
      </c>
      <c r="H165" s="13" t="s">
        <v>452</v>
      </c>
      <c r="I165" s="13"/>
      <c r="J165" s="13"/>
      <c r="K165" s="9" t="s">
        <v>271</v>
      </c>
      <c r="L165" s="78">
        <v>45986</v>
      </c>
      <c r="N165" s="78">
        <v>45986</v>
      </c>
      <c r="O165" s="31"/>
      <c r="P165" s="9"/>
      <c r="Q165" s="9">
        <f>COUNTIF(Tabela4[[#All],[Cenário]],Tabela4[[#This Row],[Cenário]])</f>
        <v>8</v>
      </c>
      <c r="R165">
        <f>COUNTIFS(Tabela4[[#All],[Cenário]],Tabela4[[#This Row],[Cenário]],Tabela4[[#All],[Status]],"Keyuser - Concluído ")</f>
        <v>7</v>
      </c>
      <c r="S165" t="str">
        <f>IF(Tabela4[[#This Row],[Tarefas por Cenário]]-Tabela4[[#This Row],[Tarefas Concluídas]]&gt;0,"Não","Sim")</f>
        <v>Não</v>
      </c>
      <c r="T165">
        <f>COUNTIFS(Tabela4[[#All],[Cenário]],Tabela4[[#This Row],[Cenário]],Tabela4[[#All],[Status]],Tabela4[[#Headers],[Elo - Em correção ]])</f>
        <v>0</v>
      </c>
      <c r="U165">
        <f>COUNTIFS(Tabela4[[#All],[Cenário]],Tabela4[[#This Row],[Cenário]],Tabela4[[#All],[Status]],Tabela4[[#Headers],[Keyuser - Aguardando tarefa precedente]])</f>
        <v>0</v>
      </c>
      <c r="V165">
        <f>COUNTIFS(Tabela4[[#All],[Cenário]],Tabela4[[#This Row],[Cenário]],Tabela4[[#All],[Status]],Tabela4[[#Headers],[Não liberado  para testes]])</f>
        <v>1</v>
      </c>
      <c r="W165" t="str">
        <f>IF(Tabela4[[#This Row],[Elo - Em correção ]]&gt;0,"Sim","Não")</f>
        <v>Não</v>
      </c>
      <c r="X165" t="str">
        <f>IF(Tabela4[[#This Row],[Keyuser - Aguardando tarefa precedente]]&gt;0,"Sim","Não")</f>
        <v>Não</v>
      </c>
      <c r="Y165" t="str">
        <f>IF(Tabela4[[#This Row],[Não liberado  para testes]]&gt;0,"Sim","Não")</f>
        <v>Sim</v>
      </c>
      <c r="Z165" t="str">
        <f ca="1">IF(Tabela4[[#This Row],[Status]]="Keyuser - Pendente",NETWORKDAYS(Tabela4[[#This Row],[Dt Inicial]],TODAY()),"")</f>
        <v/>
      </c>
      <c r="AA165" t="b">
        <f>AND(Tabela4[[#This Row],[Status]]="Keyuser - Aguardando tarefa precedente",K164="Keyuser - Concluído ")</f>
        <v>0</v>
      </c>
    </row>
    <row r="166" spans="1:27" x14ac:dyDescent="0.25">
      <c r="A166" t="str">
        <f>"OUT-"&amp;IFERROR(MID(Tabela4[[#This Row],[Cenário]],SEARCH("(",Tabela4[[#This Row],[Cenário]])+1,SEARCH(")",Tabela4[[#This Row],[Cenário]])-SEARCH("(",Tabela4[[#This Row],[Cenário]])-1),"")&amp;"_"&amp;ROW()</f>
        <v>OUT-OPLA_166</v>
      </c>
      <c r="B166" t="s">
        <v>374</v>
      </c>
      <c r="C166" t="s">
        <v>450</v>
      </c>
      <c r="D166" t="s">
        <v>286</v>
      </c>
      <c r="E166">
        <v>7</v>
      </c>
      <c r="F166" t="s">
        <v>286</v>
      </c>
      <c r="G166" t="s">
        <v>287</v>
      </c>
      <c r="H166" s="13"/>
      <c r="I166" s="13"/>
      <c r="J166" s="13"/>
      <c r="K166" s="9" t="s">
        <v>262</v>
      </c>
      <c r="N166" s="78"/>
      <c r="O166" s="31"/>
      <c r="P166" s="9"/>
      <c r="Q166" s="9">
        <f>COUNTIF(Tabela4[[#All],[Cenário]],Tabela4[[#This Row],[Cenário]])</f>
        <v>8</v>
      </c>
      <c r="R166">
        <f>COUNTIFS(Tabela4[[#All],[Cenário]],Tabela4[[#This Row],[Cenário]],Tabela4[[#All],[Status]],"Keyuser - Concluído ")</f>
        <v>7</v>
      </c>
      <c r="S166" t="str">
        <f>IF(Tabela4[[#This Row],[Tarefas por Cenário]]-Tabela4[[#This Row],[Tarefas Concluídas]]&gt;0,"Não","Sim")</f>
        <v>Não</v>
      </c>
      <c r="T166">
        <f>COUNTIFS(Tabela4[[#All],[Cenário]],Tabela4[[#This Row],[Cenário]],Tabela4[[#All],[Status]],Tabela4[[#Headers],[Elo - Em correção ]])</f>
        <v>0</v>
      </c>
      <c r="U166">
        <f>COUNTIFS(Tabela4[[#All],[Cenário]],Tabela4[[#This Row],[Cenário]],Tabela4[[#All],[Status]],Tabela4[[#Headers],[Keyuser - Aguardando tarefa precedente]])</f>
        <v>0</v>
      </c>
      <c r="V166">
        <f>COUNTIFS(Tabela4[[#All],[Cenário]],Tabela4[[#This Row],[Cenário]],Tabela4[[#All],[Status]],Tabela4[[#Headers],[Não liberado  para testes]])</f>
        <v>1</v>
      </c>
      <c r="W166" t="str">
        <f>IF(Tabela4[[#This Row],[Elo - Em correção ]]&gt;0,"Sim","Não")</f>
        <v>Não</v>
      </c>
      <c r="X166" t="str">
        <f>IF(Tabela4[[#This Row],[Keyuser - Aguardando tarefa precedente]]&gt;0,"Sim","Não")</f>
        <v>Não</v>
      </c>
      <c r="Y166" t="str">
        <f>IF(Tabela4[[#This Row],[Não liberado  para testes]]&gt;0,"Sim","Não")</f>
        <v>Sim</v>
      </c>
      <c r="Z166" t="str">
        <f ca="1">IF(Tabela4[[#This Row],[Status]]="Keyuser - Pendente",NETWORKDAYS(Tabela4[[#This Row],[Dt Inicial]],TODAY()),"")</f>
        <v/>
      </c>
      <c r="AA166" t="b">
        <f>AND(Tabela4[[#This Row],[Status]]="Keyuser - Aguardando tarefa precedente",K165="Keyuser - Concluído ")</f>
        <v>0</v>
      </c>
    </row>
    <row r="167" spans="1:27" x14ac:dyDescent="0.25">
      <c r="A167" t="str">
        <f>"OUT-"&amp;IFERROR(MID(Tabela4[[#This Row],[Cenário]],SEARCH("(",Tabela4[[#This Row],[Cenário]])+1,SEARCH(")",Tabela4[[#This Row],[Cenário]])-SEARCH("(",Tabela4[[#This Row],[Cenário]])-1),"")&amp;"_"&amp;ROW()</f>
        <v>OUT-OPLA_167</v>
      </c>
      <c r="B167" t="s">
        <v>358</v>
      </c>
      <c r="C167" t="s">
        <v>450</v>
      </c>
      <c r="D167" t="s">
        <v>375</v>
      </c>
      <c r="E167">
        <v>8</v>
      </c>
      <c r="F167" t="s">
        <v>375</v>
      </c>
      <c r="G167" t="s">
        <v>367</v>
      </c>
      <c r="H167" s="49" t="s">
        <v>453</v>
      </c>
      <c r="I167" s="13" t="s">
        <v>451</v>
      </c>
      <c r="J167" s="13"/>
      <c r="K167" s="9" t="s">
        <v>271</v>
      </c>
      <c r="L167" s="78">
        <v>45953</v>
      </c>
      <c r="N167" s="78">
        <v>45953</v>
      </c>
      <c r="O167" s="31"/>
      <c r="P167" s="9"/>
      <c r="Q167" s="9">
        <f>COUNTIF(Tabela4[[#All],[Cenário]],Tabela4[[#This Row],[Cenário]])</f>
        <v>8</v>
      </c>
      <c r="R167">
        <f>COUNTIFS(Tabela4[[#All],[Cenário]],Tabela4[[#This Row],[Cenário]],Tabela4[[#All],[Status]],"Keyuser - Concluído ")</f>
        <v>7</v>
      </c>
      <c r="S167" t="str">
        <f>IF(Tabela4[[#This Row],[Tarefas por Cenário]]-Tabela4[[#This Row],[Tarefas Concluídas]]&gt;0,"Não","Sim")</f>
        <v>Não</v>
      </c>
      <c r="T167">
        <f>COUNTIFS(Tabela4[[#All],[Cenário]],Tabela4[[#This Row],[Cenário]],Tabela4[[#All],[Status]],Tabela4[[#Headers],[Elo - Em correção ]])</f>
        <v>0</v>
      </c>
      <c r="U167">
        <f>COUNTIFS(Tabela4[[#All],[Cenário]],Tabela4[[#This Row],[Cenário]],Tabela4[[#All],[Status]],Tabela4[[#Headers],[Keyuser - Aguardando tarefa precedente]])</f>
        <v>0</v>
      </c>
      <c r="V167">
        <f>COUNTIFS(Tabela4[[#All],[Cenário]],Tabela4[[#This Row],[Cenário]],Tabela4[[#All],[Status]],Tabela4[[#Headers],[Não liberado  para testes]])</f>
        <v>1</v>
      </c>
      <c r="W167" t="str">
        <f>IF(Tabela4[[#This Row],[Elo - Em correção ]]&gt;0,"Sim","Não")</f>
        <v>Não</v>
      </c>
      <c r="X167" t="str">
        <f>IF(Tabela4[[#This Row],[Keyuser - Aguardando tarefa precedente]]&gt;0,"Sim","Não")</f>
        <v>Não</v>
      </c>
      <c r="Y167" t="str">
        <f>IF(Tabela4[[#This Row],[Não liberado  para testes]]&gt;0,"Sim","Não")</f>
        <v>Sim</v>
      </c>
      <c r="Z167" t="str">
        <f ca="1">IF(Tabela4[[#This Row],[Status]]="Keyuser - Pendente",NETWORKDAYS(Tabela4[[#This Row],[Dt Inicial]],TODAY()),"")</f>
        <v/>
      </c>
      <c r="AA167" t="b">
        <f>AND(Tabela4[[#This Row],[Status]]="Keyuser - Aguardando tarefa precedente",K166="Keyuser - Concluído ")</f>
        <v>0</v>
      </c>
    </row>
    <row r="168" spans="1:27" x14ac:dyDescent="0.25">
      <c r="A168" t="str">
        <f>"OUT-"&amp;IFERROR(MID(Tabela4[[#This Row],[Cenário]],SEARCH("(",Tabela4[[#This Row],[Cenário]])+1,SEARCH(")",Tabela4[[#This Row],[Cenário]])-SEARCH("(",Tabela4[[#This Row],[Cenário]])-1),"")&amp;"_"&amp;ROW()</f>
        <v>OUT-OPLA_168</v>
      </c>
      <c r="B168" t="s">
        <v>358</v>
      </c>
      <c r="C168" t="s">
        <v>454</v>
      </c>
      <c r="D168" t="s">
        <v>360</v>
      </c>
      <c r="E168">
        <v>1</v>
      </c>
      <c r="F168" t="s">
        <v>360</v>
      </c>
      <c r="G168" t="s">
        <v>377</v>
      </c>
      <c r="H168" s="73">
        <v>60668359</v>
      </c>
      <c r="I168" s="13"/>
      <c r="J168" s="13"/>
      <c r="K168" s="9" t="s">
        <v>271</v>
      </c>
      <c r="L168" s="78">
        <v>45989</v>
      </c>
      <c r="N168" s="78">
        <v>45989</v>
      </c>
      <c r="O168" s="31"/>
      <c r="P168" s="9"/>
      <c r="Q168" s="9">
        <f>COUNTIF(Tabela4[[#All],[Cenário]],Tabela4[[#This Row],[Cenário]])</f>
        <v>6</v>
      </c>
      <c r="R168">
        <f>COUNTIFS(Tabela4[[#All],[Cenário]],Tabela4[[#This Row],[Cenário]],Tabela4[[#All],[Status]],"Keyuser - Concluído ")</f>
        <v>5</v>
      </c>
      <c r="S168" t="str">
        <f>IF(Tabela4[[#This Row],[Tarefas por Cenário]]-Tabela4[[#This Row],[Tarefas Concluídas]]&gt;0,"Não","Sim")</f>
        <v>Não</v>
      </c>
      <c r="T168">
        <f>COUNTIFS(Tabela4[[#All],[Cenário]],Tabela4[[#This Row],[Cenário]],Tabela4[[#All],[Status]],Tabela4[[#Headers],[Elo - Em correção ]])</f>
        <v>0</v>
      </c>
      <c r="U168">
        <f>COUNTIFS(Tabela4[[#All],[Cenário]],Tabela4[[#This Row],[Cenário]],Tabela4[[#All],[Status]],Tabela4[[#Headers],[Keyuser - Aguardando tarefa precedente]])</f>
        <v>0</v>
      </c>
      <c r="V168">
        <f>COUNTIFS(Tabela4[[#All],[Cenário]],Tabela4[[#This Row],[Cenário]],Tabela4[[#All],[Status]],Tabela4[[#Headers],[Não liberado  para testes]])</f>
        <v>1</v>
      </c>
      <c r="W168" t="str">
        <f>IF(Tabela4[[#This Row],[Elo - Em correção ]]&gt;0,"Sim","Não")</f>
        <v>Não</v>
      </c>
      <c r="X168" t="str">
        <f>IF(Tabela4[[#This Row],[Keyuser - Aguardando tarefa precedente]]&gt;0,"Sim","Não")</f>
        <v>Não</v>
      </c>
      <c r="Y168" t="str">
        <f>IF(Tabela4[[#This Row],[Não liberado  para testes]]&gt;0,"Sim","Não")</f>
        <v>Sim</v>
      </c>
      <c r="Z168" t="str">
        <f ca="1">IF(Tabela4[[#This Row],[Status]]="Keyuser - Pendente",NETWORKDAYS(Tabela4[[#This Row],[Dt Inicial]],TODAY()),"")</f>
        <v/>
      </c>
      <c r="AA168" t="b">
        <f>AND(Tabela4[[#This Row],[Status]]="Keyuser - Aguardando tarefa precedente",K167="Keyuser - Concluído ")</f>
        <v>0</v>
      </c>
    </row>
    <row r="169" spans="1:27" x14ac:dyDescent="0.25">
      <c r="A169" t="str">
        <f>"OUT-"&amp;IFERROR(MID(Tabela4[[#This Row],[Cenário]],SEARCH("(",Tabela4[[#This Row],[Cenário]])+1,SEARCH(")",Tabela4[[#This Row],[Cenário]])-SEARCH("(",Tabela4[[#This Row],[Cenário]])-1),"")&amp;"_"&amp;ROW()</f>
        <v>OUT-OPLA_169</v>
      </c>
      <c r="B169" t="s">
        <v>358</v>
      </c>
      <c r="C169" t="s">
        <v>454</v>
      </c>
      <c r="D169" t="s">
        <v>365</v>
      </c>
      <c r="E169">
        <v>2</v>
      </c>
      <c r="F169" t="s">
        <v>365</v>
      </c>
      <c r="G169" t="s">
        <v>310</v>
      </c>
      <c r="H169" s="73">
        <v>60668359</v>
      </c>
      <c r="I169" s="13"/>
      <c r="J169" s="13"/>
      <c r="K169" s="9" t="s">
        <v>271</v>
      </c>
      <c r="L169" s="78">
        <v>45989</v>
      </c>
      <c r="N169" s="78">
        <v>45989</v>
      </c>
      <c r="O169" s="31"/>
      <c r="P169" s="9"/>
      <c r="Q169" s="9">
        <f>COUNTIF(Tabela4[[#All],[Cenário]],Tabela4[[#This Row],[Cenário]])</f>
        <v>6</v>
      </c>
      <c r="R169">
        <f>COUNTIFS(Tabela4[[#All],[Cenário]],Tabela4[[#This Row],[Cenário]],Tabela4[[#All],[Status]],"Keyuser - Concluído ")</f>
        <v>5</v>
      </c>
      <c r="S169" t="str">
        <f>IF(Tabela4[[#This Row],[Tarefas por Cenário]]-Tabela4[[#This Row],[Tarefas Concluídas]]&gt;0,"Não","Sim")</f>
        <v>Não</v>
      </c>
      <c r="T169">
        <f>COUNTIFS(Tabela4[[#All],[Cenário]],Tabela4[[#This Row],[Cenário]],Tabela4[[#All],[Status]],Tabela4[[#Headers],[Elo - Em correção ]])</f>
        <v>0</v>
      </c>
      <c r="U169">
        <f>COUNTIFS(Tabela4[[#All],[Cenário]],Tabela4[[#This Row],[Cenário]],Tabela4[[#All],[Status]],Tabela4[[#Headers],[Keyuser - Aguardando tarefa precedente]])</f>
        <v>0</v>
      </c>
      <c r="V169">
        <f>COUNTIFS(Tabela4[[#All],[Cenário]],Tabela4[[#This Row],[Cenário]],Tabela4[[#All],[Status]],Tabela4[[#Headers],[Não liberado  para testes]])</f>
        <v>1</v>
      </c>
      <c r="W169" t="str">
        <f>IF(Tabela4[[#This Row],[Elo - Em correção ]]&gt;0,"Sim","Não")</f>
        <v>Não</v>
      </c>
      <c r="X169" t="str">
        <f>IF(Tabela4[[#This Row],[Keyuser - Aguardando tarefa precedente]]&gt;0,"Sim","Não")</f>
        <v>Não</v>
      </c>
      <c r="Y169" t="str">
        <f>IF(Tabela4[[#This Row],[Não liberado  para testes]]&gt;0,"Sim","Não")</f>
        <v>Sim</v>
      </c>
      <c r="Z169" t="str">
        <f ca="1">IF(Tabela4[[#This Row],[Status]]="Keyuser - Pendente",NETWORKDAYS(Tabela4[[#This Row],[Dt Inicial]],TODAY()),"")</f>
        <v/>
      </c>
      <c r="AA169" t="b">
        <f>AND(Tabela4[[#This Row],[Status]]="Keyuser - Aguardando tarefa precedente",K168="Keyuser - Concluído ")</f>
        <v>0</v>
      </c>
    </row>
    <row r="170" spans="1:27" x14ac:dyDescent="0.25">
      <c r="A170" t="str">
        <f>"OUT-"&amp;IFERROR(MID(Tabela4[[#This Row],[Cenário]],SEARCH("(",Tabela4[[#This Row],[Cenário]])+1,SEARCH(")",Tabela4[[#This Row],[Cenário]])-SEARCH("(",Tabela4[[#This Row],[Cenário]])-1),"")&amp;"_"&amp;ROW()</f>
        <v>OUT-OPLA_170</v>
      </c>
      <c r="B170" t="s">
        <v>358</v>
      </c>
      <c r="C170" t="s">
        <v>454</v>
      </c>
      <c r="D170" t="s">
        <v>368</v>
      </c>
      <c r="E170">
        <v>3</v>
      </c>
      <c r="F170" t="s">
        <v>368</v>
      </c>
      <c r="G170" t="s">
        <v>377</v>
      </c>
      <c r="H170" s="13" t="s">
        <v>455</v>
      </c>
      <c r="I170" s="13"/>
      <c r="J170" s="13"/>
      <c r="K170" s="9" t="s">
        <v>271</v>
      </c>
      <c r="L170" s="78">
        <v>45989</v>
      </c>
      <c r="N170" s="78">
        <v>45989</v>
      </c>
      <c r="O170" s="31" t="s">
        <v>456</v>
      </c>
      <c r="P170" s="9"/>
      <c r="Q170" s="9">
        <f>COUNTIF(Tabela4[[#All],[Cenário]],Tabela4[[#This Row],[Cenário]])</f>
        <v>6</v>
      </c>
      <c r="R170">
        <f>COUNTIFS(Tabela4[[#All],[Cenário]],Tabela4[[#This Row],[Cenário]],Tabela4[[#All],[Status]],"Keyuser - Concluído ")</f>
        <v>5</v>
      </c>
      <c r="S170" t="str">
        <f>IF(Tabela4[[#This Row],[Tarefas por Cenário]]-Tabela4[[#This Row],[Tarefas Concluídas]]&gt;0,"Não","Sim")</f>
        <v>Não</v>
      </c>
      <c r="T170">
        <f>COUNTIFS(Tabela4[[#All],[Cenário]],Tabela4[[#This Row],[Cenário]],Tabela4[[#All],[Status]],Tabela4[[#Headers],[Elo - Em correção ]])</f>
        <v>0</v>
      </c>
      <c r="U170">
        <f>COUNTIFS(Tabela4[[#All],[Cenário]],Tabela4[[#This Row],[Cenário]],Tabela4[[#All],[Status]],Tabela4[[#Headers],[Keyuser - Aguardando tarefa precedente]])</f>
        <v>0</v>
      </c>
      <c r="V170">
        <f>COUNTIFS(Tabela4[[#All],[Cenário]],Tabela4[[#This Row],[Cenário]],Tabela4[[#All],[Status]],Tabela4[[#Headers],[Não liberado  para testes]])</f>
        <v>1</v>
      </c>
      <c r="W170" t="str">
        <f>IF(Tabela4[[#This Row],[Elo - Em correção ]]&gt;0,"Sim","Não")</f>
        <v>Não</v>
      </c>
      <c r="X170" t="str">
        <f>IF(Tabela4[[#This Row],[Keyuser - Aguardando tarefa precedente]]&gt;0,"Sim","Não")</f>
        <v>Não</v>
      </c>
      <c r="Y170" t="str">
        <f>IF(Tabela4[[#This Row],[Não liberado  para testes]]&gt;0,"Sim","Não")</f>
        <v>Sim</v>
      </c>
      <c r="Z170" t="str">
        <f ca="1">IF(Tabela4[[#This Row],[Status]]="Keyuser - Pendente",NETWORKDAYS(Tabela4[[#This Row],[Dt Inicial]],TODAY()),"")</f>
        <v/>
      </c>
      <c r="AA170" t="b">
        <f>AND(Tabela4[[#This Row],[Status]]="Keyuser - Aguardando tarefa precedente",K169="Keyuser - Concluído ")</f>
        <v>0</v>
      </c>
    </row>
    <row r="171" spans="1:27" x14ac:dyDescent="0.25">
      <c r="A171" t="str">
        <f>"OUT-"&amp;IFERROR(MID(Tabela4[[#This Row],[Cenário]],SEARCH("(",Tabela4[[#This Row],[Cenário]])+1,SEARCH(")",Tabela4[[#This Row],[Cenário]])-SEARCH("(",Tabela4[[#This Row],[Cenário]])-1),"")&amp;"_"&amp;ROW()</f>
        <v>OUT-OPLA_171</v>
      </c>
      <c r="B171" t="s">
        <v>358</v>
      </c>
      <c r="C171" t="s">
        <v>454</v>
      </c>
      <c r="D171" t="s">
        <v>371</v>
      </c>
      <c r="E171">
        <v>4</v>
      </c>
      <c r="F171" t="s">
        <v>372</v>
      </c>
      <c r="G171" t="s">
        <v>287</v>
      </c>
      <c r="H171" s="13" t="s">
        <v>455</v>
      </c>
      <c r="I171" s="13"/>
      <c r="J171" s="13"/>
      <c r="K171" s="9" t="s">
        <v>271</v>
      </c>
      <c r="L171" s="78">
        <v>45994</v>
      </c>
      <c r="N171" s="78">
        <v>45994</v>
      </c>
      <c r="O171" s="31"/>
      <c r="P171" s="9"/>
      <c r="Q171" s="9">
        <f>COUNTIF(Tabela4[[#All],[Cenário]],Tabela4[[#This Row],[Cenário]])</f>
        <v>6</v>
      </c>
      <c r="R171">
        <f>COUNTIFS(Tabela4[[#All],[Cenário]],Tabela4[[#This Row],[Cenário]],Tabela4[[#All],[Status]],"Keyuser - Concluído ")</f>
        <v>5</v>
      </c>
      <c r="S171" t="str">
        <f>IF(Tabela4[[#This Row],[Tarefas por Cenário]]-Tabela4[[#This Row],[Tarefas Concluídas]]&gt;0,"Não","Sim")</f>
        <v>Não</v>
      </c>
      <c r="T171">
        <f>COUNTIFS(Tabela4[[#All],[Cenário]],Tabela4[[#This Row],[Cenário]],Tabela4[[#All],[Status]],Tabela4[[#Headers],[Elo - Em correção ]])</f>
        <v>0</v>
      </c>
      <c r="U171">
        <f>COUNTIFS(Tabela4[[#All],[Cenário]],Tabela4[[#This Row],[Cenário]],Tabela4[[#All],[Status]],Tabela4[[#Headers],[Keyuser - Aguardando tarefa precedente]])</f>
        <v>0</v>
      </c>
      <c r="V171">
        <f>COUNTIFS(Tabela4[[#All],[Cenário]],Tabela4[[#This Row],[Cenário]],Tabela4[[#All],[Status]],Tabela4[[#Headers],[Não liberado  para testes]])</f>
        <v>1</v>
      </c>
      <c r="W171" t="str">
        <f>IF(Tabela4[[#This Row],[Elo - Em correção ]]&gt;0,"Sim","Não")</f>
        <v>Não</v>
      </c>
      <c r="X171" t="str">
        <f>IF(Tabela4[[#This Row],[Keyuser - Aguardando tarefa precedente]]&gt;0,"Sim","Não")</f>
        <v>Não</v>
      </c>
      <c r="Y171" t="str">
        <f>IF(Tabela4[[#This Row],[Não liberado  para testes]]&gt;0,"Sim","Não")</f>
        <v>Sim</v>
      </c>
      <c r="Z171" t="str">
        <f ca="1">IF(Tabela4[[#This Row],[Status]]="Keyuser - Pendente",NETWORKDAYS(Tabela4[[#This Row],[Dt Inicial]],TODAY()),"")</f>
        <v/>
      </c>
      <c r="AA171" t="b">
        <f>AND(Tabela4[[#This Row],[Status]]="Keyuser - Aguardando tarefa precedente",K170="Keyuser - Concluído ")</f>
        <v>0</v>
      </c>
    </row>
    <row r="172" spans="1:27" x14ac:dyDescent="0.25">
      <c r="A172" t="str">
        <f>"OUT-"&amp;IFERROR(MID(Tabela4[[#This Row],[Cenário]],SEARCH("(",Tabela4[[#This Row],[Cenário]])+1,SEARCH(")",Tabela4[[#This Row],[Cenário]])-SEARCH("(",Tabela4[[#This Row],[Cenário]])-1),"")&amp;"_"&amp;ROW()</f>
        <v>OUT-OPLA_172</v>
      </c>
      <c r="B172" t="s">
        <v>358</v>
      </c>
      <c r="C172" t="s">
        <v>454</v>
      </c>
      <c r="D172" t="s">
        <v>373</v>
      </c>
      <c r="E172">
        <v>5</v>
      </c>
      <c r="F172" t="s">
        <v>373</v>
      </c>
      <c r="G172" t="s">
        <v>283</v>
      </c>
      <c r="H172" s="13" t="s">
        <v>455</v>
      </c>
      <c r="I172" s="13"/>
      <c r="J172" s="13"/>
      <c r="K172" s="9" t="s">
        <v>271</v>
      </c>
      <c r="L172" s="78">
        <v>45995</v>
      </c>
      <c r="N172" s="78">
        <v>45995</v>
      </c>
      <c r="O172" s="31"/>
      <c r="P172" s="9"/>
      <c r="Q172" s="9">
        <f>COUNTIF(Tabela4[[#All],[Cenário]],Tabela4[[#This Row],[Cenário]])</f>
        <v>6</v>
      </c>
      <c r="R172">
        <f>COUNTIFS(Tabela4[[#All],[Cenário]],Tabela4[[#This Row],[Cenário]],Tabela4[[#All],[Status]],"Keyuser - Concluído ")</f>
        <v>5</v>
      </c>
      <c r="S172" t="str">
        <f>IF(Tabela4[[#This Row],[Tarefas por Cenário]]-Tabela4[[#This Row],[Tarefas Concluídas]]&gt;0,"Não","Sim")</f>
        <v>Não</v>
      </c>
      <c r="T172">
        <f>COUNTIFS(Tabela4[[#All],[Cenário]],Tabela4[[#This Row],[Cenário]],Tabela4[[#All],[Status]],Tabela4[[#Headers],[Elo - Em correção ]])</f>
        <v>0</v>
      </c>
      <c r="U172">
        <f>COUNTIFS(Tabela4[[#All],[Cenário]],Tabela4[[#This Row],[Cenário]],Tabela4[[#All],[Status]],Tabela4[[#Headers],[Keyuser - Aguardando tarefa precedente]])</f>
        <v>0</v>
      </c>
      <c r="V172">
        <f>COUNTIFS(Tabela4[[#All],[Cenário]],Tabela4[[#This Row],[Cenário]],Tabela4[[#All],[Status]],Tabela4[[#Headers],[Não liberado  para testes]])</f>
        <v>1</v>
      </c>
      <c r="W172" t="str">
        <f>IF(Tabela4[[#This Row],[Elo - Em correção ]]&gt;0,"Sim","Não")</f>
        <v>Não</v>
      </c>
      <c r="X172" t="str">
        <f>IF(Tabela4[[#This Row],[Keyuser - Aguardando tarefa precedente]]&gt;0,"Sim","Não")</f>
        <v>Não</v>
      </c>
      <c r="Y172" t="str">
        <f>IF(Tabela4[[#This Row],[Não liberado  para testes]]&gt;0,"Sim","Não")</f>
        <v>Sim</v>
      </c>
      <c r="Z172" t="str">
        <f ca="1">IF(Tabela4[[#This Row],[Status]]="Keyuser - Pendente",NETWORKDAYS(Tabela4[[#This Row],[Dt Inicial]],TODAY()),"")</f>
        <v/>
      </c>
      <c r="AA172" t="b">
        <f>AND(Tabela4[[#This Row],[Status]]="Keyuser - Aguardando tarefa precedente",K171="Keyuser - Concluído ")</f>
        <v>0</v>
      </c>
    </row>
    <row r="173" spans="1:27" x14ac:dyDescent="0.25">
      <c r="A173" t="str">
        <f>"OUT-"&amp;IFERROR(MID(Tabela4[[#This Row],[Cenário]],SEARCH("(",Tabela4[[#This Row],[Cenário]])+1,SEARCH(")",Tabela4[[#This Row],[Cenário]])-SEARCH("(",Tabela4[[#This Row],[Cenário]])-1),"")&amp;"_"&amp;ROW()</f>
        <v>OUT-OPLA_173</v>
      </c>
      <c r="B173" t="s">
        <v>374</v>
      </c>
      <c r="C173" t="s">
        <v>454</v>
      </c>
      <c r="D173" t="s">
        <v>286</v>
      </c>
      <c r="E173">
        <v>6</v>
      </c>
      <c r="F173" t="s">
        <v>286</v>
      </c>
      <c r="G173" t="s">
        <v>287</v>
      </c>
      <c r="H173" s="13"/>
      <c r="I173" s="13"/>
      <c r="J173" s="13"/>
      <c r="K173" s="9" t="s">
        <v>262</v>
      </c>
      <c r="N173" s="78"/>
      <c r="O173" s="31"/>
      <c r="P173" s="9"/>
      <c r="Q173" s="9">
        <f>COUNTIF(Tabela4[[#All],[Cenário]],Tabela4[[#This Row],[Cenário]])</f>
        <v>6</v>
      </c>
      <c r="R173">
        <f>COUNTIFS(Tabela4[[#All],[Cenário]],Tabela4[[#This Row],[Cenário]],Tabela4[[#All],[Status]],"Keyuser - Concluído ")</f>
        <v>5</v>
      </c>
      <c r="S173" t="str">
        <f>IF(Tabela4[[#This Row],[Tarefas por Cenário]]-Tabela4[[#This Row],[Tarefas Concluídas]]&gt;0,"Não","Sim")</f>
        <v>Não</v>
      </c>
      <c r="T173">
        <f>COUNTIFS(Tabela4[[#All],[Cenário]],Tabela4[[#This Row],[Cenário]],Tabela4[[#All],[Status]],Tabela4[[#Headers],[Elo - Em correção ]])</f>
        <v>0</v>
      </c>
      <c r="U173">
        <f>COUNTIFS(Tabela4[[#All],[Cenário]],Tabela4[[#This Row],[Cenário]],Tabela4[[#All],[Status]],Tabela4[[#Headers],[Keyuser - Aguardando tarefa precedente]])</f>
        <v>0</v>
      </c>
      <c r="V173">
        <f>COUNTIFS(Tabela4[[#All],[Cenário]],Tabela4[[#This Row],[Cenário]],Tabela4[[#All],[Status]],Tabela4[[#Headers],[Não liberado  para testes]])</f>
        <v>1</v>
      </c>
      <c r="W173" t="str">
        <f>IF(Tabela4[[#This Row],[Elo - Em correção ]]&gt;0,"Sim","Não")</f>
        <v>Não</v>
      </c>
      <c r="X173" t="str">
        <f>IF(Tabela4[[#This Row],[Keyuser - Aguardando tarefa precedente]]&gt;0,"Sim","Não")</f>
        <v>Não</v>
      </c>
      <c r="Y173" t="str">
        <f>IF(Tabela4[[#This Row],[Não liberado  para testes]]&gt;0,"Sim","Não")</f>
        <v>Sim</v>
      </c>
      <c r="Z173" t="str">
        <f ca="1">IF(Tabela4[[#This Row],[Status]]="Keyuser - Pendente",NETWORKDAYS(Tabela4[[#This Row],[Dt Inicial]],TODAY()),"")</f>
        <v/>
      </c>
      <c r="AA173" t="b">
        <f>AND(Tabela4[[#This Row],[Status]]="Keyuser - Aguardando tarefa precedente",K172="Keyuser - Concluído ")</f>
        <v>0</v>
      </c>
    </row>
    <row r="174" spans="1:27" x14ac:dyDescent="0.25">
      <c r="A174" t="str">
        <f>"OUT-"&amp;IFERROR(MID(Tabela4[[#This Row],[Cenário]],SEARCH("(",Tabela4[[#This Row],[Cenário]])+1,SEARCH(")",Tabela4[[#This Row],[Cenário]])-SEARCH("(",Tabela4[[#This Row],[Cenário]])-1),"")&amp;"_"&amp;ROW()</f>
        <v>OUT-OPLA_174</v>
      </c>
      <c r="B174" t="s">
        <v>358</v>
      </c>
      <c r="C174" t="s">
        <v>457</v>
      </c>
      <c r="D174" t="s">
        <v>360</v>
      </c>
      <c r="E174">
        <v>1</v>
      </c>
      <c r="F174" t="s">
        <v>360</v>
      </c>
      <c r="G174" t="s">
        <v>377</v>
      </c>
      <c r="H174" s="13">
        <v>60668367</v>
      </c>
      <c r="I174" s="13"/>
      <c r="J174" s="13"/>
      <c r="K174" s="9" t="s">
        <v>271</v>
      </c>
      <c r="L174" s="78">
        <v>45996</v>
      </c>
      <c r="N174" s="78">
        <v>45996</v>
      </c>
      <c r="O174" s="31"/>
      <c r="P174" s="9"/>
      <c r="Q174" s="9">
        <f>COUNTIF(Tabela4[[#All],[Cenário]],Tabela4[[#This Row],[Cenário]])</f>
        <v>6</v>
      </c>
      <c r="R174">
        <f>COUNTIFS(Tabela4[[#All],[Cenário]],Tabela4[[#This Row],[Cenário]],Tabela4[[#All],[Status]],"Keyuser - Concluído ")</f>
        <v>5</v>
      </c>
      <c r="S174" t="str">
        <f>IF(Tabela4[[#This Row],[Tarefas por Cenário]]-Tabela4[[#This Row],[Tarefas Concluídas]]&gt;0,"Não","Sim")</f>
        <v>Não</v>
      </c>
      <c r="T174">
        <f>COUNTIFS(Tabela4[[#All],[Cenário]],Tabela4[[#This Row],[Cenário]],Tabela4[[#All],[Status]],Tabela4[[#Headers],[Elo - Em correção ]])</f>
        <v>0</v>
      </c>
      <c r="U174">
        <f>COUNTIFS(Tabela4[[#All],[Cenário]],Tabela4[[#This Row],[Cenário]],Tabela4[[#All],[Status]],Tabela4[[#Headers],[Keyuser - Aguardando tarefa precedente]])</f>
        <v>0</v>
      </c>
      <c r="V174">
        <f>COUNTIFS(Tabela4[[#All],[Cenário]],Tabela4[[#This Row],[Cenário]],Tabela4[[#All],[Status]],Tabela4[[#Headers],[Não liberado  para testes]])</f>
        <v>1</v>
      </c>
      <c r="W174" t="str">
        <f>IF(Tabela4[[#This Row],[Elo - Em correção ]]&gt;0,"Sim","Não")</f>
        <v>Não</v>
      </c>
      <c r="X174" t="str">
        <f>IF(Tabela4[[#This Row],[Keyuser - Aguardando tarefa precedente]]&gt;0,"Sim","Não")</f>
        <v>Não</v>
      </c>
      <c r="Y174" t="str">
        <f>IF(Tabela4[[#This Row],[Não liberado  para testes]]&gt;0,"Sim","Não")</f>
        <v>Sim</v>
      </c>
      <c r="Z174" t="str">
        <f ca="1">IF(Tabela4[[#This Row],[Status]]="Keyuser - Pendente",NETWORKDAYS(Tabela4[[#This Row],[Dt Inicial]],TODAY()),"")</f>
        <v/>
      </c>
      <c r="AA174" t="b">
        <f>AND(Tabela4[[#This Row],[Status]]="Keyuser - Aguardando tarefa precedente",K173="Keyuser - Concluído ")</f>
        <v>0</v>
      </c>
    </row>
    <row r="175" spans="1:27" x14ac:dyDescent="0.25">
      <c r="A175" t="str">
        <f>"OUT-"&amp;IFERROR(MID(Tabela4[[#This Row],[Cenário]],SEARCH("(",Tabela4[[#This Row],[Cenário]])+1,SEARCH(")",Tabela4[[#This Row],[Cenário]])-SEARCH("(",Tabela4[[#This Row],[Cenário]])-1),"")&amp;"_"&amp;ROW()</f>
        <v>OUT-OPLA_175</v>
      </c>
      <c r="B175" t="s">
        <v>358</v>
      </c>
      <c r="C175" t="s">
        <v>457</v>
      </c>
      <c r="D175" t="s">
        <v>365</v>
      </c>
      <c r="E175">
        <v>2</v>
      </c>
      <c r="F175" t="s">
        <v>365</v>
      </c>
      <c r="G175" t="s">
        <v>310</v>
      </c>
      <c r="H175" s="13">
        <v>60668367</v>
      </c>
      <c r="I175" s="13"/>
      <c r="J175" s="13"/>
      <c r="K175" s="9" t="s">
        <v>271</v>
      </c>
      <c r="L175" s="78">
        <v>45996</v>
      </c>
      <c r="N175" s="78">
        <v>45996</v>
      </c>
      <c r="O175" s="31"/>
      <c r="P175" s="9"/>
      <c r="Q175" s="9">
        <f>COUNTIF(Tabela4[[#All],[Cenário]],Tabela4[[#This Row],[Cenário]])</f>
        <v>6</v>
      </c>
      <c r="R175">
        <f>COUNTIFS(Tabela4[[#All],[Cenário]],Tabela4[[#This Row],[Cenário]],Tabela4[[#All],[Status]],"Keyuser - Concluído ")</f>
        <v>5</v>
      </c>
      <c r="S175" t="str">
        <f>IF(Tabela4[[#This Row],[Tarefas por Cenário]]-Tabela4[[#This Row],[Tarefas Concluídas]]&gt;0,"Não","Sim")</f>
        <v>Não</v>
      </c>
      <c r="T175">
        <f>COUNTIFS(Tabela4[[#All],[Cenário]],Tabela4[[#This Row],[Cenário]],Tabela4[[#All],[Status]],Tabela4[[#Headers],[Elo - Em correção ]])</f>
        <v>0</v>
      </c>
      <c r="U175">
        <f>COUNTIFS(Tabela4[[#All],[Cenário]],Tabela4[[#This Row],[Cenário]],Tabela4[[#All],[Status]],Tabela4[[#Headers],[Keyuser - Aguardando tarefa precedente]])</f>
        <v>0</v>
      </c>
      <c r="V175">
        <f>COUNTIFS(Tabela4[[#All],[Cenário]],Tabela4[[#This Row],[Cenário]],Tabela4[[#All],[Status]],Tabela4[[#Headers],[Não liberado  para testes]])</f>
        <v>1</v>
      </c>
      <c r="W175" t="str">
        <f>IF(Tabela4[[#This Row],[Elo - Em correção ]]&gt;0,"Sim","Não")</f>
        <v>Não</v>
      </c>
      <c r="X175" t="str">
        <f>IF(Tabela4[[#This Row],[Keyuser - Aguardando tarefa precedente]]&gt;0,"Sim","Não")</f>
        <v>Não</v>
      </c>
      <c r="Y175" t="str">
        <f>IF(Tabela4[[#This Row],[Não liberado  para testes]]&gt;0,"Sim","Não")</f>
        <v>Sim</v>
      </c>
      <c r="Z175" t="str">
        <f ca="1">IF(Tabela4[[#This Row],[Status]]="Keyuser - Pendente",NETWORKDAYS(Tabela4[[#This Row],[Dt Inicial]],TODAY()),"")</f>
        <v/>
      </c>
      <c r="AA175" t="b">
        <f>AND(Tabela4[[#This Row],[Status]]="Keyuser - Aguardando tarefa precedente",K174="Keyuser - Concluído ")</f>
        <v>0</v>
      </c>
    </row>
    <row r="176" spans="1:27" x14ac:dyDescent="0.25">
      <c r="A176" t="str">
        <f>"OUT-"&amp;IFERROR(MID(Tabela4[[#This Row],[Cenário]],SEARCH("(",Tabela4[[#This Row],[Cenário]])+1,SEARCH(")",Tabela4[[#This Row],[Cenário]])-SEARCH("(",Tabela4[[#This Row],[Cenário]])-1),"")&amp;"_"&amp;ROW()</f>
        <v>OUT-OPLA_176</v>
      </c>
      <c r="B176" t="s">
        <v>358</v>
      </c>
      <c r="C176" t="s">
        <v>457</v>
      </c>
      <c r="D176" t="s">
        <v>368</v>
      </c>
      <c r="E176">
        <v>3</v>
      </c>
      <c r="F176" t="s">
        <v>368</v>
      </c>
      <c r="G176" t="s">
        <v>377</v>
      </c>
      <c r="H176" s="13" t="s">
        <v>458</v>
      </c>
      <c r="I176" s="13"/>
      <c r="J176" s="13"/>
      <c r="K176" s="9" t="s">
        <v>271</v>
      </c>
      <c r="L176" s="78">
        <v>45996</v>
      </c>
      <c r="N176" s="78">
        <v>45996</v>
      </c>
      <c r="O176" s="31" t="s">
        <v>459</v>
      </c>
      <c r="P176" s="9"/>
      <c r="Q176" s="9">
        <f>COUNTIF(Tabela4[[#All],[Cenário]],Tabela4[[#This Row],[Cenário]])</f>
        <v>6</v>
      </c>
      <c r="R176">
        <f>COUNTIFS(Tabela4[[#All],[Cenário]],Tabela4[[#This Row],[Cenário]],Tabela4[[#All],[Status]],"Keyuser - Concluído ")</f>
        <v>5</v>
      </c>
      <c r="S176" t="str">
        <f>IF(Tabela4[[#This Row],[Tarefas por Cenário]]-Tabela4[[#This Row],[Tarefas Concluídas]]&gt;0,"Não","Sim")</f>
        <v>Não</v>
      </c>
      <c r="T176">
        <f>COUNTIFS(Tabela4[[#All],[Cenário]],Tabela4[[#This Row],[Cenário]],Tabela4[[#All],[Status]],Tabela4[[#Headers],[Elo - Em correção ]])</f>
        <v>0</v>
      </c>
      <c r="U176">
        <f>COUNTIFS(Tabela4[[#All],[Cenário]],Tabela4[[#This Row],[Cenário]],Tabela4[[#All],[Status]],Tabela4[[#Headers],[Keyuser - Aguardando tarefa precedente]])</f>
        <v>0</v>
      </c>
      <c r="V176">
        <f>COUNTIFS(Tabela4[[#All],[Cenário]],Tabela4[[#This Row],[Cenário]],Tabela4[[#All],[Status]],Tabela4[[#Headers],[Não liberado  para testes]])</f>
        <v>1</v>
      </c>
      <c r="W176" t="str">
        <f>IF(Tabela4[[#This Row],[Elo - Em correção ]]&gt;0,"Sim","Não")</f>
        <v>Não</v>
      </c>
      <c r="X176" t="str">
        <f>IF(Tabela4[[#This Row],[Keyuser - Aguardando tarefa precedente]]&gt;0,"Sim","Não")</f>
        <v>Não</v>
      </c>
      <c r="Y176" t="str">
        <f>IF(Tabela4[[#This Row],[Não liberado  para testes]]&gt;0,"Sim","Não")</f>
        <v>Sim</v>
      </c>
      <c r="Z176" t="str">
        <f ca="1">IF(Tabela4[[#This Row],[Status]]="Keyuser - Pendente",NETWORKDAYS(Tabela4[[#This Row],[Dt Inicial]],TODAY()),"")</f>
        <v/>
      </c>
      <c r="AA176" t="b">
        <f>AND(Tabela4[[#This Row],[Status]]="Keyuser - Aguardando tarefa precedente",K175="Keyuser - Concluído ")</f>
        <v>0</v>
      </c>
    </row>
    <row r="177" spans="1:27" x14ac:dyDescent="0.25">
      <c r="A177" t="str">
        <f>"OUT-"&amp;IFERROR(MID(Tabela4[[#This Row],[Cenário]],SEARCH("(",Tabela4[[#This Row],[Cenário]])+1,SEARCH(")",Tabela4[[#This Row],[Cenário]])-SEARCH("(",Tabela4[[#This Row],[Cenário]])-1),"")&amp;"_"&amp;ROW()</f>
        <v>OUT-OPLA_177</v>
      </c>
      <c r="B177" t="s">
        <v>358</v>
      </c>
      <c r="C177" t="s">
        <v>457</v>
      </c>
      <c r="D177" t="s">
        <v>371</v>
      </c>
      <c r="E177">
        <v>4</v>
      </c>
      <c r="F177" t="s">
        <v>372</v>
      </c>
      <c r="G177" t="s">
        <v>287</v>
      </c>
      <c r="H177" s="13" t="s">
        <v>458</v>
      </c>
      <c r="I177" s="13"/>
      <c r="J177" s="13"/>
      <c r="K177" s="9" t="s">
        <v>271</v>
      </c>
      <c r="L177" s="78">
        <v>45912</v>
      </c>
      <c r="N177" s="78">
        <v>45912</v>
      </c>
      <c r="O177" s="31"/>
      <c r="P177" s="9"/>
      <c r="Q177" s="9">
        <f>COUNTIF(Tabela4[[#All],[Cenário]],Tabela4[[#This Row],[Cenário]])</f>
        <v>6</v>
      </c>
      <c r="R177">
        <f>COUNTIFS(Tabela4[[#All],[Cenário]],Tabela4[[#This Row],[Cenário]],Tabela4[[#All],[Status]],"Keyuser - Concluído ")</f>
        <v>5</v>
      </c>
      <c r="S177" t="str">
        <f>IF(Tabela4[[#This Row],[Tarefas por Cenário]]-Tabela4[[#This Row],[Tarefas Concluídas]]&gt;0,"Não","Sim")</f>
        <v>Não</v>
      </c>
      <c r="T177">
        <f>COUNTIFS(Tabela4[[#All],[Cenário]],Tabela4[[#This Row],[Cenário]],Tabela4[[#All],[Status]],Tabela4[[#Headers],[Elo - Em correção ]])</f>
        <v>0</v>
      </c>
      <c r="U177">
        <f>COUNTIFS(Tabela4[[#All],[Cenário]],Tabela4[[#This Row],[Cenário]],Tabela4[[#All],[Status]],Tabela4[[#Headers],[Keyuser - Aguardando tarefa precedente]])</f>
        <v>0</v>
      </c>
      <c r="V177">
        <f>COUNTIFS(Tabela4[[#All],[Cenário]],Tabela4[[#This Row],[Cenário]],Tabela4[[#All],[Status]],Tabela4[[#Headers],[Não liberado  para testes]])</f>
        <v>1</v>
      </c>
      <c r="W177" t="str">
        <f>IF(Tabela4[[#This Row],[Elo - Em correção ]]&gt;0,"Sim","Não")</f>
        <v>Não</v>
      </c>
      <c r="X177" t="str">
        <f>IF(Tabela4[[#This Row],[Keyuser - Aguardando tarefa precedente]]&gt;0,"Sim","Não")</f>
        <v>Não</v>
      </c>
      <c r="Y177" t="str">
        <f>IF(Tabela4[[#This Row],[Não liberado  para testes]]&gt;0,"Sim","Não")</f>
        <v>Sim</v>
      </c>
      <c r="Z177" t="str">
        <f ca="1">IF(Tabela4[[#This Row],[Status]]="Keyuser - Pendente",NETWORKDAYS(Tabela4[[#This Row],[Dt Inicial]],TODAY()),"")</f>
        <v/>
      </c>
      <c r="AA177" t="b">
        <f>AND(Tabela4[[#This Row],[Status]]="Keyuser - Aguardando tarefa precedente",K176="Keyuser - Concluído ")</f>
        <v>0</v>
      </c>
    </row>
    <row r="178" spans="1:27" x14ac:dyDescent="0.25">
      <c r="A178" t="str">
        <f>"OUT-"&amp;IFERROR(MID(Tabela4[[#This Row],[Cenário]],SEARCH("(",Tabela4[[#This Row],[Cenário]])+1,SEARCH(")",Tabela4[[#This Row],[Cenário]])-SEARCH("(",Tabela4[[#This Row],[Cenário]])-1),"")&amp;"_"&amp;ROW()</f>
        <v>OUT-OPLA_178</v>
      </c>
      <c r="B178" t="s">
        <v>358</v>
      </c>
      <c r="C178" t="s">
        <v>457</v>
      </c>
      <c r="D178" t="s">
        <v>373</v>
      </c>
      <c r="E178">
        <v>5</v>
      </c>
      <c r="F178" t="s">
        <v>373</v>
      </c>
      <c r="G178" t="s">
        <v>283</v>
      </c>
      <c r="H178" s="13" t="s">
        <v>458</v>
      </c>
      <c r="I178" s="13"/>
      <c r="J178" s="13"/>
      <c r="K178" s="9" t="s">
        <v>271</v>
      </c>
      <c r="L178" s="78">
        <v>45912</v>
      </c>
      <c r="N178" s="78">
        <v>45912</v>
      </c>
      <c r="O178" s="31"/>
      <c r="P178" s="9"/>
      <c r="Q178" s="9">
        <f>COUNTIF(Tabela4[[#All],[Cenário]],Tabela4[[#This Row],[Cenário]])</f>
        <v>6</v>
      </c>
      <c r="R178">
        <f>COUNTIFS(Tabela4[[#All],[Cenário]],Tabela4[[#This Row],[Cenário]],Tabela4[[#All],[Status]],"Keyuser - Concluído ")</f>
        <v>5</v>
      </c>
      <c r="S178" t="str">
        <f>IF(Tabela4[[#This Row],[Tarefas por Cenário]]-Tabela4[[#This Row],[Tarefas Concluídas]]&gt;0,"Não","Sim")</f>
        <v>Não</v>
      </c>
      <c r="T178">
        <f>COUNTIFS(Tabela4[[#All],[Cenário]],Tabela4[[#This Row],[Cenário]],Tabela4[[#All],[Status]],Tabela4[[#Headers],[Elo - Em correção ]])</f>
        <v>0</v>
      </c>
      <c r="U178">
        <f>COUNTIFS(Tabela4[[#All],[Cenário]],Tabela4[[#This Row],[Cenário]],Tabela4[[#All],[Status]],Tabela4[[#Headers],[Keyuser - Aguardando tarefa precedente]])</f>
        <v>0</v>
      </c>
      <c r="V178">
        <f>COUNTIFS(Tabela4[[#All],[Cenário]],Tabela4[[#This Row],[Cenário]],Tabela4[[#All],[Status]],Tabela4[[#Headers],[Não liberado  para testes]])</f>
        <v>1</v>
      </c>
      <c r="W178" t="str">
        <f>IF(Tabela4[[#This Row],[Elo - Em correção ]]&gt;0,"Sim","Não")</f>
        <v>Não</v>
      </c>
      <c r="X178" t="str">
        <f>IF(Tabela4[[#This Row],[Keyuser - Aguardando tarefa precedente]]&gt;0,"Sim","Não")</f>
        <v>Não</v>
      </c>
      <c r="Y178" t="str">
        <f>IF(Tabela4[[#This Row],[Não liberado  para testes]]&gt;0,"Sim","Não")</f>
        <v>Sim</v>
      </c>
      <c r="Z178" t="str">
        <f ca="1">IF(Tabela4[[#This Row],[Status]]="Keyuser - Pendente",NETWORKDAYS(Tabela4[[#This Row],[Dt Inicial]],TODAY()),"")</f>
        <v/>
      </c>
      <c r="AA178" t="b">
        <f>AND(Tabela4[[#This Row],[Status]]="Keyuser - Aguardando tarefa precedente",K177="Keyuser - Concluído ")</f>
        <v>0</v>
      </c>
    </row>
    <row r="179" spans="1:27" x14ac:dyDescent="0.25">
      <c r="A179" t="str">
        <f>"OUT-"&amp;IFERROR(MID(Tabela4[[#This Row],[Cenário]],SEARCH("(",Tabela4[[#This Row],[Cenário]])+1,SEARCH(")",Tabela4[[#This Row],[Cenário]])-SEARCH("(",Tabela4[[#This Row],[Cenário]])-1),"")&amp;"_"&amp;ROW()</f>
        <v>OUT-OPLA_179</v>
      </c>
      <c r="B179" t="s">
        <v>374</v>
      </c>
      <c r="C179" t="s">
        <v>457</v>
      </c>
      <c r="D179" t="s">
        <v>286</v>
      </c>
      <c r="E179">
        <v>6</v>
      </c>
      <c r="F179" t="s">
        <v>286</v>
      </c>
      <c r="G179" t="s">
        <v>287</v>
      </c>
      <c r="H179" s="13"/>
      <c r="I179" s="13"/>
      <c r="J179" s="13"/>
      <c r="K179" s="9" t="s">
        <v>262</v>
      </c>
      <c r="N179" s="78"/>
      <c r="O179" s="31"/>
      <c r="P179" s="9"/>
      <c r="Q179" s="9">
        <f>COUNTIF(Tabela4[[#All],[Cenário]],Tabela4[[#This Row],[Cenário]])</f>
        <v>6</v>
      </c>
      <c r="R179">
        <f>COUNTIFS(Tabela4[[#All],[Cenário]],Tabela4[[#This Row],[Cenário]],Tabela4[[#All],[Status]],"Keyuser - Concluído ")</f>
        <v>5</v>
      </c>
      <c r="S179" t="str">
        <f>IF(Tabela4[[#This Row],[Tarefas por Cenário]]-Tabela4[[#This Row],[Tarefas Concluídas]]&gt;0,"Não","Sim")</f>
        <v>Não</v>
      </c>
      <c r="T179">
        <f>COUNTIFS(Tabela4[[#All],[Cenário]],Tabela4[[#This Row],[Cenário]],Tabela4[[#All],[Status]],Tabela4[[#Headers],[Elo - Em correção ]])</f>
        <v>0</v>
      </c>
      <c r="U179">
        <f>COUNTIFS(Tabela4[[#All],[Cenário]],Tabela4[[#This Row],[Cenário]],Tabela4[[#All],[Status]],Tabela4[[#Headers],[Keyuser - Aguardando tarefa precedente]])</f>
        <v>0</v>
      </c>
      <c r="V179">
        <f>COUNTIFS(Tabela4[[#All],[Cenário]],Tabela4[[#This Row],[Cenário]],Tabela4[[#All],[Status]],Tabela4[[#Headers],[Não liberado  para testes]])</f>
        <v>1</v>
      </c>
      <c r="W179" t="str">
        <f>IF(Tabela4[[#This Row],[Elo - Em correção ]]&gt;0,"Sim","Não")</f>
        <v>Não</v>
      </c>
      <c r="X179" t="str">
        <f>IF(Tabela4[[#This Row],[Keyuser - Aguardando tarefa precedente]]&gt;0,"Sim","Não")</f>
        <v>Não</v>
      </c>
      <c r="Y179" t="str">
        <f>IF(Tabela4[[#This Row],[Não liberado  para testes]]&gt;0,"Sim","Não")</f>
        <v>Sim</v>
      </c>
      <c r="Z179" t="str">
        <f ca="1">IF(Tabela4[[#This Row],[Status]]="Keyuser - Pendente",NETWORKDAYS(Tabela4[[#This Row],[Dt Inicial]],TODAY()),"")</f>
        <v/>
      </c>
      <c r="AA179" t="b">
        <f>AND(Tabela4[[#This Row],[Status]]="Keyuser - Aguardando tarefa precedente",K178="Keyuser - Concluído ")</f>
        <v>0</v>
      </c>
    </row>
    <row r="180" spans="1:27" x14ac:dyDescent="0.25">
      <c r="A180" t="str">
        <f>"OUT-"&amp;IFERROR(MID(Tabela4[[#This Row],[Cenário]],SEARCH("(",Tabela4[[#This Row],[Cenário]])+1,SEARCH(")",Tabela4[[#This Row],[Cenário]])-SEARCH("(",Tabela4[[#This Row],[Cenário]])-1),"")&amp;"_"&amp;ROW()</f>
        <v>OUT-OPLA_180</v>
      </c>
      <c r="B180" t="s">
        <v>358</v>
      </c>
      <c r="C180" t="s">
        <v>460</v>
      </c>
      <c r="D180" t="s">
        <v>360</v>
      </c>
      <c r="E180">
        <v>1</v>
      </c>
      <c r="F180" t="s">
        <v>360</v>
      </c>
      <c r="G180" t="s">
        <v>361</v>
      </c>
      <c r="H180" s="18">
        <v>15603655</v>
      </c>
      <c r="I180" s="13" t="s">
        <v>461</v>
      </c>
      <c r="J180" s="9" t="s">
        <v>364</v>
      </c>
      <c r="K180" s="9" t="s">
        <v>271</v>
      </c>
      <c r="L180" s="78">
        <v>45957</v>
      </c>
      <c r="N180" s="78">
        <v>45957</v>
      </c>
      <c r="O180" s="31"/>
      <c r="P180" s="9"/>
      <c r="Q180" s="9">
        <f>COUNTIF(Tabela4[[#All],[Cenário]],Tabela4[[#This Row],[Cenário]])</f>
        <v>6</v>
      </c>
      <c r="R180">
        <f>COUNTIFS(Tabela4[[#All],[Cenário]],Tabela4[[#This Row],[Cenário]],Tabela4[[#All],[Status]],"Keyuser - Concluído ")</f>
        <v>5</v>
      </c>
      <c r="S180" t="str">
        <f>IF(Tabela4[[#This Row],[Tarefas por Cenário]]-Tabela4[[#This Row],[Tarefas Concluídas]]&gt;0,"Não","Sim")</f>
        <v>Não</v>
      </c>
      <c r="T180">
        <f>COUNTIFS(Tabela4[[#All],[Cenário]],Tabela4[[#This Row],[Cenário]],Tabela4[[#All],[Status]],Tabela4[[#Headers],[Elo - Em correção ]])</f>
        <v>0</v>
      </c>
      <c r="U180">
        <f>COUNTIFS(Tabela4[[#All],[Cenário]],Tabela4[[#This Row],[Cenário]],Tabela4[[#All],[Status]],Tabela4[[#Headers],[Keyuser - Aguardando tarefa precedente]])</f>
        <v>0</v>
      </c>
      <c r="V180">
        <f>COUNTIFS(Tabela4[[#All],[Cenário]],Tabela4[[#This Row],[Cenário]],Tabela4[[#All],[Status]],Tabela4[[#Headers],[Não liberado  para testes]])</f>
        <v>1</v>
      </c>
      <c r="W180" t="str">
        <f>IF(Tabela4[[#This Row],[Elo - Em correção ]]&gt;0,"Sim","Não")</f>
        <v>Não</v>
      </c>
      <c r="X180" t="str">
        <f>IF(Tabela4[[#This Row],[Keyuser - Aguardando tarefa precedente]]&gt;0,"Sim","Não")</f>
        <v>Não</v>
      </c>
      <c r="Y180" t="str">
        <f>IF(Tabela4[[#This Row],[Não liberado  para testes]]&gt;0,"Sim","Não")</f>
        <v>Sim</v>
      </c>
      <c r="Z180" t="str">
        <f ca="1">IF(Tabela4[[#This Row],[Status]]="Keyuser - Pendente",NETWORKDAYS(Tabela4[[#This Row],[Dt Inicial]],TODAY()),"")</f>
        <v/>
      </c>
      <c r="AA180" t="b">
        <f>AND(Tabela4[[#This Row],[Status]]="Keyuser - Aguardando tarefa precedente",K179="Keyuser - Concluído ")</f>
        <v>0</v>
      </c>
    </row>
    <row r="181" spans="1:27" x14ac:dyDescent="0.25">
      <c r="A181" t="str">
        <f>"OUT-"&amp;IFERROR(MID(Tabela4[[#This Row],[Cenário]],SEARCH("(",Tabela4[[#This Row],[Cenário]])+1,SEARCH(")",Tabela4[[#This Row],[Cenário]])-SEARCH("(",Tabela4[[#This Row],[Cenário]])-1),"")&amp;"_"&amp;ROW()</f>
        <v>OUT-OPLA_181</v>
      </c>
      <c r="B181" t="s">
        <v>358</v>
      </c>
      <c r="C181" t="s">
        <v>460</v>
      </c>
      <c r="D181" t="s">
        <v>365</v>
      </c>
      <c r="E181">
        <v>2</v>
      </c>
      <c r="F181" t="s">
        <v>365</v>
      </c>
      <c r="G181" t="s">
        <v>310</v>
      </c>
      <c r="H181" s="18">
        <v>15603655</v>
      </c>
      <c r="I181" s="13" t="s">
        <v>461</v>
      </c>
      <c r="J181" s="9" t="s">
        <v>364</v>
      </c>
      <c r="K181" s="9" t="s">
        <v>271</v>
      </c>
      <c r="L181" s="78">
        <v>45957</v>
      </c>
      <c r="N181" s="78">
        <v>45957</v>
      </c>
      <c r="O181" s="31"/>
      <c r="P181" s="9"/>
      <c r="Q181" s="9">
        <f>COUNTIF(Tabela4[[#All],[Cenário]],Tabela4[[#This Row],[Cenário]])</f>
        <v>6</v>
      </c>
      <c r="R181">
        <f>COUNTIFS(Tabela4[[#All],[Cenário]],Tabela4[[#This Row],[Cenário]],Tabela4[[#All],[Status]],"Keyuser - Concluído ")</f>
        <v>5</v>
      </c>
      <c r="S181" t="str">
        <f>IF(Tabela4[[#This Row],[Tarefas por Cenário]]-Tabela4[[#This Row],[Tarefas Concluídas]]&gt;0,"Não","Sim")</f>
        <v>Não</v>
      </c>
      <c r="T181">
        <f>COUNTIFS(Tabela4[[#All],[Cenário]],Tabela4[[#This Row],[Cenário]],Tabela4[[#All],[Status]],Tabela4[[#Headers],[Elo - Em correção ]])</f>
        <v>0</v>
      </c>
      <c r="U181">
        <f>COUNTIFS(Tabela4[[#All],[Cenário]],Tabela4[[#This Row],[Cenário]],Tabela4[[#All],[Status]],Tabela4[[#Headers],[Keyuser - Aguardando tarefa precedente]])</f>
        <v>0</v>
      </c>
      <c r="V181">
        <f>COUNTIFS(Tabela4[[#All],[Cenário]],Tabela4[[#This Row],[Cenário]],Tabela4[[#All],[Status]],Tabela4[[#Headers],[Não liberado  para testes]])</f>
        <v>1</v>
      </c>
      <c r="W181" t="str">
        <f>IF(Tabela4[[#This Row],[Elo - Em correção ]]&gt;0,"Sim","Não")</f>
        <v>Não</v>
      </c>
      <c r="X181" t="str">
        <f>IF(Tabela4[[#This Row],[Keyuser - Aguardando tarefa precedente]]&gt;0,"Sim","Não")</f>
        <v>Não</v>
      </c>
      <c r="Y181" t="str">
        <f>IF(Tabela4[[#This Row],[Não liberado  para testes]]&gt;0,"Sim","Não")</f>
        <v>Sim</v>
      </c>
      <c r="Z181" t="str">
        <f ca="1">IF(Tabela4[[#This Row],[Status]]="Keyuser - Pendente",NETWORKDAYS(Tabela4[[#This Row],[Dt Inicial]],TODAY()),"")</f>
        <v/>
      </c>
      <c r="AA181" t="b">
        <f>AND(Tabela4[[#This Row],[Status]]="Keyuser - Aguardando tarefa precedente",K180="Keyuser - Concluído ")</f>
        <v>0</v>
      </c>
    </row>
    <row r="182" spans="1:27" x14ac:dyDescent="0.25">
      <c r="A182" t="str">
        <f>"OUT-"&amp;IFERROR(MID(Tabela4[[#This Row],[Cenário]],SEARCH("(",Tabela4[[#This Row],[Cenário]])+1,SEARCH(")",Tabela4[[#This Row],[Cenário]])-SEARCH("(",Tabela4[[#This Row],[Cenário]])-1),"")&amp;"_"&amp;ROW()</f>
        <v>OUT-OPLA_182</v>
      </c>
      <c r="B182" t="s">
        <v>358</v>
      </c>
      <c r="C182" t="s">
        <v>460</v>
      </c>
      <c r="D182" t="s">
        <v>368</v>
      </c>
      <c r="E182">
        <v>3</v>
      </c>
      <c r="F182" t="s">
        <v>368</v>
      </c>
      <c r="G182" t="s">
        <v>369</v>
      </c>
      <c r="H182" s="13" t="s">
        <v>462</v>
      </c>
      <c r="I182" s="13"/>
      <c r="J182" s="13" t="s">
        <v>364</v>
      </c>
      <c r="K182" s="9" t="s">
        <v>271</v>
      </c>
      <c r="L182" s="78">
        <v>45957</v>
      </c>
      <c r="N182" s="78">
        <v>45957</v>
      </c>
      <c r="O182" s="31"/>
      <c r="P182" s="9"/>
      <c r="Q182" s="9">
        <f>COUNTIF(Tabela4[[#All],[Cenário]],Tabela4[[#This Row],[Cenário]])</f>
        <v>6</v>
      </c>
      <c r="R182">
        <f>COUNTIFS(Tabela4[[#All],[Cenário]],Tabela4[[#This Row],[Cenário]],Tabela4[[#All],[Status]],"Keyuser - Concluído ")</f>
        <v>5</v>
      </c>
      <c r="S182" t="str">
        <f>IF(Tabela4[[#This Row],[Tarefas por Cenário]]-Tabela4[[#This Row],[Tarefas Concluídas]]&gt;0,"Não","Sim")</f>
        <v>Não</v>
      </c>
      <c r="T182">
        <f>COUNTIFS(Tabela4[[#All],[Cenário]],Tabela4[[#This Row],[Cenário]],Tabela4[[#All],[Status]],Tabela4[[#Headers],[Elo - Em correção ]])</f>
        <v>0</v>
      </c>
      <c r="U182">
        <f>COUNTIFS(Tabela4[[#All],[Cenário]],Tabela4[[#This Row],[Cenário]],Tabela4[[#All],[Status]],Tabela4[[#Headers],[Keyuser - Aguardando tarefa precedente]])</f>
        <v>0</v>
      </c>
      <c r="V182">
        <f>COUNTIFS(Tabela4[[#All],[Cenário]],Tabela4[[#This Row],[Cenário]],Tabela4[[#All],[Status]],Tabela4[[#Headers],[Não liberado  para testes]])</f>
        <v>1</v>
      </c>
      <c r="W182" t="str">
        <f>IF(Tabela4[[#This Row],[Elo - Em correção ]]&gt;0,"Sim","Não")</f>
        <v>Não</v>
      </c>
      <c r="X182" t="str">
        <f>IF(Tabela4[[#This Row],[Keyuser - Aguardando tarefa precedente]]&gt;0,"Sim","Não")</f>
        <v>Não</v>
      </c>
      <c r="Y182" t="str">
        <f>IF(Tabela4[[#This Row],[Não liberado  para testes]]&gt;0,"Sim","Não")</f>
        <v>Sim</v>
      </c>
      <c r="Z182" t="str">
        <f ca="1">IF(Tabela4[[#This Row],[Status]]="Keyuser - Pendente",NETWORKDAYS(Tabela4[[#This Row],[Dt Inicial]],TODAY()),"")</f>
        <v/>
      </c>
      <c r="AA182" t="b">
        <f>AND(Tabela4[[#This Row],[Status]]="Keyuser - Aguardando tarefa precedente",K181="Keyuser - Concluído ")</f>
        <v>0</v>
      </c>
    </row>
    <row r="183" spans="1:27" x14ac:dyDescent="0.25">
      <c r="A183" t="str">
        <f>"OUT-"&amp;IFERROR(MID(Tabela4[[#This Row],[Cenário]],SEARCH("(",Tabela4[[#This Row],[Cenário]])+1,SEARCH(")",Tabela4[[#This Row],[Cenário]])-SEARCH("(",Tabela4[[#This Row],[Cenário]])-1),"")&amp;"_"&amp;ROW()</f>
        <v>OUT-OPLA_183</v>
      </c>
      <c r="B183" t="s">
        <v>358</v>
      </c>
      <c r="C183" t="s">
        <v>460</v>
      </c>
      <c r="D183" t="s">
        <v>371</v>
      </c>
      <c r="E183">
        <v>4</v>
      </c>
      <c r="F183" t="s">
        <v>372</v>
      </c>
      <c r="G183" t="s">
        <v>287</v>
      </c>
      <c r="H183" s="13" t="s">
        <v>462</v>
      </c>
      <c r="I183" s="13"/>
      <c r="J183" s="13"/>
      <c r="K183" s="9" t="s">
        <v>271</v>
      </c>
      <c r="L183" s="78">
        <v>45957</v>
      </c>
      <c r="N183" s="78">
        <v>45958</v>
      </c>
      <c r="O183" s="31"/>
      <c r="P183" s="9"/>
      <c r="Q183" s="9">
        <f>COUNTIF(Tabela4[[#All],[Cenário]],Tabela4[[#This Row],[Cenário]])</f>
        <v>6</v>
      </c>
      <c r="R183">
        <f>COUNTIFS(Tabela4[[#All],[Cenário]],Tabela4[[#This Row],[Cenário]],Tabela4[[#All],[Status]],"Keyuser - Concluído ")</f>
        <v>5</v>
      </c>
      <c r="S183" t="str">
        <f>IF(Tabela4[[#This Row],[Tarefas por Cenário]]-Tabela4[[#This Row],[Tarefas Concluídas]]&gt;0,"Não","Sim")</f>
        <v>Não</v>
      </c>
      <c r="T183">
        <f>COUNTIFS(Tabela4[[#All],[Cenário]],Tabela4[[#This Row],[Cenário]],Tabela4[[#All],[Status]],Tabela4[[#Headers],[Elo - Em correção ]])</f>
        <v>0</v>
      </c>
      <c r="U183">
        <f>COUNTIFS(Tabela4[[#All],[Cenário]],Tabela4[[#This Row],[Cenário]],Tabela4[[#All],[Status]],Tabela4[[#Headers],[Keyuser - Aguardando tarefa precedente]])</f>
        <v>0</v>
      </c>
      <c r="V183">
        <f>COUNTIFS(Tabela4[[#All],[Cenário]],Tabela4[[#This Row],[Cenário]],Tabela4[[#All],[Status]],Tabela4[[#Headers],[Não liberado  para testes]])</f>
        <v>1</v>
      </c>
      <c r="W183" t="str">
        <f>IF(Tabela4[[#This Row],[Elo - Em correção ]]&gt;0,"Sim","Não")</f>
        <v>Não</v>
      </c>
      <c r="X183" t="str">
        <f>IF(Tabela4[[#This Row],[Keyuser - Aguardando tarefa precedente]]&gt;0,"Sim","Não")</f>
        <v>Não</v>
      </c>
      <c r="Y183" t="str">
        <f>IF(Tabela4[[#This Row],[Não liberado  para testes]]&gt;0,"Sim","Não")</f>
        <v>Sim</v>
      </c>
      <c r="Z183" t="str">
        <f ca="1">IF(Tabela4[[#This Row],[Status]]="Keyuser - Pendente",NETWORKDAYS(Tabela4[[#This Row],[Dt Inicial]],TODAY()),"")</f>
        <v/>
      </c>
      <c r="AA183" t="b">
        <f>AND(Tabela4[[#This Row],[Status]]="Keyuser - Aguardando tarefa precedente",K182="Keyuser - Concluído ")</f>
        <v>0</v>
      </c>
    </row>
    <row r="184" spans="1:27" x14ac:dyDescent="0.25">
      <c r="A184" t="str">
        <f>"OUT-"&amp;IFERROR(MID(Tabela4[[#This Row],[Cenário]],SEARCH("(",Tabela4[[#This Row],[Cenário]])+1,SEARCH(")",Tabela4[[#This Row],[Cenário]])-SEARCH("(",Tabela4[[#This Row],[Cenário]])-1),"")&amp;"_"&amp;ROW()</f>
        <v>OUT-OPLA_184</v>
      </c>
      <c r="B184" t="s">
        <v>358</v>
      </c>
      <c r="C184" t="s">
        <v>460</v>
      </c>
      <c r="D184" t="s">
        <v>373</v>
      </c>
      <c r="E184">
        <v>5</v>
      </c>
      <c r="F184" t="s">
        <v>373</v>
      </c>
      <c r="G184" t="s">
        <v>283</v>
      </c>
      <c r="H184" s="33" t="s">
        <v>462</v>
      </c>
      <c r="I184" s="13"/>
      <c r="J184" s="13"/>
      <c r="K184" s="9" t="s">
        <v>271</v>
      </c>
      <c r="L184" s="78">
        <v>45958</v>
      </c>
      <c r="N184" s="78">
        <v>45958</v>
      </c>
      <c r="O184" s="31"/>
      <c r="P184" s="9"/>
      <c r="Q184" s="9">
        <f>COUNTIF(Tabela4[[#All],[Cenário]],Tabela4[[#This Row],[Cenário]])</f>
        <v>6</v>
      </c>
      <c r="R184">
        <f>COUNTIFS(Tabela4[[#All],[Cenário]],Tabela4[[#This Row],[Cenário]],Tabela4[[#All],[Status]],"Keyuser - Concluído ")</f>
        <v>5</v>
      </c>
      <c r="S184" t="str">
        <f>IF(Tabela4[[#This Row],[Tarefas por Cenário]]-Tabela4[[#This Row],[Tarefas Concluídas]]&gt;0,"Não","Sim")</f>
        <v>Não</v>
      </c>
      <c r="T184">
        <f>COUNTIFS(Tabela4[[#All],[Cenário]],Tabela4[[#This Row],[Cenário]],Tabela4[[#All],[Status]],Tabela4[[#Headers],[Elo - Em correção ]])</f>
        <v>0</v>
      </c>
      <c r="U184">
        <f>COUNTIFS(Tabela4[[#All],[Cenário]],Tabela4[[#This Row],[Cenário]],Tabela4[[#All],[Status]],Tabela4[[#Headers],[Keyuser - Aguardando tarefa precedente]])</f>
        <v>0</v>
      </c>
      <c r="V184">
        <f>COUNTIFS(Tabela4[[#All],[Cenário]],Tabela4[[#This Row],[Cenário]],Tabela4[[#All],[Status]],Tabela4[[#Headers],[Não liberado  para testes]])</f>
        <v>1</v>
      </c>
      <c r="W184" t="str">
        <f>IF(Tabela4[[#This Row],[Elo - Em correção ]]&gt;0,"Sim","Não")</f>
        <v>Não</v>
      </c>
      <c r="X184" t="str">
        <f>IF(Tabela4[[#This Row],[Keyuser - Aguardando tarefa precedente]]&gt;0,"Sim","Não")</f>
        <v>Não</v>
      </c>
      <c r="Y184" t="str">
        <f>IF(Tabela4[[#This Row],[Não liberado  para testes]]&gt;0,"Sim","Não")</f>
        <v>Sim</v>
      </c>
      <c r="Z184" t="str">
        <f ca="1">IF(Tabela4[[#This Row],[Status]]="Keyuser - Pendente",NETWORKDAYS(Tabela4[[#This Row],[Dt Inicial]],TODAY()),"")</f>
        <v/>
      </c>
      <c r="AA184" t="b">
        <f>AND(Tabela4[[#This Row],[Status]]="Keyuser - Aguardando tarefa precedente",K183="Keyuser - Concluído ")</f>
        <v>0</v>
      </c>
    </row>
    <row r="185" spans="1:27" x14ac:dyDescent="0.25">
      <c r="A185" t="str">
        <f>"OUT-"&amp;IFERROR(MID(Tabela4[[#This Row],[Cenário]],SEARCH("(",Tabela4[[#This Row],[Cenário]])+1,SEARCH(")",Tabela4[[#This Row],[Cenário]])-SEARCH("(",Tabela4[[#This Row],[Cenário]])-1),"")&amp;"_"&amp;ROW()</f>
        <v>OUT-OPLA_185</v>
      </c>
      <c r="B185" t="s">
        <v>374</v>
      </c>
      <c r="C185" t="s">
        <v>460</v>
      </c>
      <c r="D185" t="s">
        <v>286</v>
      </c>
      <c r="E185">
        <v>6</v>
      </c>
      <c r="F185" t="s">
        <v>286</v>
      </c>
      <c r="G185" t="s">
        <v>287</v>
      </c>
      <c r="H185" s="13"/>
      <c r="I185" s="13"/>
      <c r="J185" s="13"/>
      <c r="K185" s="9" t="s">
        <v>262</v>
      </c>
      <c r="N185" s="78"/>
      <c r="O185" s="31"/>
      <c r="P185" s="9"/>
      <c r="Q185" s="9">
        <f>COUNTIF(Tabela4[[#All],[Cenário]],Tabela4[[#This Row],[Cenário]])</f>
        <v>6</v>
      </c>
      <c r="R185">
        <f>COUNTIFS(Tabela4[[#All],[Cenário]],Tabela4[[#This Row],[Cenário]],Tabela4[[#All],[Status]],"Keyuser - Concluído ")</f>
        <v>5</v>
      </c>
      <c r="S185" t="str">
        <f>IF(Tabela4[[#This Row],[Tarefas por Cenário]]-Tabela4[[#This Row],[Tarefas Concluídas]]&gt;0,"Não","Sim")</f>
        <v>Não</v>
      </c>
      <c r="T185">
        <f>COUNTIFS(Tabela4[[#All],[Cenário]],Tabela4[[#This Row],[Cenário]],Tabela4[[#All],[Status]],Tabela4[[#Headers],[Elo - Em correção ]])</f>
        <v>0</v>
      </c>
      <c r="U185">
        <f>COUNTIFS(Tabela4[[#All],[Cenário]],Tabela4[[#This Row],[Cenário]],Tabela4[[#All],[Status]],Tabela4[[#Headers],[Keyuser - Aguardando tarefa precedente]])</f>
        <v>0</v>
      </c>
      <c r="V185">
        <f>COUNTIFS(Tabela4[[#All],[Cenário]],Tabela4[[#This Row],[Cenário]],Tabela4[[#All],[Status]],Tabela4[[#Headers],[Não liberado  para testes]])</f>
        <v>1</v>
      </c>
      <c r="W185" t="str">
        <f>IF(Tabela4[[#This Row],[Elo - Em correção ]]&gt;0,"Sim","Não")</f>
        <v>Não</v>
      </c>
      <c r="X185" t="str">
        <f>IF(Tabela4[[#This Row],[Keyuser - Aguardando tarefa precedente]]&gt;0,"Sim","Não")</f>
        <v>Não</v>
      </c>
      <c r="Y185" t="str">
        <f>IF(Tabela4[[#This Row],[Não liberado  para testes]]&gt;0,"Sim","Não")</f>
        <v>Sim</v>
      </c>
      <c r="Z185" t="str">
        <f ca="1">IF(Tabela4[[#This Row],[Status]]="Keyuser - Pendente",NETWORKDAYS(Tabela4[[#This Row],[Dt Inicial]],TODAY()),"")</f>
        <v/>
      </c>
      <c r="AA185" t="b">
        <f>AND(Tabela4[[#This Row],[Status]]="Keyuser - Aguardando tarefa precedente",K184="Keyuser - Concluído ")</f>
        <v>0</v>
      </c>
    </row>
    <row r="186" spans="1:27" x14ac:dyDescent="0.25">
      <c r="A186" t="str">
        <f>"OUT-"&amp;IFERROR(MID(Tabela4[[#This Row],[Cenário]],SEARCH("(",Tabela4[[#This Row],[Cenário]])+1,SEARCH(")",Tabela4[[#This Row],[Cenário]])-SEARCH("(",Tabela4[[#This Row],[Cenário]])-1),"")&amp;"_"&amp;ROW()</f>
        <v>OUT-OPLA_186</v>
      </c>
      <c r="B186" t="s">
        <v>358</v>
      </c>
      <c r="C186" t="s">
        <v>463</v>
      </c>
      <c r="D186" t="s">
        <v>360</v>
      </c>
      <c r="E186">
        <v>1</v>
      </c>
      <c r="F186" t="s">
        <v>360</v>
      </c>
      <c r="G186" t="s">
        <v>377</v>
      </c>
      <c r="H186" s="13">
        <v>60668343</v>
      </c>
      <c r="I186" s="13"/>
      <c r="J186" s="13"/>
      <c r="K186" s="9" t="s">
        <v>271</v>
      </c>
      <c r="L186" s="78">
        <v>45964</v>
      </c>
      <c r="N186" s="78">
        <v>45964</v>
      </c>
      <c r="O186" s="31"/>
      <c r="P186" s="9"/>
      <c r="Q186" s="9">
        <f>COUNTIF(Tabela4[[#All],[Cenário]],Tabela4[[#This Row],[Cenário]])</f>
        <v>6</v>
      </c>
      <c r="R186">
        <f>COUNTIFS(Tabela4[[#All],[Cenário]],Tabela4[[#This Row],[Cenário]],Tabela4[[#All],[Status]],"Keyuser - Concluído ")</f>
        <v>5</v>
      </c>
      <c r="S186" t="str">
        <f>IF(Tabela4[[#This Row],[Tarefas por Cenário]]-Tabela4[[#This Row],[Tarefas Concluídas]]&gt;0,"Não","Sim")</f>
        <v>Não</v>
      </c>
      <c r="T186">
        <f>COUNTIFS(Tabela4[[#All],[Cenário]],Tabela4[[#This Row],[Cenário]],Tabela4[[#All],[Status]],Tabela4[[#Headers],[Elo - Em correção ]])</f>
        <v>0</v>
      </c>
      <c r="U186">
        <f>COUNTIFS(Tabela4[[#All],[Cenário]],Tabela4[[#This Row],[Cenário]],Tabela4[[#All],[Status]],Tabela4[[#Headers],[Keyuser - Aguardando tarefa precedente]])</f>
        <v>0</v>
      </c>
      <c r="V186">
        <f>COUNTIFS(Tabela4[[#All],[Cenário]],Tabela4[[#This Row],[Cenário]],Tabela4[[#All],[Status]],Tabela4[[#Headers],[Não liberado  para testes]])</f>
        <v>1</v>
      </c>
      <c r="W186" t="str">
        <f>IF(Tabela4[[#This Row],[Elo - Em correção ]]&gt;0,"Sim","Não")</f>
        <v>Não</v>
      </c>
      <c r="X186" t="str">
        <f>IF(Tabela4[[#This Row],[Keyuser - Aguardando tarefa precedente]]&gt;0,"Sim","Não")</f>
        <v>Não</v>
      </c>
      <c r="Y186" t="str">
        <f>IF(Tabela4[[#This Row],[Não liberado  para testes]]&gt;0,"Sim","Não")</f>
        <v>Sim</v>
      </c>
      <c r="Z186" t="str">
        <f ca="1">IF(Tabela4[[#This Row],[Status]]="Keyuser - Pendente",NETWORKDAYS(Tabela4[[#This Row],[Dt Inicial]],TODAY()),"")</f>
        <v/>
      </c>
      <c r="AA186" t="b">
        <f>AND(Tabela4[[#This Row],[Status]]="Keyuser - Aguardando tarefa precedente",K185="Keyuser - Concluído ")</f>
        <v>0</v>
      </c>
    </row>
    <row r="187" spans="1:27" x14ac:dyDescent="0.25">
      <c r="A187" t="str">
        <f>"OUT-"&amp;IFERROR(MID(Tabela4[[#This Row],[Cenário]],SEARCH("(",Tabela4[[#This Row],[Cenário]])+1,SEARCH(")",Tabela4[[#This Row],[Cenário]])-SEARCH("(",Tabela4[[#This Row],[Cenário]])-1),"")&amp;"_"&amp;ROW()</f>
        <v>OUT-OPLA_187</v>
      </c>
      <c r="B187" t="s">
        <v>358</v>
      </c>
      <c r="C187" t="s">
        <v>463</v>
      </c>
      <c r="D187" t="s">
        <v>365</v>
      </c>
      <c r="E187">
        <v>2</v>
      </c>
      <c r="F187" t="s">
        <v>365</v>
      </c>
      <c r="G187" t="s">
        <v>310</v>
      </c>
      <c r="H187" s="13">
        <v>60668343</v>
      </c>
      <c r="I187" s="13"/>
      <c r="J187" s="13"/>
      <c r="K187" s="9" t="s">
        <v>271</v>
      </c>
      <c r="L187" s="78">
        <v>45961</v>
      </c>
      <c r="N187" s="78">
        <v>45961</v>
      </c>
      <c r="O187" s="31"/>
      <c r="P187" s="9"/>
      <c r="Q187" s="9">
        <f>COUNTIF(Tabela4[[#All],[Cenário]],Tabela4[[#This Row],[Cenário]])</f>
        <v>6</v>
      </c>
      <c r="R187">
        <f>COUNTIFS(Tabela4[[#All],[Cenário]],Tabela4[[#This Row],[Cenário]],Tabela4[[#All],[Status]],"Keyuser - Concluído ")</f>
        <v>5</v>
      </c>
      <c r="S187" t="str">
        <f>IF(Tabela4[[#This Row],[Tarefas por Cenário]]-Tabela4[[#This Row],[Tarefas Concluídas]]&gt;0,"Não","Sim")</f>
        <v>Não</v>
      </c>
      <c r="T187">
        <f>COUNTIFS(Tabela4[[#All],[Cenário]],Tabela4[[#This Row],[Cenário]],Tabela4[[#All],[Status]],Tabela4[[#Headers],[Elo - Em correção ]])</f>
        <v>0</v>
      </c>
      <c r="U187">
        <f>COUNTIFS(Tabela4[[#All],[Cenário]],Tabela4[[#This Row],[Cenário]],Tabela4[[#All],[Status]],Tabela4[[#Headers],[Keyuser - Aguardando tarefa precedente]])</f>
        <v>0</v>
      </c>
      <c r="V187">
        <f>COUNTIFS(Tabela4[[#All],[Cenário]],Tabela4[[#This Row],[Cenário]],Tabela4[[#All],[Status]],Tabela4[[#Headers],[Não liberado  para testes]])</f>
        <v>1</v>
      </c>
      <c r="W187" t="str">
        <f>IF(Tabela4[[#This Row],[Elo - Em correção ]]&gt;0,"Sim","Não")</f>
        <v>Não</v>
      </c>
      <c r="X187" t="str">
        <f>IF(Tabela4[[#This Row],[Keyuser - Aguardando tarefa precedente]]&gt;0,"Sim","Não")</f>
        <v>Não</v>
      </c>
      <c r="Y187" t="str">
        <f>IF(Tabela4[[#This Row],[Não liberado  para testes]]&gt;0,"Sim","Não")</f>
        <v>Sim</v>
      </c>
      <c r="Z187" t="str">
        <f ca="1">IF(Tabela4[[#This Row],[Status]]="Keyuser - Pendente",NETWORKDAYS(Tabela4[[#This Row],[Dt Inicial]],TODAY()),"")</f>
        <v/>
      </c>
      <c r="AA187" t="b">
        <f>AND(Tabela4[[#This Row],[Status]]="Keyuser - Aguardando tarefa precedente",K186="Keyuser - Concluído ")</f>
        <v>0</v>
      </c>
    </row>
    <row r="188" spans="1:27" x14ac:dyDescent="0.25">
      <c r="A188" t="str">
        <f>"OUT-"&amp;IFERROR(MID(Tabela4[[#This Row],[Cenário]],SEARCH("(",Tabela4[[#This Row],[Cenário]])+1,SEARCH(")",Tabela4[[#This Row],[Cenário]])-SEARCH("(",Tabela4[[#This Row],[Cenário]])-1),"")&amp;"_"&amp;ROW()</f>
        <v>OUT-OPLA_188</v>
      </c>
      <c r="B188" t="s">
        <v>358</v>
      </c>
      <c r="C188" t="s">
        <v>463</v>
      </c>
      <c r="D188" t="s">
        <v>368</v>
      </c>
      <c r="E188">
        <v>3</v>
      </c>
      <c r="F188" t="s">
        <v>368</v>
      </c>
      <c r="G188" t="s">
        <v>377</v>
      </c>
      <c r="H188" s="13" t="s">
        <v>464</v>
      </c>
      <c r="I188" s="13"/>
      <c r="J188" s="13"/>
      <c r="K188" s="9" t="s">
        <v>271</v>
      </c>
      <c r="L188" s="78">
        <v>45964</v>
      </c>
      <c r="N188" s="78">
        <v>45964</v>
      </c>
      <c r="O188" s="31"/>
      <c r="P188" s="9"/>
      <c r="Q188" s="9">
        <f>COUNTIF(Tabela4[[#All],[Cenário]],Tabela4[[#This Row],[Cenário]])</f>
        <v>6</v>
      </c>
      <c r="R188">
        <f>COUNTIFS(Tabela4[[#All],[Cenário]],Tabela4[[#This Row],[Cenário]],Tabela4[[#All],[Status]],"Keyuser - Concluído ")</f>
        <v>5</v>
      </c>
      <c r="S188" t="str">
        <f>IF(Tabela4[[#This Row],[Tarefas por Cenário]]-Tabela4[[#This Row],[Tarefas Concluídas]]&gt;0,"Não","Sim")</f>
        <v>Não</v>
      </c>
      <c r="T188">
        <f>COUNTIFS(Tabela4[[#All],[Cenário]],Tabela4[[#This Row],[Cenário]],Tabela4[[#All],[Status]],Tabela4[[#Headers],[Elo - Em correção ]])</f>
        <v>0</v>
      </c>
      <c r="U188">
        <f>COUNTIFS(Tabela4[[#All],[Cenário]],Tabela4[[#This Row],[Cenário]],Tabela4[[#All],[Status]],Tabela4[[#Headers],[Keyuser - Aguardando tarefa precedente]])</f>
        <v>0</v>
      </c>
      <c r="V188">
        <f>COUNTIFS(Tabela4[[#All],[Cenário]],Tabela4[[#This Row],[Cenário]],Tabela4[[#All],[Status]],Tabela4[[#Headers],[Não liberado  para testes]])</f>
        <v>1</v>
      </c>
      <c r="W188" t="str">
        <f>IF(Tabela4[[#This Row],[Elo - Em correção ]]&gt;0,"Sim","Não")</f>
        <v>Não</v>
      </c>
      <c r="X188" t="str">
        <f>IF(Tabela4[[#This Row],[Keyuser - Aguardando tarefa precedente]]&gt;0,"Sim","Não")</f>
        <v>Não</v>
      </c>
      <c r="Y188" t="str">
        <f>IF(Tabela4[[#This Row],[Não liberado  para testes]]&gt;0,"Sim","Não")</f>
        <v>Sim</v>
      </c>
      <c r="Z188" t="str">
        <f ca="1">IF(Tabela4[[#This Row],[Status]]="Keyuser - Pendente",NETWORKDAYS(Tabela4[[#This Row],[Dt Inicial]],TODAY()),"")</f>
        <v/>
      </c>
      <c r="AA188" t="b">
        <f>AND(Tabela4[[#This Row],[Status]]="Keyuser - Aguardando tarefa precedente",K187="Keyuser - Concluído ")</f>
        <v>0</v>
      </c>
    </row>
    <row r="189" spans="1:27" x14ac:dyDescent="0.25">
      <c r="A189" t="str">
        <f>"OUT-"&amp;IFERROR(MID(Tabela4[[#This Row],[Cenário]],SEARCH("(",Tabela4[[#This Row],[Cenário]])+1,SEARCH(")",Tabela4[[#This Row],[Cenário]])-SEARCH("(",Tabela4[[#This Row],[Cenário]])-1),"")&amp;"_"&amp;ROW()</f>
        <v>OUT-OPLA_189</v>
      </c>
      <c r="B189" t="s">
        <v>358</v>
      </c>
      <c r="C189" t="s">
        <v>463</v>
      </c>
      <c r="D189" t="s">
        <v>371</v>
      </c>
      <c r="E189">
        <v>4</v>
      </c>
      <c r="F189" t="s">
        <v>372</v>
      </c>
      <c r="G189" t="s">
        <v>287</v>
      </c>
      <c r="H189" s="13" t="s">
        <v>464</v>
      </c>
      <c r="I189" s="13"/>
      <c r="J189" s="13"/>
      <c r="K189" s="9" t="s">
        <v>271</v>
      </c>
      <c r="L189" s="78">
        <v>45972</v>
      </c>
      <c r="N189" s="78">
        <v>45972</v>
      </c>
      <c r="O189" s="31"/>
      <c r="P189" s="9"/>
      <c r="Q189" s="9">
        <f>COUNTIF(Tabela4[[#All],[Cenário]],Tabela4[[#This Row],[Cenário]])</f>
        <v>6</v>
      </c>
      <c r="R189">
        <f>COUNTIFS(Tabela4[[#All],[Cenário]],Tabela4[[#This Row],[Cenário]],Tabela4[[#All],[Status]],"Keyuser - Concluído ")</f>
        <v>5</v>
      </c>
      <c r="S189" t="str">
        <f>IF(Tabela4[[#This Row],[Tarefas por Cenário]]-Tabela4[[#This Row],[Tarefas Concluídas]]&gt;0,"Não","Sim")</f>
        <v>Não</v>
      </c>
      <c r="T189">
        <f>COUNTIFS(Tabela4[[#All],[Cenário]],Tabela4[[#This Row],[Cenário]],Tabela4[[#All],[Status]],Tabela4[[#Headers],[Elo - Em correção ]])</f>
        <v>0</v>
      </c>
      <c r="U189">
        <f>COUNTIFS(Tabela4[[#All],[Cenário]],Tabela4[[#This Row],[Cenário]],Tabela4[[#All],[Status]],Tabela4[[#Headers],[Keyuser - Aguardando tarefa precedente]])</f>
        <v>0</v>
      </c>
      <c r="V189">
        <f>COUNTIFS(Tabela4[[#All],[Cenário]],Tabela4[[#This Row],[Cenário]],Tabela4[[#All],[Status]],Tabela4[[#Headers],[Não liberado  para testes]])</f>
        <v>1</v>
      </c>
      <c r="W189" t="str">
        <f>IF(Tabela4[[#This Row],[Elo - Em correção ]]&gt;0,"Sim","Não")</f>
        <v>Não</v>
      </c>
      <c r="X189" t="str">
        <f>IF(Tabela4[[#This Row],[Keyuser - Aguardando tarefa precedente]]&gt;0,"Sim","Não")</f>
        <v>Não</v>
      </c>
      <c r="Y189" t="str">
        <f>IF(Tabela4[[#This Row],[Não liberado  para testes]]&gt;0,"Sim","Não")</f>
        <v>Sim</v>
      </c>
      <c r="Z189" t="str">
        <f ca="1">IF(Tabela4[[#This Row],[Status]]="Keyuser - Pendente",NETWORKDAYS(Tabela4[[#This Row],[Dt Inicial]],TODAY()),"")</f>
        <v/>
      </c>
      <c r="AA189" t="b">
        <f>AND(Tabela4[[#This Row],[Status]]="Keyuser - Aguardando tarefa precedente",K188="Keyuser - Concluído ")</f>
        <v>0</v>
      </c>
    </row>
    <row r="190" spans="1:27" x14ac:dyDescent="0.25">
      <c r="A190" t="str">
        <f>"OUT-"&amp;IFERROR(MID(Tabela4[[#This Row],[Cenário]],SEARCH("(",Tabela4[[#This Row],[Cenário]])+1,SEARCH(")",Tabela4[[#This Row],[Cenário]])-SEARCH("(",Tabela4[[#This Row],[Cenário]])-1),"")&amp;"_"&amp;ROW()</f>
        <v>OUT-OPLA_190</v>
      </c>
      <c r="B190" t="s">
        <v>358</v>
      </c>
      <c r="C190" t="s">
        <v>463</v>
      </c>
      <c r="D190" t="s">
        <v>373</v>
      </c>
      <c r="E190">
        <v>5</v>
      </c>
      <c r="F190" t="s">
        <v>373</v>
      </c>
      <c r="G190" t="s">
        <v>283</v>
      </c>
      <c r="H190" s="13" t="s">
        <v>464</v>
      </c>
      <c r="I190" s="13"/>
      <c r="J190" s="13"/>
      <c r="K190" s="9" t="s">
        <v>271</v>
      </c>
      <c r="L190" s="78">
        <v>46002</v>
      </c>
      <c r="N190" s="78">
        <v>46002</v>
      </c>
      <c r="O190" s="31"/>
      <c r="P190" s="9"/>
      <c r="Q190" s="9">
        <f>COUNTIF(Tabela4[[#All],[Cenário]],Tabela4[[#This Row],[Cenário]])</f>
        <v>6</v>
      </c>
      <c r="R190">
        <f>COUNTIFS(Tabela4[[#All],[Cenário]],Tabela4[[#This Row],[Cenário]],Tabela4[[#All],[Status]],"Keyuser - Concluído ")</f>
        <v>5</v>
      </c>
      <c r="S190" t="str">
        <f>IF(Tabela4[[#This Row],[Tarefas por Cenário]]-Tabela4[[#This Row],[Tarefas Concluídas]]&gt;0,"Não","Sim")</f>
        <v>Não</v>
      </c>
      <c r="T190">
        <f>COUNTIFS(Tabela4[[#All],[Cenário]],Tabela4[[#This Row],[Cenário]],Tabela4[[#All],[Status]],Tabela4[[#Headers],[Elo - Em correção ]])</f>
        <v>0</v>
      </c>
      <c r="U190">
        <f>COUNTIFS(Tabela4[[#All],[Cenário]],Tabela4[[#This Row],[Cenário]],Tabela4[[#All],[Status]],Tabela4[[#Headers],[Keyuser - Aguardando tarefa precedente]])</f>
        <v>0</v>
      </c>
      <c r="V190">
        <f>COUNTIFS(Tabela4[[#All],[Cenário]],Tabela4[[#This Row],[Cenário]],Tabela4[[#All],[Status]],Tabela4[[#Headers],[Não liberado  para testes]])</f>
        <v>1</v>
      </c>
      <c r="W190" t="str">
        <f>IF(Tabela4[[#This Row],[Elo - Em correção ]]&gt;0,"Sim","Não")</f>
        <v>Não</v>
      </c>
      <c r="X190" t="str">
        <f>IF(Tabela4[[#This Row],[Keyuser - Aguardando tarefa precedente]]&gt;0,"Sim","Não")</f>
        <v>Não</v>
      </c>
      <c r="Y190" t="str">
        <f>IF(Tabela4[[#This Row],[Não liberado  para testes]]&gt;0,"Sim","Não")</f>
        <v>Sim</v>
      </c>
      <c r="Z190" t="str">
        <f ca="1">IF(Tabela4[[#This Row],[Status]]="Keyuser - Pendente",NETWORKDAYS(Tabela4[[#This Row],[Dt Inicial]],TODAY()),"")</f>
        <v/>
      </c>
      <c r="AA190" t="b">
        <f>AND(Tabela4[[#This Row],[Status]]="Keyuser - Aguardando tarefa precedente",K189="Keyuser - Concluído ")</f>
        <v>0</v>
      </c>
    </row>
    <row r="191" spans="1:27" x14ac:dyDescent="0.25">
      <c r="A191" t="str">
        <f>"OUT-"&amp;IFERROR(MID(Tabela4[[#This Row],[Cenário]],SEARCH("(",Tabela4[[#This Row],[Cenário]])+1,SEARCH(")",Tabela4[[#This Row],[Cenário]])-SEARCH("(",Tabela4[[#This Row],[Cenário]])-1),"")&amp;"_"&amp;ROW()</f>
        <v>OUT-OPLA_191</v>
      </c>
      <c r="B191" t="s">
        <v>374</v>
      </c>
      <c r="C191" t="s">
        <v>463</v>
      </c>
      <c r="D191" t="s">
        <v>286</v>
      </c>
      <c r="E191">
        <v>6</v>
      </c>
      <c r="F191" t="s">
        <v>286</v>
      </c>
      <c r="G191" t="s">
        <v>287</v>
      </c>
      <c r="H191" s="13"/>
      <c r="I191" s="13"/>
      <c r="J191" s="13"/>
      <c r="K191" s="9" t="s">
        <v>262</v>
      </c>
      <c r="N191" s="78"/>
      <c r="O191" s="31"/>
      <c r="P191" s="9"/>
      <c r="Q191" s="9">
        <f>COUNTIF(Tabela4[[#All],[Cenário]],Tabela4[[#This Row],[Cenário]])</f>
        <v>6</v>
      </c>
      <c r="R191">
        <f>COUNTIFS(Tabela4[[#All],[Cenário]],Tabela4[[#This Row],[Cenário]],Tabela4[[#All],[Status]],"Keyuser - Concluído ")</f>
        <v>5</v>
      </c>
      <c r="S191" t="str">
        <f>IF(Tabela4[[#This Row],[Tarefas por Cenário]]-Tabela4[[#This Row],[Tarefas Concluídas]]&gt;0,"Não","Sim")</f>
        <v>Não</v>
      </c>
      <c r="T191">
        <f>COUNTIFS(Tabela4[[#All],[Cenário]],Tabela4[[#This Row],[Cenário]],Tabela4[[#All],[Status]],Tabela4[[#Headers],[Elo - Em correção ]])</f>
        <v>0</v>
      </c>
      <c r="U191">
        <f>COUNTIFS(Tabela4[[#All],[Cenário]],Tabela4[[#This Row],[Cenário]],Tabela4[[#All],[Status]],Tabela4[[#Headers],[Keyuser - Aguardando tarefa precedente]])</f>
        <v>0</v>
      </c>
      <c r="V191">
        <f>COUNTIFS(Tabela4[[#All],[Cenário]],Tabela4[[#This Row],[Cenário]],Tabela4[[#All],[Status]],Tabela4[[#Headers],[Não liberado  para testes]])</f>
        <v>1</v>
      </c>
      <c r="W191" t="str">
        <f>IF(Tabela4[[#This Row],[Elo - Em correção ]]&gt;0,"Sim","Não")</f>
        <v>Não</v>
      </c>
      <c r="X191" t="str">
        <f>IF(Tabela4[[#This Row],[Keyuser - Aguardando tarefa precedente]]&gt;0,"Sim","Não")</f>
        <v>Não</v>
      </c>
      <c r="Y191" t="str">
        <f>IF(Tabela4[[#This Row],[Não liberado  para testes]]&gt;0,"Sim","Não")</f>
        <v>Sim</v>
      </c>
      <c r="Z191" t="str">
        <f ca="1">IF(Tabela4[[#This Row],[Status]]="Keyuser - Pendente",NETWORKDAYS(Tabela4[[#This Row],[Dt Inicial]],TODAY()),"")</f>
        <v/>
      </c>
      <c r="AA191" t="b">
        <f>AND(Tabela4[[#This Row],[Status]]="Keyuser - Aguardando tarefa precedente",K190="Keyuser - Concluído ")</f>
        <v>0</v>
      </c>
    </row>
    <row r="192" spans="1:27" x14ac:dyDescent="0.25">
      <c r="A192" t="str">
        <f>"OUT-"&amp;IFERROR(MID(Tabela4[[#This Row],[Cenário]],SEARCH("(",Tabela4[[#This Row],[Cenário]])+1,SEARCH(")",Tabela4[[#This Row],[Cenário]])-SEARCH("(",Tabela4[[#This Row],[Cenário]])-1),"")&amp;"_"&amp;ROW()</f>
        <v>OUT-OPLA_192</v>
      </c>
      <c r="B192" t="s">
        <v>358</v>
      </c>
      <c r="C192" t="s">
        <v>465</v>
      </c>
      <c r="D192" t="s">
        <v>360</v>
      </c>
      <c r="E192">
        <v>1</v>
      </c>
      <c r="F192" t="s">
        <v>360</v>
      </c>
      <c r="G192" t="s">
        <v>377</v>
      </c>
      <c r="H192" s="9">
        <v>60668344</v>
      </c>
      <c r="K192" s="9" t="s">
        <v>271</v>
      </c>
      <c r="L192" s="78">
        <v>45960</v>
      </c>
      <c r="N192" s="78">
        <v>45960</v>
      </c>
      <c r="O192" s="31"/>
      <c r="P192" s="9"/>
      <c r="Q192" s="9">
        <f>COUNTIF(Tabela4[[#All],[Cenário]],Tabela4[[#This Row],[Cenário]])</f>
        <v>6</v>
      </c>
      <c r="R192">
        <f>COUNTIFS(Tabela4[[#All],[Cenário]],Tabela4[[#This Row],[Cenário]],Tabela4[[#All],[Status]],"Keyuser - Concluído ")</f>
        <v>5</v>
      </c>
      <c r="S192" t="str">
        <f>IF(Tabela4[[#This Row],[Tarefas por Cenário]]-Tabela4[[#This Row],[Tarefas Concluídas]]&gt;0,"Não","Sim")</f>
        <v>Não</v>
      </c>
      <c r="T192">
        <f>COUNTIFS(Tabela4[[#All],[Cenário]],Tabela4[[#This Row],[Cenário]],Tabela4[[#All],[Status]],Tabela4[[#Headers],[Elo - Em correção ]])</f>
        <v>0</v>
      </c>
      <c r="U192">
        <f>COUNTIFS(Tabela4[[#All],[Cenário]],Tabela4[[#This Row],[Cenário]],Tabela4[[#All],[Status]],Tabela4[[#Headers],[Keyuser - Aguardando tarefa precedente]])</f>
        <v>0</v>
      </c>
      <c r="V192">
        <f>COUNTIFS(Tabela4[[#All],[Cenário]],Tabela4[[#This Row],[Cenário]],Tabela4[[#All],[Status]],Tabela4[[#Headers],[Não liberado  para testes]])</f>
        <v>1</v>
      </c>
      <c r="W192" t="str">
        <f>IF(Tabela4[[#This Row],[Elo - Em correção ]]&gt;0,"Sim","Não")</f>
        <v>Não</v>
      </c>
      <c r="X192" t="str">
        <f>IF(Tabela4[[#This Row],[Keyuser - Aguardando tarefa precedente]]&gt;0,"Sim","Não")</f>
        <v>Não</v>
      </c>
      <c r="Y192" t="str">
        <f>IF(Tabela4[[#This Row],[Não liberado  para testes]]&gt;0,"Sim","Não")</f>
        <v>Sim</v>
      </c>
      <c r="Z192" t="str">
        <f ca="1">IF(Tabela4[[#This Row],[Status]]="Keyuser - Pendente",NETWORKDAYS(Tabela4[[#This Row],[Dt Inicial]],TODAY()),"")</f>
        <v/>
      </c>
      <c r="AA192" t="b">
        <f>AND(Tabela4[[#This Row],[Status]]="Keyuser - Aguardando tarefa precedente",K191="Keyuser - Concluído ")</f>
        <v>0</v>
      </c>
    </row>
    <row r="193" spans="1:27" x14ac:dyDescent="0.25">
      <c r="A193" t="str">
        <f>"OUT-"&amp;IFERROR(MID(Tabela4[[#This Row],[Cenário]],SEARCH("(",Tabela4[[#This Row],[Cenário]])+1,SEARCH(")",Tabela4[[#This Row],[Cenário]])-SEARCH("(",Tabela4[[#This Row],[Cenário]])-1),"")&amp;"_"&amp;ROW()</f>
        <v>OUT-OPLA_193</v>
      </c>
      <c r="B193" t="s">
        <v>358</v>
      </c>
      <c r="C193" t="s">
        <v>465</v>
      </c>
      <c r="D193" t="s">
        <v>365</v>
      </c>
      <c r="E193">
        <v>2</v>
      </c>
      <c r="F193" t="s">
        <v>365</v>
      </c>
      <c r="G193" t="s">
        <v>310</v>
      </c>
      <c r="H193" s="9">
        <v>60668344</v>
      </c>
      <c r="K193" s="9" t="s">
        <v>271</v>
      </c>
      <c r="L193" s="78">
        <v>45961</v>
      </c>
      <c r="N193" s="78">
        <v>45961</v>
      </c>
      <c r="O193" s="31"/>
      <c r="P193" s="9"/>
      <c r="Q193" s="9">
        <f>COUNTIF(Tabela4[[#All],[Cenário]],Tabela4[[#This Row],[Cenário]])</f>
        <v>6</v>
      </c>
      <c r="R193">
        <f>COUNTIFS(Tabela4[[#All],[Cenário]],Tabela4[[#This Row],[Cenário]],Tabela4[[#All],[Status]],"Keyuser - Concluído ")</f>
        <v>5</v>
      </c>
      <c r="S193" t="str">
        <f>IF(Tabela4[[#This Row],[Tarefas por Cenário]]-Tabela4[[#This Row],[Tarefas Concluídas]]&gt;0,"Não","Sim")</f>
        <v>Não</v>
      </c>
      <c r="T193">
        <f>COUNTIFS(Tabela4[[#All],[Cenário]],Tabela4[[#This Row],[Cenário]],Tabela4[[#All],[Status]],Tabela4[[#Headers],[Elo - Em correção ]])</f>
        <v>0</v>
      </c>
      <c r="U193">
        <f>COUNTIFS(Tabela4[[#All],[Cenário]],Tabela4[[#This Row],[Cenário]],Tabela4[[#All],[Status]],Tabela4[[#Headers],[Keyuser - Aguardando tarefa precedente]])</f>
        <v>0</v>
      </c>
      <c r="V193">
        <f>COUNTIFS(Tabela4[[#All],[Cenário]],Tabela4[[#This Row],[Cenário]],Tabela4[[#All],[Status]],Tabela4[[#Headers],[Não liberado  para testes]])</f>
        <v>1</v>
      </c>
      <c r="W193" t="str">
        <f>IF(Tabela4[[#This Row],[Elo - Em correção ]]&gt;0,"Sim","Não")</f>
        <v>Não</v>
      </c>
      <c r="X193" t="str">
        <f>IF(Tabela4[[#This Row],[Keyuser - Aguardando tarefa precedente]]&gt;0,"Sim","Não")</f>
        <v>Não</v>
      </c>
      <c r="Y193" t="str">
        <f>IF(Tabela4[[#This Row],[Não liberado  para testes]]&gt;0,"Sim","Não")</f>
        <v>Sim</v>
      </c>
      <c r="Z193" t="str">
        <f ca="1">IF(Tabela4[[#This Row],[Status]]="Keyuser - Pendente",NETWORKDAYS(Tabela4[[#This Row],[Dt Inicial]],TODAY()),"")</f>
        <v/>
      </c>
      <c r="AA193" t="b">
        <f>AND(Tabela4[[#This Row],[Status]]="Keyuser - Aguardando tarefa precedente",K192="Keyuser - Concluído ")</f>
        <v>0</v>
      </c>
    </row>
    <row r="194" spans="1:27" x14ac:dyDescent="0.25">
      <c r="A194" t="str">
        <f>"OUT-"&amp;IFERROR(MID(Tabela4[[#This Row],[Cenário]],SEARCH("(",Tabela4[[#This Row],[Cenário]])+1,SEARCH(")",Tabela4[[#This Row],[Cenário]])-SEARCH("(",Tabela4[[#This Row],[Cenário]])-1),"")&amp;"_"&amp;ROW()</f>
        <v>OUT-OPLA_194</v>
      </c>
      <c r="B194" t="s">
        <v>358</v>
      </c>
      <c r="C194" t="s">
        <v>465</v>
      </c>
      <c r="D194" t="s">
        <v>368</v>
      </c>
      <c r="E194">
        <v>3</v>
      </c>
      <c r="F194" t="s">
        <v>368</v>
      </c>
      <c r="G194" t="s">
        <v>377</v>
      </c>
      <c r="H194" s="9" t="s">
        <v>466</v>
      </c>
      <c r="K194" s="9" t="s">
        <v>271</v>
      </c>
      <c r="L194" s="78">
        <v>45964</v>
      </c>
      <c r="N194" s="78">
        <v>45964</v>
      </c>
      <c r="O194" s="31" t="s">
        <v>467</v>
      </c>
      <c r="P194" s="9"/>
      <c r="Q194" s="9">
        <f>COUNTIF(Tabela4[[#All],[Cenário]],Tabela4[[#This Row],[Cenário]])</f>
        <v>6</v>
      </c>
      <c r="R194">
        <f>COUNTIFS(Tabela4[[#All],[Cenário]],Tabela4[[#This Row],[Cenário]],Tabela4[[#All],[Status]],"Keyuser - Concluído ")</f>
        <v>5</v>
      </c>
      <c r="S194" t="str">
        <f>IF(Tabela4[[#This Row],[Tarefas por Cenário]]-Tabela4[[#This Row],[Tarefas Concluídas]]&gt;0,"Não","Sim")</f>
        <v>Não</v>
      </c>
      <c r="T194">
        <f>COUNTIFS(Tabela4[[#All],[Cenário]],Tabela4[[#This Row],[Cenário]],Tabela4[[#All],[Status]],Tabela4[[#Headers],[Elo - Em correção ]])</f>
        <v>0</v>
      </c>
      <c r="U194">
        <f>COUNTIFS(Tabela4[[#All],[Cenário]],Tabela4[[#This Row],[Cenário]],Tabela4[[#All],[Status]],Tabela4[[#Headers],[Keyuser - Aguardando tarefa precedente]])</f>
        <v>0</v>
      </c>
      <c r="V194">
        <f>COUNTIFS(Tabela4[[#All],[Cenário]],Tabela4[[#This Row],[Cenário]],Tabela4[[#All],[Status]],Tabela4[[#Headers],[Não liberado  para testes]])</f>
        <v>1</v>
      </c>
      <c r="W194" t="str">
        <f>IF(Tabela4[[#This Row],[Elo - Em correção ]]&gt;0,"Sim","Não")</f>
        <v>Não</v>
      </c>
      <c r="X194" t="str">
        <f>IF(Tabela4[[#This Row],[Keyuser - Aguardando tarefa precedente]]&gt;0,"Sim","Não")</f>
        <v>Não</v>
      </c>
      <c r="Y194" t="str">
        <f>IF(Tabela4[[#This Row],[Não liberado  para testes]]&gt;0,"Sim","Não")</f>
        <v>Sim</v>
      </c>
      <c r="Z194" t="str">
        <f ca="1">IF(Tabela4[[#This Row],[Status]]="Keyuser - Pendente",NETWORKDAYS(Tabela4[[#This Row],[Dt Inicial]],TODAY()),"")</f>
        <v/>
      </c>
      <c r="AA194" t="b">
        <f>AND(Tabela4[[#This Row],[Status]]="Keyuser - Aguardando tarefa precedente",K193="Keyuser - Concluído ")</f>
        <v>0</v>
      </c>
    </row>
    <row r="195" spans="1:27" x14ac:dyDescent="0.25">
      <c r="A195" t="str">
        <f>"OUT-"&amp;IFERROR(MID(Tabela4[[#This Row],[Cenário]],SEARCH("(",Tabela4[[#This Row],[Cenário]])+1,SEARCH(")",Tabela4[[#This Row],[Cenário]])-SEARCH("(",Tabela4[[#This Row],[Cenário]])-1),"")&amp;"_"&amp;ROW()</f>
        <v>OUT-OPLA_195</v>
      </c>
      <c r="B195" t="s">
        <v>358</v>
      </c>
      <c r="C195" t="s">
        <v>465</v>
      </c>
      <c r="D195" t="s">
        <v>371</v>
      </c>
      <c r="E195">
        <v>4</v>
      </c>
      <c r="F195" t="s">
        <v>372</v>
      </c>
      <c r="G195" t="s">
        <v>287</v>
      </c>
      <c r="H195" s="9" t="s">
        <v>466</v>
      </c>
      <c r="K195" s="9" t="s">
        <v>271</v>
      </c>
      <c r="L195" s="78">
        <v>45972</v>
      </c>
      <c r="N195" s="78">
        <v>45972</v>
      </c>
      <c r="O195" s="31"/>
      <c r="P195" s="9"/>
      <c r="Q195" s="9">
        <f>COUNTIF(Tabela4[[#All],[Cenário]],Tabela4[[#This Row],[Cenário]])</f>
        <v>6</v>
      </c>
      <c r="R195">
        <f>COUNTIFS(Tabela4[[#All],[Cenário]],Tabela4[[#This Row],[Cenário]],Tabela4[[#All],[Status]],"Keyuser - Concluído ")</f>
        <v>5</v>
      </c>
      <c r="S195" t="str">
        <f>IF(Tabela4[[#This Row],[Tarefas por Cenário]]-Tabela4[[#This Row],[Tarefas Concluídas]]&gt;0,"Não","Sim")</f>
        <v>Não</v>
      </c>
      <c r="T195">
        <f>COUNTIFS(Tabela4[[#All],[Cenário]],Tabela4[[#This Row],[Cenário]],Tabela4[[#All],[Status]],Tabela4[[#Headers],[Elo - Em correção ]])</f>
        <v>0</v>
      </c>
      <c r="U195">
        <f>COUNTIFS(Tabela4[[#All],[Cenário]],Tabela4[[#This Row],[Cenário]],Tabela4[[#All],[Status]],Tabela4[[#Headers],[Keyuser - Aguardando tarefa precedente]])</f>
        <v>0</v>
      </c>
      <c r="V195">
        <f>COUNTIFS(Tabela4[[#All],[Cenário]],Tabela4[[#This Row],[Cenário]],Tabela4[[#All],[Status]],Tabela4[[#Headers],[Não liberado  para testes]])</f>
        <v>1</v>
      </c>
      <c r="W195" t="str">
        <f>IF(Tabela4[[#This Row],[Elo - Em correção ]]&gt;0,"Sim","Não")</f>
        <v>Não</v>
      </c>
      <c r="X195" t="str">
        <f>IF(Tabela4[[#This Row],[Keyuser - Aguardando tarefa precedente]]&gt;0,"Sim","Não")</f>
        <v>Não</v>
      </c>
      <c r="Y195" t="str">
        <f>IF(Tabela4[[#This Row],[Não liberado  para testes]]&gt;0,"Sim","Não")</f>
        <v>Sim</v>
      </c>
      <c r="Z195" t="str">
        <f ca="1">IF(Tabela4[[#This Row],[Status]]="Keyuser - Pendente",NETWORKDAYS(Tabela4[[#This Row],[Dt Inicial]],TODAY()),"")</f>
        <v/>
      </c>
      <c r="AA195" t="b">
        <f>AND(Tabela4[[#This Row],[Status]]="Keyuser - Aguardando tarefa precedente",K194="Keyuser - Concluído ")</f>
        <v>0</v>
      </c>
    </row>
    <row r="196" spans="1:27" x14ac:dyDescent="0.25">
      <c r="A196" t="str">
        <f>"OUT-"&amp;IFERROR(MID(Tabela4[[#This Row],[Cenário]],SEARCH("(",Tabela4[[#This Row],[Cenário]])+1,SEARCH(")",Tabela4[[#This Row],[Cenário]])-SEARCH("(",Tabela4[[#This Row],[Cenário]])-1),"")&amp;"_"&amp;ROW()</f>
        <v>OUT-OPLA_196</v>
      </c>
      <c r="B196" t="s">
        <v>358</v>
      </c>
      <c r="C196" t="s">
        <v>465</v>
      </c>
      <c r="D196" t="s">
        <v>373</v>
      </c>
      <c r="E196">
        <v>5</v>
      </c>
      <c r="F196" t="s">
        <v>373</v>
      </c>
      <c r="G196" t="s">
        <v>283</v>
      </c>
      <c r="H196" s="9" t="s">
        <v>466</v>
      </c>
      <c r="K196" s="9" t="s">
        <v>271</v>
      </c>
      <c r="L196" s="78">
        <v>46002</v>
      </c>
      <c r="N196" s="78">
        <v>46002</v>
      </c>
      <c r="O196" s="31"/>
      <c r="P196" s="9"/>
      <c r="Q196" s="9">
        <f>COUNTIF(Tabela4[[#All],[Cenário]],Tabela4[[#This Row],[Cenário]])</f>
        <v>6</v>
      </c>
      <c r="R196">
        <f>COUNTIFS(Tabela4[[#All],[Cenário]],Tabela4[[#This Row],[Cenário]],Tabela4[[#All],[Status]],"Keyuser - Concluído ")</f>
        <v>5</v>
      </c>
      <c r="S196" t="str">
        <f>IF(Tabela4[[#This Row],[Tarefas por Cenário]]-Tabela4[[#This Row],[Tarefas Concluídas]]&gt;0,"Não","Sim")</f>
        <v>Não</v>
      </c>
      <c r="T196">
        <f>COUNTIFS(Tabela4[[#All],[Cenário]],Tabela4[[#This Row],[Cenário]],Tabela4[[#All],[Status]],Tabela4[[#Headers],[Elo - Em correção ]])</f>
        <v>0</v>
      </c>
      <c r="U196">
        <f>COUNTIFS(Tabela4[[#All],[Cenário]],Tabela4[[#This Row],[Cenário]],Tabela4[[#All],[Status]],Tabela4[[#Headers],[Keyuser - Aguardando tarefa precedente]])</f>
        <v>0</v>
      </c>
      <c r="V196">
        <f>COUNTIFS(Tabela4[[#All],[Cenário]],Tabela4[[#This Row],[Cenário]],Tabela4[[#All],[Status]],Tabela4[[#Headers],[Não liberado  para testes]])</f>
        <v>1</v>
      </c>
      <c r="W196" t="str">
        <f>IF(Tabela4[[#This Row],[Elo - Em correção ]]&gt;0,"Sim","Não")</f>
        <v>Não</v>
      </c>
      <c r="X196" t="str">
        <f>IF(Tabela4[[#This Row],[Keyuser - Aguardando tarefa precedente]]&gt;0,"Sim","Não")</f>
        <v>Não</v>
      </c>
      <c r="Y196" t="str">
        <f>IF(Tabela4[[#This Row],[Não liberado  para testes]]&gt;0,"Sim","Não")</f>
        <v>Sim</v>
      </c>
      <c r="Z196" t="str">
        <f ca="1">IF(Tabela4[[#This Row],[Status]]="Keyuser - Pendente",NETWORKDAYS(Tabela4[[#This Row],[Dt Inicial]],TODAY()),"")</f>
        <v/>
      </c>
      <c r="AA196" t="b">
        <f>AND(Tabela4[[#This Row],[Status]]="Keyuser - Aguardando tarefa precedente",K195="Keyuser - Concluído ")</f>
        <v>0</v>
      </c>
    </row>
    <row r="197" spans="1:27" x14ac:dyDescent="0.25">
      <c r="A197" t="str">
        <f>"OUT-"&amp;IFERROR(MID(Tabela4[[#This Row],[Cenário]],SEARCH("(",Tabela4[[#This Row],[Cenário]])+1,SEARCH(")",Tabela4[[#This Row],[Cenário]])-SEARCH("(",Tabela4[[#This Row],[Cenário]])-1),"")&amp;"_"&amp;ROW()</f>
        <v>OUT-OPLA_197</v>
      </c>
      <c r="B197" t="s">
        <v>374</v>
      </c>
      <c r="C197" t="s">
        <v>465</v>
      </c>
      <c r="D197" t="s">
        <v>286</v>
      </c>
      <c r="E197">
        <v>6</v>
      </c>
      <c r="F197" t="s">
        <v>286</v>
      </c>
      <c r="G197" t="s">
        <v>287</v>
      </c>
      <c r="K197" s="9" t="s">
        <v>262</v>
      </c>
      <c r="N197" s="78"/>
      <c r="O197" s="31"/>
      <c r="P197" s="9"/>
      <c r="Q197" s="9">
        <f>COUNTIF(Tabela4[[#All],[Cenário]],Tabela4[[#This Row],[Cenário]])</f>
        <v>6</v>
      </c>
      <c r="R197">
        <f>COUNTIFS(Tabela4[[#All],[Cenário]],Tabela4[[#This Row],[Cenário]],Tabela4[[#All],[Status]],"Keyuser - Concluído ")</f>
        <v>5</v>
      </c>
      <c r="S197" t="str">
        <f>IF(Tabela4[[#This Row],[Tarefas por Cenário]]-Tabela4[[#This Row],[Tarefas Concluídas]]&gt;0,"Não","Sim")</f>
        <v>Não</v>
      </c>
      <c r="T197">
        <f>COUNTIFS(Tabela4[[#All],[Cenário]],Tabela4[[#This Row],[Cenário]],Tabela4[[#All],[Status]],Tabela4[[#Headers],[Elo - Em correção ]])</f>
        <v>0</v>
      </c>
      <c r="U197">
        <f>COUNTIFS(Tabela4[[#All],[Cenário]],Tabela4[[#This Row],[Cenário]],Tabela4[[#All],[Status]],Tabela4[[#Headers],[Keyuser - Aguardando tarefa precedente]])</f>
        <v>0</v>
      </c>
      <c r="V197">
        <f>COUNTIFS(Tabela4[[#All],[Cenário]],Tabela4[[#This Row],[Cenário]],Tabela4[[#All],[Status]],Tabela4[[#Headers],[Não liberado  para testes]])</f>
        <v>1</v>
      </c>
      <c r="W197" t="str">
        <f>IF(Tabela4[[#This Row],[Elo - Em correção ]]&gt;0,"Sim","Não")</f>
        <v>Não</v>
      </c>
      <c r="X197" t="str">
        <f>IF(Tabela4[[#This Row],[Keyuser - Aguardando tarefa precedente]]&gt;0,"Sim","Não")</f>
        <v>Não</v>
      </c>
      <c r="Y197" t="str">
        <f>IF(Tabela4[[#This Row],[Não liberado  para testes]]&gt;0,"Sim","Não")</f>
        <v>Sim</v>
      </c>
      <c r="Z197" t="str">
        <f ca="1">IF(Tabela4[[#This Row],[Status]]="Keyuser - Pendente",NETWORKDAYS(Tabela4[[#This Row],[Dt Inicial]],TODAY()),"")</f>
        <v/>
      </c>
      <c r="AA197" t="b">
        <f>AND(Tabela4[[#This Row],[Status]]="Keyuser - Aguardando tarefa precedente",K196="Keyuser - Concluído ")</f>
        <v>0</v>
      </c>
    </row>
    <row r="198" spans="1:27" x14ac:dyDescent="0.25">
      <c r="A198" t="str">
        <f>"OUT-"&amp;IFERROR(MID(Tabela4[[#This Row],[Cenário]],SEARCH("(",Tabela4[[#This Row],[Cenário]])+1,SEARCH(")",Tabela4[[#This Row],[Cenário]])-SEARCH("(",Tabela4[[#This Row],[Cenário]])-1),"")&amp;"_"&amp;ROW()</f>
        <v>OUT-Y036_198</v>
      </c>
      <c r="B198" t="s">
        <v>358</v>
      </c>
      <c r="C198" t="s">
        <v>468</v>
      </c>
      <c r="D198" t="s">
        <v>469</v>
      </c>
      <c r="E198">
        <v>1</v>
      </c>
      <c r="F198" t="s">
        <v>469</v>
      </c>
      <c r="G198" t="s">
        <v>361</v>
      </c>
      <c r="H198" s="9">
        <v>4501888991</v>
      </c>
      <c r="J198" s="13" t="s">
        <v>364</v>
      </c>
      <c r="K198" s="9" t="s">
        <v>271</v>
      </c>
      <c r="L198" s="78">
        <v>45941</v>
      </c>
      <c r="N198" s="78">
        <v>45941</v>
      </c>
      <c r="O198" s="31"/>
      <c r="P198" s="9"/>
      <c r="Q198" s="9">
        <f>COUNTIF(Tabela4[[#All],[Cenário]],Tabela4[[#This Row],[Cenário]])</f>
        <v>32</v>
      </c>
      <c r="R198">
        <f>COUNTIFS(Tabela4[[#All],[Cenário]],Tabela4[[#This Row],[Cenário]],Tabela4[[#All],[Status]],"Keyuser - Concluído ")</f>
        <v>31</v>
      </c>
      <c r="S198" t="str">
        <f>IF(Tabela4[[#This Row],[Tarefas por Cenário]]-Tabela4[[#This Row],[Tarefas Concluídas]]&gt;0,"Não","Sim")</f>
        <v>Não</v>
      </c>
      <c r="T198">
        <f>COUNTIFS(Tabela4[[#All],[Cenário]],Tabela4[[#This Row],[Cenário]],Tabela4[[#All],[Status]],Tabela4[[#Headers],[Elo - Em correção ]])</f>
        <v>0</v>
      </c>
      <c r="U198">
        <f>COUNTIFS(Tabela4[[#All],[Cenário]],Tabela4[[#This Row],[Cenário]],Tabela4[[#All],[Status]],Tabela4[[#Headers],[Keyuser - Aguardando tarefa precedente]])</f>
        <v>0</v>
      </c>
      <c r="V198">
        <f>COUNTIFS(Tabela4[[#All],[Cenário]],Tabela4[[#This Row],[Cenário]],Tabela4[[#All],[Status]],Tabela4[[#Headers],[Não liberado  para testes]])</f>
        <v>1</v>
      </c>
      <c r="W198" t="str">
        <f>IF(Tabela4[[#This Row],[Elo - Em correção ]]&gt;0,"Sim","Não")</f>
        <v>Não</v>
      </c>
      <c r="X198" t="str">
        <f>IF(Tabela4[[#This Row],[Keyuser - Aguardando tarefa precedente]]&gt;0,"Sim","Não")</f>
        <v>Não</v>
      </c>
      <c r="Y198" t="str">
        <f>IF(Tabela4[[#This Row],[Não liberado  para testes]]&gt;0,"Sim","Não")</f>
        <v>Sim</v>
      </c>
      <c r="Z198" t="str">
        <f ca="1">IF(Tabela4[[#This Row],[Status]]="Keyuser - Pendente",NETWORKDAYS(Tabela4[[#This Row],[Dt Inicial]],TODAY()),"")</f>
        <v/>
      </c>
      <c r="AA198" t="b">
        <f>AND(Tabela4[[#This Row],[Status]]="Keyuser - Aguardando tarefa precedente",K197="Keyuser - Concluído ")</f>
        <v>0</v>
      </c>
    </row>
    <row r="199" spans="1:27" x14ac:dyDescent="0.25">
      <c r="A199" t="str">
        <f>"OUT-"&amp;IFERROR(MID(Tabela4[[#This Row],[Cenário]],SEARCH("(",Tabela4[[#This Row],[Cenário]])+1,SEARCH(")",Tabela4[[#This Row],[Cenário]])-SEARCH("(",Tabela4[[#This Row],[Cenário]])-1),"")&amp;"_"&amp;ROW()</f>
        <v>OUT-Y036_199</v>
      </c>
      <c r="B199" t="s">
        <v>358</v>
      </c>
      <c r="C199" t="s">
        <v>468</v>
      </c>
      <c r="D199" t="s">
        <v>470</v>
      </c>
      <c r="E199">
        <v>2</v>
      </c>
      <c r="F199" t="s">
        <v>470</v>
      </c>
      <c r="G199" t="s">
        <v>361</v>
      </c>
      <c r="H199" s="9">
        <v>15603682</v>
      </c>
      <c r="I199" s="13" t="s">
        <v>471</v>
      </c>
      <c r="J199" s="13" t="s">
        <v>364</v>
      </c>
      <c r="K199" s="9" t="s">
        <v>271</v>
      </c>
      <c r="L199" s="78">
        <v>45941</v>
      </c>
      <c r="N199" s="78">
        <v>45941</v>
      </c>
      <c r="O199" s="31"/>
      <c r="P199" s="9"/>
      <c r="Q199" s="9">
        <f>COUNTIF(Tabela4[[#All],[Cenário]],Tabela4[[#This Row],[Cenário]])</f>
        <v>32</v>
      </c>
      <c r="R199">
        <f>COUNTIFS(Tabela4[[#All],[Cenário]],Tabela4[[#This Row],[Cenário]],Tabela4[[#All],[Status]],"Keyuser - Concluído ")</f>
        <v>31</v>
      </c>
      <c r="S199" t="str">
        <f>IF(Tabela4[[#This Row],[Tarefas por Cenário]]-Tabela4[[#This Row],[Tarefas Concluídas]]&gt;0,"Não","Sim")</f>
        <v>Não</v>
      </c>
      <c r="T199">
        <f>COUNTIFS(Tabela4[[#All],[Cenário]],Tabela4[[#This Row],[Cenário]],Tabela4[[#All],[Status]],Tabela4[[#Headers],[Elo - Em correção ]])</f>
        <v>0</v>
      </c>
      <c r="U199">
        <f>COUNTIFS(Tabela4[[#All],[Cenário]],Tabela4[[#This Row],[Cenário]],Tabela4[[#All],[Status]],Tabela4[[#Headers],[Keyuser - Aguardando tarefa precedente]])</f>
        <v>0</v>
      </c>
      <c r="V199">
        <f>COUNTIFS(Tabela4[[#All],[Cenário]],Tabela4[[#This Row],[Cenário]],Tabela4[[#All],[Status]],Tabela4[[#Headers],[Não liberado  para testes]])</f>
        <v>1</v>
      </c>
      <c r="W199" t="str">
        <f>IF(Tabela4[[#This Row],[Elo - Em correção ]]&gt;0,"Sim","Não")</f>
        <v>Não</v>
      </c>
      <c r="X199" t="str">
        <f>IF(Tabela4[[#This Row],[Keyuser - Aguardando tarefa precedente]]&gt;0,"Sim","Não")</f>
        <v>Não</v>
      </c>
      <c r="Y199" t="str">
        <f>IF(Tabela4[[#This Row],[Não liberado  para testes]]&gt;0,"Sim","Não")</f>
        <v>Sim</v>
      </c>
      <c r="Z199" t="str">
        <f ca="1">IF(Tabela4[[#This Row],[Status]]="Keyuser - Pendente",NETWORKDAYS(Tabela4[[#This Row],[Dt Inicial]],TODAY()),"")</f>
        <v/>
      </c>
      <c r="AA199" t="b">
        <f>AND(Tabela4[[#This Row],[Status]]="Keyuser - Aguardando tarefa precedente",K198="Keyuser - Concluído ")</f>
        <v>0</v>
      </c>
    </row>
    <row r="200" spans="1:27" x14ac:dyDescent="0.25">
      <c r="A200" t="str">
        <f>"OUT-"&amp;IFERROR(MID(Tabela4[[#This Row],[Cenário]],SEARCH("(",Tabela4[[#This Row],[Cenário]])+1,SEARCH(")",Tabela4[[#This Row],[Cenário]])-SEARCH("(",Tabela4[[#This Row],[Cenário]])-1),"")&amp;"_"&amp;ROW()</f>
        <v>OUT-Y036_200</v>
      </c>
      <c r="B200" t="s">
        <v>358</v>
      </c>
      <c r="C200" t="s">
        <v>468</v>
      </c>
      <c r="D200" t="s">
        <v>472</v>
      </c>
      <c r="E200">
        <v>3</v>
      </c>
      <c r="F200" t="s">
        <v>472</v>
      </c>
      <c r="G200" t="s">
        <v>310</v>
      </c>
      <c r="H200" s="9">
        <v>15603682</v>
      </c>
      <c r="I200" s="13" t="s">
        <v>471</v>
      </c>
      <c r="J200" s="13" t="s">
        <v>364</v>
      </c>
      <c r="K200" s="9" t="s">
        <v>271</v>
      </c>
      <c r="L200" s="78">
        <v>45941</v>
      </c>
      <c r="N200" s="78">
        <v>45941</v>
      </c>
      <c r="O200" s="31"/>
      <c r="P200" s="9"/>
      <c r="Q200" s="9">
        <f>COUNTIF(Tabela4[[#All],[Cenário]],Tabela4[[#This Row],[Cenário]])</f>
        <v>32</v>
      </c>
      <c r="R200">
        <f>COUNTIFS(Tabela4[[#All],[Cenário]],Tabela4[[#This Row],[Cenário]],Tabela4[[#All],[Status]],"Keyuser - Concluído ")</f>
        <v>31</v>
      </c>
      <c r="S200" t="str">
        <f>IF(Tabela4[[#This Row],[Tarefas por Cenário]]-Tabela4[[#This Row],[Tarefas Concluídas]]&gt;0,"Não","Sim")</f>
        <v>Não</v>
      </c>
      <c r="T200">
        <f>COUNTIFS(Tabela4[[#All],[Cenário]],Tabela4[[#This Row],[Cenário]],Tabela4[[#All],[Status]],Tabela4[[#Headers],[Elo - Em correção ]])</f>
        <v>0</v>
      </c>
      <c r="U200">
        <f>COUNTIFS(Tabela4[[#All],[Cenário]],Tabela4[[#This Row],[Cenário]],Tabela4[[#All],[Status]],Tabela4[[#Headers],[Keyuser - Aguardando tarefa precedente]])</f>
        <v>0</v>
      </c>
      <c r="V200">
        <f>COUNTIFS(Tabela4[[#All],[Cenário]],Tabela4[[#This Row],[Cenário]],Tabela4[[#All],[Status]],Tabela4[[#Headers],[Não liberado  para testes]])</f>
        <v>1</v>
      </c>
      <c r="W200" t="str">
        <f>IF(Tabela4[[#This Row],[Elo - Em correção ]]&gt;0,"Sim","Não")</f>
        <v>Não</v>
      </c>
      <c r="X200" t="str">
        <f>IF(Tabela4[[#This Row],[Keyuser - Aguardando tarefa precedente]]&gt;0,"Sim","Não")</f>
        <v>Não</v>
      </c>
      <c r="Y200" t="str">
        <f>IF(Tabela4[[#This Row],[Não liberado  para testes]]&gt;0,"Sim","Não")</f>
        <v>Sim</v>
      </c>
      <c r="Z200" t="str">
        <f ca="1">IF(Tabela4[[#This Row],[Status]]="Keyuser - Pendente",NETWORKDAYS(Tabela4[[#This Row],[Dt Inicial]],TODAY()),"")</f>
        <v/>
      </c>
      <c r="AA200" t="b">
        <f>AND(Tabela4[[#This Row],[Status]]="Keyuser - Aguardando tarefa precedente",K199="Keyuser - Concluído ")</f>
        <v>0</v>
      </c>
    </row>
    <row r="201" spans="1:27" x14ac:dyDescent="0.25">
      <c r="A201" t="str">
        <f>"OUT-"&amp;IFERROR(MID(Tabela4[[#This Row],[Cenário]],SEARCH("(",Tabela4[[#This Row],[Cenário]])+1,SEARCH(")",Tabela4[[#This Row],[Cenário]])-SEARCH("(",Tabela4[[#This Row],[Cenário]])-1),"")&amp;"_"&amp;ROW()</f>
        <v>OUT-Y036_201</v>
      </c>
      <c r="B201" t="s">
        <v>358</v>
      </c>
      <c r="C201" t="s">
        <v>468</v>
      </c>
      <c r="D201" t="s">
        <v>473</v>
      </c>
      <c r="E201">
        <v>4</v>
      </c>
      <c r="F201" t="s">
        <v>473</v>
      </c>
      <c r="G201" t="s">
        <v>369</v>
      </c>
      <c r="H201" s="13"/>
      <c r="I201" s="15"/>
      <c r="J201" s="15"/>
      <c r="K201" s="9" t="s">
        <v>271</v>
      </c>
      <c r="L201" s="78">
        <v>45971</v>
      </c>
      <c r="N201" s="78">
        <v>45971</v>
      </c>
      <c r="O201" s="48"/>
      <c r="P201" s="9"/>
      <c r="Q201" s="9">
        <f>COUNTIF(Tabela4[[#All],[Cenário]],Tabela4[[#This Row],[Cenário]])</f>
        <v>32</v>
      </c>
      <c r="R201">
        <f>COUNTIFS(Tabela4[[#All],[Cenário]],Tabela4[[#This Row],[Cenário]],Tabela4[[#All],[Status]],"Keyuser - Concluído ")</f>
        <v>31</v>
      </c>
      <c r="S201" t="str">
        <f>IF(Tabela4[[#This Row],[Tarefas por Cenário]]-Tabela4[[#This Row],[Tarefas Concluídas]]&gt;0,"Não","Sim")</f>
        <v>Não</v>
      </c>
      <c r="T201">
        <f>COUNTIFS(Tabela4[[#All],[Cenário]],Tabela4[[#This Row],[Cenário]],Tabela4[[#All],[Status]],Tabela4[[#Headers],[Elo - Em correção ]])</f>
        <v>0</v>
      </c>
      <c r="U201">
        <f>COUNTIFS(Tabela4[[#All],[Cenário]],Tabela4[[#This Row],[Cenário]],Tabela4[[#All],[Status]],Tabela4[[#Headers],[Keyuser - Aguardando tarefa precedente]])</f>
        <v>0</v>
      </c>
      <c r="V201">
        <f>COUNTIFS(Tabela4[[#All],[Cenário]],Tabela4[[#This Row],[Cenário]],Tabela4[[#All],[Status]],Tabela4[[#Headers],[Não liberado  para testes]])</f>
        <v>1</v>
      </c>
      <c r="W201" t="str">
        <f>IF(Tabela4[[#This Row],[Elo - Em correção ]]&gt;0,"Sim","Não")</f>
        <v>Não</v>
      </c>
      <c r="X201" t="str">
        <f>IF(Tabela4[[#This Row],[Keyuser - Aguardando tarefa precedente]]&gt;0,"Sim","Não")</f>
        <v>Não</v>
      </c>
      <c r="Y201" t="str">
        <f>IF(Tabela4[[#This Row],[Não liberado  para testes]]&gt;0,"Sim","Não")</f>
        <v>Sim</v>
      </c>
      <c r="Z201" t="str">
        <f ca="1">IF(Tabela4[[#This Row],[Status]]="Keyuser - Pendente",NETWORKDAYS(Tabela4[[#This Row],[Dt Inicial]],TODAY()),"")</f>
        <v/>
      </c>
      <c r="AA201" t="b">
        <f>AND(Tabela4[[#This Row],[Status]]="Keyuser - Aguardando tarefa precedente",K200="Keyuser - Concluído ")</f>
        <v>0</v>
      </c>
    </row>
    <row r="202" spans="1:27" x14ac:dyDescent="0.25">
      <c r="A202" t="str">
        <f>"OUT-"&amp;IFERROR(MID(Tabela4[[#This Row],[Cenário]],SEARCH("(",Tabela4[[#This Row],[Cenário]])+1,SEARCH(")",Tabela4[[#This Row],[Cenário]])-SEARCH("(",Tabela4[[#This Row],[Cenário]])-1),"")&amp;"_"&amp;ROW()</f>
        <v>OUT-Y036_202</v>
      </c>
      <c r="B202" t="s">
        <v>358</v>
      </c>
      <c r="C202" t="s">
        <v>468</v>
      </c>
      <c r="D202" t="s">
        <v>474</v>
      </c>
      <c r="E202">
        <v>5</v>
      </c>
      <c r="F202" t="s">
        <v>474</v>
      </c>
      <c r="G202" t="s">
        <v>369</v>
      </c>
      <c r="H202" s="13">
        <v>575216</v>
      </c>
      <c r="I202" s="13"/>
      <c r="J202" s="13"/>
      <c r="K202" s="9" t="s">
        <v>271</v>
      </c>
      <c r="L202" s="78">
        <v>45971</v>
      </c>
      <c r="N202" s="78">
        <v>45971</v>
      </c>
      <c r="O202" s="31"/>
      <c r="P202" s="9"/>
      <c r="Q202" s="9">
        <f>COUNTIF(Tabela4[[#All],[Cenário]],Tabela4[[#This Row],[Cenário]])</f>
        <v>32</v>
      </c>
      <c r="R202">
        <f>COUNTIFS(Tabela4[[#All],[Cenário]],Tabela4[[#This Row],[Cenário]],Tabela4[[#All],[Status]],"Keyuser - Concluído ")</f>
        <v>31</v>
      </c>
      <c r="S202" t="str">
        <f>IF(Tabela4[[#This Row],[Tarefas por Cenário]]-Tabela4[[#This Row],[Tarefas Concluídas]]&gt;0,"Não","Sim")</f>
        <v>Não</v>
      </c>
      <c r="T202">
        <f>COUNTIFS(Tabela4[[#All],[Cenário]],Tabela4[[#This Row],[Cenário]],Tabela4[[#All],[Status]],Tabela4[[#Headers],[Elo - Em correção ]])</f>
        <v>0</v>
      </c>
      <c r="U202">
        <f>COUNTIFS(Tabela4[[#All],[Cenário]],Tabela4[[#This Row],[Cenário]],Tabela4[[#All],[Status]],Tabela4[[#Headers],[Keyuser - Aguardando tarefa precedente]])</f>
        <v>0</v>
      </c>
      <c r="V202">
        <f>COUNTIFS(Tabela4[[#All],[Cenário]],Tabela4[[#This Row],[Cenário]],Tabela4[[#All],[Status]],Tabela4[[#Headers],[Não liberado  para testes]])</f>
        <v>1</v>
      </c>
      <c r="W202" t="str">
        <f>IF(Tabela4[[#This Row],[Elo - Em correção ]]&gt;0,"Sim","Não")</f>
        <v>Não</v>
      </c>
      <c r="X202" t="str">
        <f>IF(Tabela4[[#This Row],[Keyuser - Aguardando tarefa precedente]]&gt;0,"Sim","Não")</f>
        <v>Não</v>
      </c>
      <c r="Y202" t="str">
        <f>IF(Tabela4[[#This Row],[Não liberado  para testes]]&gt;0,"Sim","Não")</f>
        <v>Sim</v>
      </c>
      <c r="Z202" t="str">
        <f ca="1">IF(Tabela4[[#This Row],[Status]]="Keyuser - Pendente",NETWORKDAYS(Tabela4[[#This Row],[Dt Inicial]],TODAY()),"")</f>
        <v/>
      </c>
      <c r="AA202" t="b">
        <f>AND(Tabela4[[#This Row],[Status]]="Keyuser - Aguardando tarefa precedente",K201="Keyuser - Concluído ")</f>
        <v>0</v>
      </c>
    </row>
    <row r="203" spans="1:27" x14ac:dyDescent="0.25">
      <c r="A203" t="str">
        <f>"OUT-"&amp;IFERROR(MID(Tabela4[[#This Row],[Cenário]],SEARCH("(",Tabela4[[#This Row],[Cenário]])+1,SEARCH(")",Tabela4[[#This Row],[Cenário]])-SEARCH("(",Tabela4[[#This Row],[Cenário]])-1),"")&amp;"_"&amp;ROW()</f>
        <v>OUT-Y036_203</v>
      </c>
      <c r="B203" t="s">
        <v>358</v>
      </c>
      <c r="C203" t="s">
        <v>468</v>
      </c>
      <c r="D203" t="s">
        <v>475</v>
      </c>
      <c r="E203">
        <v>6</v>
      </c>
      <c r="F203" t="s">
        <v>475</v>
      </c>
      <c r="G203" t="s">
        <v>369</v>
      </c>
      <c r="H203" s="13">
        <v>811951493</v>
      </c>
      <c r="I203" s="13"/>
      <c r="J203" s="13"/>
      <c r="K203" s="9" t="s">
        <v>271</v>
      </c>
      <c r="L203" s="78">
        <v>45971</v>
      </c>
      <c r="N203" s="78">
        <v>45971</v>
      </c>
      <c r="O203" s="31"/>
      <c r="P203" s="9"/>
      <c r="Q203" s="9">
        <f>COUNTIF(Tabela4[[#All],[Cenário]],Tabela4[[#This Row],[Cenário]])</f>
        <v>32</v>
      </c>
      <c r="R203">
        <f>COUNTIFS(Tabela4[[#All],[Cenário]],Tabela4[[#This Row],[Cenário]],Tabela4[[#All],[Status]],"Keyuser - Concluído ")</f>
        <v>31</v>
      </c>
      <c r="S203" t="str">
        <f>IF(Tabela4[[#This Row],[Tarefas por Cenário]]-Tabela4[[#This Row],[Tarefas Concluídas]]&gt;0,"Não","Sim")</f>
        <v>Não</v>
      </c>
      <c r="T203">
        <f>COUNTIFS(Tabela4[[#All],[Cenário]],Tabela4[[#This Row],[Cenário]],Tabela4[[#All],[Status]],Tabela4[[#Headers],[Elo - Em correção ]])</f>
        <v>0</v>
      </c>
      <c r="U203">
        <f>COUNTIFS(Tabela4[[#All],[Cenário]],Tabela4[[#This Row],[Cenário]],Tabela4[[#All],[Status]],Tabela4[[#Headers],[Keyuser - Aguardando tarefa precedente]])</f>
        <v>0</v>
      </c>
      <c r="V203">
        <f>COUNTIFS(Tabela4[[#All],[Cenário]],Tabela4[[#This Row],[Cenário]],Tabela4[[#All],[Status]],Tabela4[[#Headers],[Não liberado  para testes]])</f>
        <v>1</v>
      </c>
      <c r="W203" t="str">
        <f>IF(Tabela4[[#This Row],[Elo - Em correção ]]&gt;0,"Sim","Não")</f>
        <v>Não</v>
      </c>
      <c r="X203" t="str">
        <f>IF(Tabela4[[#This Row],[Keyuser - Aguardando tarefa precedente]]&gt;0,"Sim","Não")</f>
        <v>Não</v>
      </c>
      <c r="Y203" t="str">
        <f>IF(Tabela4[[#This Row],[Não liberado  para testes]]&gt;0,"Sim","Não")</f>
        <v>Sim</v>
      </c>
      <c r="Z203" t="str">
        <f ca="1">IF(Tabela4[[#This Row],[Status]]="Keyuser - Pendente",NETWORKDAYS(Tabela4[[#This Row],[Dt Inicial]],TODAY()),"")</f>
        <v/>
      </c>
      <c r="AA203" t="b">
        <f>AND(Tabela4[[#This Row],[Status]]="Keyuser - Aguardando tarefa precedente",K202="Keyuser - Concluído ")</f>
        <v>0</v>
      </c>
    </row>
    <row r="204" spans="1:27" x14ac:dyDescent="0.25">
      <c r="A204" t="str">
        <f>"OUT-"&amp;IFERROR(MID(Tabela4[[#This Row],[Cenário]],SEARCH("(",Tabela4[[#This Row],[Cenário]])+1,SEARCH(")",Tabela4[[#This Row],[Cenário]])-SEARCH("(",Tabela4[[#This Row],[Cenário]])-1),"")&amp;"_"&amp;ROW()</f>
        <v>OUT-Y036_204</v>
      </c>
      <c r="B204" t="s">
        <v>358</v>
      </c>
      <c r="C204" t="s">
        <v>468</v>
      </c>
      <c r="D204" t="s">
        <v>476</v>
      </c>
      <c r="E204">
        <v>7</v>
      </c>
      <c r="F204" t="s">
        <v>476</v>
      </c>
      <c r="G204" t="s">
        <v>369</v>
      </c>
      <c r="H204" s="13">
        <v>11476964</v>
      </c>
      <c r="I204" s="13"/>
      <c r="J204" s="13"/>
      <c r="K204" s="9" t="s">
        <v>271</v>
      </c>
      <c r="L204" s="78">
        <v>45971</v>
      </c>
      <c r="N204" s="78">
        <v>45971</v>
      </c>
      <c r="O204" s="31"/>
      <c r="P204" s="9"/>
      <c r="Q204" s="9">
        <f>COUNTIF(Tabela4[[#All],[Cenário]],Tabela4[[#This Row],[Cenário]])</f>
        <v>32</v>
      </c>
      <c r="R204">
        <f>COUNTIFS(Tabela4[[#All],[Cenário]],Tabela4[[#This Row],[Cenário]],Tabela4[[#All],[Status]],"Keyuser - Concluído ")</f>
        <v>31</v>
      </c>
      <c r="S204" t="str">
        <f>IF(Tabela4[[#This Row],[Tarefas por Cenário]]-Tabela4[[#This Row],[Tarefas Concluídas]]&gt;0,"Não","Sim")</f>
        <v>Não</v>
      </c>
      <c r="T204">
        <f>COUNTIFS(Tabela4[[#All],[Cenário]],Tabela4[[#This Row],[Cenário]],Tabela4[[#All],[Status]],Tabela4[[#Headers],[Elo - Em correção ]])</f>
        <v>0</v>
      </c>
      <c r="U204">
        <f>COUNTIFS(Tabela4[[#All],[Cenário]],Tabela4[[#This Row],[Cenário]],Tabela4[[#All],[Status]],Tabela4[[#Headers],[Keyuser - Aguardando tarefa precedente]])</f>
        <v>0</v>
      </c>
      <c r="V204">
        <f>COUNTIFS(Tabela4[[#All],[Cenário]],Tabela4[[#This Row],[Cenário]],Tabela4[[#All],[Status]],Tabela4[[#Headers],[Não liberado  para testes]])</f>
        <v>1</v>
      </c>
      <c r="W204" t="str">
        <f>IF(Tabela4[[#This Row],[Elo - Em correção ]]&gt;0,"Sim","Não")</f>
        <v>Não</v>
      </c>
      <c r="X204" t="str">
        <f>IF(Tabela4[[#This Row],[Keyuser - Aguardando tarefa precedente]]&gt;0,"Sim","Não")</f>
        <v>Não</v>
      </c>
      <c r="Y204" t="str">
        <f>IF(Tabela4[[#This Row],[Não liberado  para testes]]&gt;0,"Sim","Não")</f>
        <v>Sim</v>
      </c>
      <c r="Z204" t="str">
        <f ca="1">IF(Tabela4[[#This Row],[Status]]="Keyuser - Pendente",NETWORKDAYS(Tabela4[[#This Row],[Dt Inicial]],TODAY()),"")</f>
        <v/>
      </c>
      <c r="AA204" t="b">
        <f>AND(Tabela4[[#This Row],[Status]]="Keyuser - Aguardando tarefa precedente",K203="Keyuser - Concluído ")</f>
        <v>0</v>
      </c>
    </row>
    <row r="205" spans="1:27" x14ac:dyDescent="0.25">
      <c r="A205" t="str">
        <f>"OUT-"&amp;IFERROR(MID(Tabela4[[#This Row],[Cenário]],SEARCH("(",Tabela4[[#This Row],[Cenário]])+1,SEARCH(")",Tabela4[[#This Row],[Cenário]])-SEARCH("(",Tabela4[[#This Row],[Cenário]])-1),"")&amp;"_"&amp;ROW()</f>
        <v>OUT-Y036_205</v>
      </c>
      <c r="B205" t="s">
        <v>358</v>
      </c>
      <c r="C205" t="s">
        <v>468</v>
      </c>
      <c r="D205" t="s">
        <v>477</v>
      </c>
      <c r="E205">
        <v>8</v>
      </c>
      <c r="F205" t="s">
        <v>477</v>
      </c>
      <c r="G205" t="s">
        <v>369</v>
      </c>
      <c r="H205" s="13">
        <v>11476964</v>
      </c>
      <c r="I205" s="13"/>
      <c r="J205" s="13"/>
      <c r="K205" s="9" t="s">
        <v>271</v>
      </c>
      <c r="L205" s="78">
        <v>45971</v>
      </c>
      <c r="N205" s="78">
        <v>45971</v>
      </c>
      <c r="O205" s="31"/>
      <c r="P205" s="9"/>
      <c r="Q205" s="9">
        <f>COUNTIF(Tabela4[[#All],[Cenário]],Tabela4[[#This Row],[Cenário]])</f>
        <v>32</v>
      </c>
      <c r="R205">
        <f>COUNTIFS(Tabela4[[#All],[Cenário]],Tabela4[[#This Row],[Cenário]],Tabela4[[#All],[Status]],"Keyuser - Concluído ")</f>
        <v>31</v>
      </c>
      <c r="S205" t="str">
        <f>IF(Tabela4[[#This Row],[Tarefas por Cenário]]-Tabela4[[#This Row],[Tarefas Concluídas]]&gt;0,"Não","Sim")</f>
        <v>Não</v>
      </c>
      <c r="T205">
        <f>COUNTIFS(Tabela4[[#All],[Cenário]],Tabela4[[#This Row],[Cenário]],Tabela4[[#All],[Status]],Tabela4[[#Headers],[Elo - Em correção ]])</f>
        <v>0</v>
      </c>
      <c r="U205">
        <f>COUNTIFS(Tabela4[[#All],[Cenário]],Tabela4[[#This Row],[Cenário]],Tabela4[[#All],[Status]],Tabela4[[#Headers],[Keyuser - Aguardando tarefa precedente]])</f>
        <v>0</v>
      </c>
      <c r="V205">
        <f>COUNTIFS(Tabela4[[#All],[Cenário]],Tabela4[[#This Row],[Cenário]],Tabela4[[#All],[Status]],Tabela4[[#Headers],[Não liberado  para testes]])</f>
        <v>1</v>
      </c>
      <c r="W205" t="str">
        <f>IF(Tabela4[[#This Row],[Elo - Em correção ]]&gt;0,"Sim","Não")</f>
        <v>Não</v>
      </c>
      <c r="X205" t="str">
        <f>IF(Tabela4[[#This Row],[Keyuser - Aguardando tarefa precedente]]&gt;0,"Sim","Não")</f>
        <v>Não</v>
      </c>
      <c r="Y205" t="str">
        <f>IF(Tabela4[[#This Row],[Não liberado  para testes]]&gt;0,"Sim","Não")</f>
        <v>Sim</v>
      </c>
      <c r="Z205" t="str">
        <f ca="1">IF(Tabela4[[#This Row],[Status]]="Keyuser - Pendente",NETWORKDAYS(Tabela4[[#This Row],[Dt Inicial]],TODAY()),"")</f>
        <v/>
      </c>
      <c r="AA205" t="b">
        <f>AND(Tabela4[[#This Row],[Status]]="Keyuser - Aguardando tarefa precedente",K204="Keyuser - Concluído ")</f>
        <v>0</v>
      </c>
    </row>
    <row r="206" spans="1:27" x14ac:dyDescent="0.25">
      <c r="A206" t="str">
        <f>"OUT-"&amp;IFERROR(MID(Tabela4[[#This Row],[Cenário]],SEARCH("(",Tabela4[[#This Row],[Cenário]])+1,SEARCH(")",Tabela4[[#This Row],[Cenário]])-SEARCH("(",Tabela4[[#This Row],[Cenário]])-1),"")&amp;"_"&amp;ROW()</f>
        <v>OUT-Y036_206</v>
      </c>
      <c r="B206" t="s">
        <v>358</v>
      </c>
      <c r="C206" t="s">
        <v>468</v>
      </c>
      <c r="D206" t="s">
        <v>478</v>
      </c>
      <c r="E206">
        <v>9</v>
      </c>
      <c r="F206" t="s">
        <v>478</v>
      </c>
      <c r="G206" t="s">
        <v>369</v>
      </c>
      <c r="H206" s="13">
        <v>11476964</v>
      </c>
      <c r="I206" s="13"/>
      <c r="J206" s="13"/>
      <c r="K206" s="9" t="s">
        <v>271</v>
      </c>
      <c r="L206" s="78">
        <v>45971</v>
      </c>
      <c r="N206" s="78">
        <v>45971</v>
      </c>
      <c r="O206" s="31"/>
      <c r="P206" s="9"/>
      <c r="Q206" s="9">
        <f>COUNTIF(Tabela4[[#All],[Cenário]],Tabela4[[#This Row],[Cenário]])</f>
        <v>32</v>
      </c>
      <c r="R206">
        <f>COUNTIFS(Tabela4[[#All],[Cenário]],Tabela4[[#This Row],[Cenário]],Tabela4[[#All],[Status]],"Keyuser - Concluído ")</f>
        <v>31</v>
      </c>
      <c r="S206" t="str">
        <f>IF(Tabela4[[#This Row],[Tarefas por Cenário]]-Tabela4[[#This Row],[Tarefas Concluídas]]&gt;0,"Não","Sim")</f>
        <v>Não</v>
      </c>
      <c r="T206">
        <f>COUNTIFS(Tabela4[[#All],[Cenário]],Tabela4[[#This Row],[Cenário]],Tabela4[[#All],[Status]],Tabela4[[#Headers],[Elo - Em correção ]])</f>
        <v>0</v>
      </c>
      <c r="U206">
        <f>COUNTIFS(Tabela4[[#All],[Cenário]],Tabela4[[#This Row],[Cenário]],Tabela4[[#All],[Status]],Tabela4[[#Headers],[Keyuser - Aguardando tarefa precedente]])</f>
        <v>0</v>
      </c>
      <c r="V206">
        <f>COUNTIFS(Tabela4[[#All],[Cenário]],Tabela4[[#This Row],[Cenário]],Tabela4[[#All],[Status]],Tabela4[[#Headers],[Não liberado  para testes]])</f>
        <v>1</v>
      </c>
      <c r="W206" t="str">
        <f>IF(Tabela4[[#This Row],[Elo - Em correção ]]&gt;0,"Sim","Não")</f>
        <v>Não</v>
      </c>
      <c r="X206" t="str">
        <f>IF(Tabela4[[#This Row],[Keyuser - Aguardando tarefa precedente]]&gt;0,"Sim","Não")</f>
        <v>Não</v>
      </c>
      <c r="Y206" t="str">
        <f>IF(Tabela4[[#This Row],[Não liberado  para testes]]&gt;0,"Sim","Não")</f>
        <v>Sim</v>
      </c>
      <c r="Z206" t="str">
        <f ca="1">IF(Tabela4[[#This Row],[Status]]="Keyuser - Pendente",NETWORKDAYS(Tabela4[[#This Row],[Dt Inicial]],TODAY()),"")</f>
        <v/>
      </c>
      <c r="AA206" t="b">
        <f>AND(Tabela4[[#This Row],[Status]]="Keyuser - Aguardando tarefa precedente",K205="Keyuser - Concluído ")</f>
        <v>0</v>
      </c>
    </row>
    <row r="207" spans="1:27" x14ac:dyDescent="0.25">
      <c r="A207" t="str">
        <f>"OUT-"&amp;IFERROR(MID(Tabela4[[#This Row],[Cenário]],SEARCH("(",Tabela4[[#This Row],[Cenário]])+1,SEARCH(")",Tabela4[[#This Row],[Cenário]])-SEARCH("(",Tabela4[[#This Row],[Cenário]])-1),"")&amp;"_"&amp;ROW()</f>
        <v>OUT-Y036_207</v>
      </c>
      <c r="B207" t="s">
        <v>358</v>
      </c>
      <c r="C207" t="s">
        <v>468</v>
      </c>
      <c r="D207" t="s">
        <v>479</v>
      </c>
      <c r="E207">
        <v>10</v>
      </c>
      <c r="F207" t="s">
        <v>479</v>
      </c>
      <c r="G207" t="s">
        <v>369</v>
      </c>
      <c r="H207" s="13">
        <v>11476964</v>
      </c>
      <c r="I207" s="15"/>
      <c r="J207" s="13"/>
      <c r="K207" s="9" t="s">
        <v>271</v>
      </c>
      <c r="L207" s="78">
        <v>45971</v>
      </c>
      <c r="N207" s="78">
        <v>45971</v>
      </c>
      <c r="O207" s="31"/>
      <c r="P207" s="9"/>
      <c r="Q207" s="9">
        <f>COUNTIF(Tabela4[[#All],[Cenário]],Tabela4[[#This Row],[Cenário]])</f>
        <v>32</v>
      </c>
      <c r="R207">
        <f>COUNTIFS(Tabela4[[#All],[Cenário]],Tabela4[[#This Row],[Cenário]],Tabela4[[#All],[Status]],"Keyuser - Concluído ")</f>
        <v>31</v>
      </c>
      <c r="S207" t="str">
        <f>IF(Tabela4[[#This Row],[Tarefas por Cenário]]-Tabela4[[#This Row],[Tarefas Concluídas]]&gt;0,"Não","Sim")</f>
        <v>Não</v>
      </c>
      <c r="T207">
        <f>COUNTIFS(Tabela4[[#All],[Cenário]],Tabela4[[#This Row],[Cenário]],Tabela4[[#All],[Status]],Tabela4[[#Headers],[Elo - Em correção ]])</f>
        <v>0</v>
      </c>
      <c r="U207">
        <f>COUNTIFS(Tabela4[[#All],[Cenário]],Tabela4[[#This Row],[Cenário]],Tabela4[[#All],[Status]],Tabela4[[#Headers],[Keyuser - Aguardando tarefa precedente]])</f>
        <v>0</v>
      </c>
      <c r="V207">
        <f>COUNTIFS(Tabela4[[#All],[Cenário]],Tabela4[[#This Row],[Cenário]],Tabela4[[#All],[Status]],Tabela4[[#Headers],[Não liberado  para testes]])</f>
        <v>1</v>
      </c>
      <c r="W207" t="str">
        <f>IF(Tabela4[[#This Row],[Elo - Em correção ]]&gt;0,"Sim","Não")</f>
        <v>Não</v>
      </c>
      <c r="X207" t="str">
        <f>IF(Tabela4[[#This Row],[Keyuser - Aguardando tarefa precedente]]&gt;0,"Sim","Não")</f>
        <v>Não</v>
      </c>
      <c r="Y207" t="str">
        <f>IF(Tabela4[[#This Row],[Não liberado  para testes]]&gt;0,"Sim","Não")</f>
        <v>Sim</v>
      </c>
      <c r="Z207" t="str">
        <f ca="1">IF(Tabela4[[#This Row],[Status]]="Keyuser - Pendente",NETWORKDAYS(Tabela4[[#This Row],[Dt Inicial]],TODAY()),"")</f>
        <v/>
      </c>
      <c r="AA207" t="b">
        <f>AND(Tabela4[[#This Row],[Status]]="Keyuser - Aguardando tarefa precedente",K206="Keyuser - Concluído ")</f>
        <v>0</v>
      </c>
    </row>
    <row r="208" spans="1:27" x14ac:dyDescent="0.25">
      <c r="A208" t="str">
        <f>"OUT-"&amp;IFERROR(MID(Tabela4[[#This Row],[Cenário]],SEARCH("(",Tabela4[[#This Row],[Cenário]])+1,SEARCH(")",Tabela4[[#This Row],[Cenário]])-SEARCH("(",Tabela4[[#This Row],[Cenário]])-1),"")&amp;"_"&amp;ROW()</f>
        <v>OUT-Y036_208</v>
      </c>
      <c r="B208" t="s">
        <v>358</v>
      </c>
      <c r="C208" t="s">
        <v>468</v>
      </c>
      <c r="D208" t="s">
        <v>480</v>
      </c>
      <c r="E208">
        <v>11</v>
      </c>
      <c r="F208" t="s">
        <v>480</v>
      </c>
      <c r="G208" t="s">
        <v>369</v>
      </c>
      <c r="H208" s="13">
        <v>11476964</v>
      </c>
      <c r="I208" s="15"/>
      <c r="J208" s="13"/>
      <c r="K208" s="9" t="s">
        <v>271</v>
      </c>
      <c r="L208" s="78">
        <v>45971</v>
      </c>
      <c r="N208" s="78">
        <v>45971</v>
      </c>
      <c r="O208" s="31"/>
      <c r="P208" s="9"/>
      <c r="Q208" s="9">
        <f>COUNTIF(Tabela4[[#All],[Cenário]],Tabela4[[#This Row],[Cenário]])</f>
        <v>32</v>
      </c>
      <c r="R208">
        <f>COUNTIFS(Tabela4[[#All],[Cenário]],Tabela4[[#This Row],[Cenário]],Tabela4[[#All],[Status]],"Keyuser - Concluído ")</f>
        <v>31</v>
      </c>
      <c r="S208" t="str">
        <f>IF(Tabela4[[#This Row],[Tarefas por Cenário]]-Tabela4[[#This Row],[Tarefas Concluídas]]&gt;0,"Não","Sim")</f>
        <v>Não</v>
      </c>
      <c r="T208">
        <f>COUNTIFS(Tabela4[[#All],[Cenário]],Tabela4[[#This Row],[Cenário]],Tabela4[[#All],[Status]],Tabela4[[#Headers],[Elo - Em correção ]])</f>
        <v>0</v>
      </c>
      <c r="U208">
        <f>COUNTIFS(Tabela4[[#All],[Cenário]],Tabela4[[#This Row],[Cenário]],Tabela4[[#All],[Status]],Tabela4[[#Headers],[Keyuser - Aguardando tarefa precedente]])</f>
        <v>0</v>
      </c>
      <c r="V208">
        <f>COUNTIFS(Tabela4[[#All],[Cenário]],Tabela4[[#This Row],[Cenário]],Tabela4[[#All],[Status]],Tabela4[[#Headers],[Não liberado  para testes]])</f>
        <v>1</v>
      </c>
      <c r="W208" t="str">
        <f>IF(Tabela4[[#This Row],[Elo - Em correção ]]&gt;0,"Sim","Não")</f>
        <v>Não</v>
      </c>
      <c r="X208" t="str">
        <f>IF(Tabela4[[#This Row],[Keyuser - Aguardando tarefa precedente]]&gt;0,"Sim","Não")</f>
        <v>Não</v>
      </c>
      <c r="Y208" t="str">
        <f>IF(Tabela4[[#This Row],[Não liberado  para testes]]&gt;0,"Sim","Não")</f>
        <v>Sim</v>
      </c>
      <c r="Z208" t="str">
        <f ca="1">IF(Tabela4[[#This Row],[Status]]="Keyuser - Pendente",NETWORKDAYS(Tabela4[[#This Row],[Dt Inicial]],TODAY()),"")</f>
        <v/>
      </c>
      <c r="AA208" t="b">
        <f>AND(Tabela4[[#This Row],[Status]]="Keyuser - Aguardando tarefa precedente",K207="Keyuser - Concluído ")</f>
        <v>0</v>
      </c>
    </row>
    <row r="209" spans="1:27" x14ac:dyDescent="0.25">
      <c r="A209" t="str">
        <f>"OUT-"&amp;IFERROR(MID(Tabela4[[#This Row],[Cenário]],SEARCH("(",Tabela4[[#This Row],[Cenário]])+1,SEARCH(")",Tabela4[[#This Row],[Cenário]])-SEARCH("(",Tabela4[[#This Row],[Cenário]])-1),"")&amp;"_"&amp;ROW()</f>
        <v>OUT-Y036_209</v>
      </c>
      <c r="B209" t="s">
        <v>358</v>
      </c>
      <c r="C209" t="s">
        <v>468</v>
      </c>
      <c r="D209" t="s">
        <v>481</v>
      </c>
      <c r="E209">
        <v>12</v>
      </c>
      <c r="F209" t="s">
        <v>481</v>
      </c>
      <c r="G209" t="s">
        <v>369</v>
      </c>
      <c r="H209" s="13">
        <v>11476964</v>
      </c>
      <c r="I209" s="13"/>
      <c r="J209" s="13"/>
      <c r="K209" s="9" t="s">
        <v>271</v>
      </c>
      <c r="L209" s="78">
        <v>45971</v>
      </c>
      <c r="N209" s="78">
        <v>45971</v>
      </c>
      <c r="O209" s="31"/>
      <c r="P209" s="9"/>
      <c r="Q209" s="9">
        <f>COUNTIF(Tabela4[[#All],[Cenário]],Tabela4[[#This Row],[Cenário]])</f>
        <v>32</v>
      </c>
      <c r="R209">
        <f>COUNTIFS(Tabela4[[#All],[Cenário]],Tabela4[[#This Row],[Cenário]],Tabela4[[#All],[Status]],"Keyuser - Concluído ")</f>
        <v>31</v>
      </c>
      <c r="S209" t="str">
        <f>IF(Tabela4[[#This Row],[Tarefas por Cenário]]-Tabela4[[#This Row],[Tarefas Concluídas]]&gt;0,"Não","Sim")</f>
        <v>Não</v>
      </c>
      <c r="T209">
        <f>COUNTIFS(Tabela4[[#All],[Cenário]],Tabela4[[#This Row],[Cenário]],Tabela4[[#All],[Status]],Tabela4[[#Headers],[Elo - Em correção ]])</f>
        <v>0</v>
      </c>
      <c r="U209">
        <f>COUNTIFS(Tabela4[[#All],[Cenário]],Tabela4[[#This Row],[Cenário]],Tabela4[[#All],[Status]],Tabela4[[#Headers],[Keyuser - Aguardando tarefa precedente]])</f>
        <v>0</v>
      </c>
      <c r="V209">
        <f>COUNTIFS(Tabela4[[#All],[Cenário]],Tabela4[[#This Row],[Cenário]],Tabela4[[#All],[Status]],Tabela4[[#Headers],[Não liberado  para testes]])</f>
        <v>1</v>
      </c>
      <c r="W209" t="str">
        <f>IF(Tabela4[[#This Row],[Elo - Em correção ]]&gt;0,"Sim","Não")</f>
        <v>Não</v>
      </c>
      <c r="X209" t="str">
        <f>IF(Tabela4[[#This Row],[Keyuser - Aguardando tarefa precedente]]&gt;0,"Sim","Não")</f>
        <v>Não</v>
      </c>
      <c r="Y209" t="str">
        <f>IF(Tabela4[[#This Row],[Não liberado  para testes]]&gt;0,"Sim","Não")</f>
        <v>Sim</v>
      </c>
      <c r="Z209" t="str">
        <f ca="1">IF(Tabela4[[#This Row],[Status]]="Keyuser - Pendente",NETWORKDAYS(Tabela4[[#This Row],[Dt Inicial]],TODAY()),"")</f>
        <v/>
      </c>
      <c r="AA209" t="b">
        <f>AND(Tabela4[[#This Row],[Status]]="Keyuser - Aguardando tarefa precedente",K208="Keyuser - Concluído ")</f>
        <v>0</v>
      </c>
    </row>
    <row r="210" spans="1:27" x14ac:dyDescent="0.25">
      <c r="A210" t="str">
        <f>"OUT-"&amp;IFERROR(MID(Tabela4[[#This Row],[Cenário]],SEARCH("(",Tabela4[[#This Row],[Cenário]])+1,SEARCH(")",Tabela4[[#This Row],[Cenário]])-SEARCH("(",Tabela4[[#This Row],[Cenário]])-1),"")&amp;"_"&amp;ROW()</f>
        <v>OUT-Y036_210</v>
      </c>
      <c r="B210" t="s">
        <v>358</v>
      </c>
      <c r="C210" t="s">
        <v>468</v>
      </c>
      <c r="D210" t="s">
        <v>482</v>
      </c>
      <c r="E210">
        <v>13</v>
      </c>
      <c r="F210" t="s">
        <v>482</v>
      </c>
      <c r="G210" t="s">
        <v>369</v>
      </c>
      <c r="H210" s="13" t="s">
        <v>483</v>
      </c>
      <c r="I210" s="13"/>
      <c r="J210" s="13"/>
      <c r="K210" s="9" t="s">
        <v>271</v>
      </c>
      <c r="L210" s="78">
        <v>45971</v>
      </c>
      <c r="N210" s="78">
        <v>45971</v>
      </c>
      <c r="O210" s="31"/>
      <c r="P210" s="9"/>
      <c r="Q210" s="9">
        <f>COUNTIF(Tabela4[[#All],[Cenário]],Tabela4[[#This Row],[Cenário]])</f>
        <v>32</v>
      </c>
      <c r="R210">
        <f>COUNTIFS(Tabela4[[#All],[Cenário]],Tabela4[[#This Row],[Cenário]],Tabela4[[#All],[Status]],"Keyuser - Concluído ")</f>
        <v>31</v>
      </c>
      <c r="S210" t="str">
        <f>IF(Tabela4[[#This Row],[Tarefas por Cenário]]-Tabela4[[#This Row],[Tarefas Concluídas]]&gt;0,"Não","Sim")</f>
        <v>Não</v>
      </c>
      <c r="T210">
        <f>COUNTIFS(Tabela4[[#All],[Cenário]],Tabela4[[#This Row],[Cenário]],Tabela4[[#All],[Status]],Tabela4[[#Headers],[Elo - Em correção ]])</f>
        <v>0</v>
      </c>
      <c r="U210">
        <f>COUNTIFS(Tabela4[[#All],[Cenário]],Tabela4[[#This Row],[Cenário]],Tabela4[[#All],[Status]],Tabela4[[#Headers],[Keyuser - Aguardando tarefa precedente]])</f>
        <v>0</v>
      </c>
      <c r="V210">
        <f>COUNTIFS(Tabela4[[#All],[Cenário]],Tabela4[[#This Row],[Cenário]],Tabela4[[#All],[Status]],Tabela4[[#Headers],[Não liberado  para testes]])</f>
        <v>1</v>
      </c>
      <c r="W210" t="str">
        <f>IF(Tabela4[[#This Row],[Elo - Em correção ]]&gt;0,"Sim","Não")</f>
        <v>Não</v>
      </c>
      <c r="X210" t="str">
        <f>IF(Tabela4[[#This Row],[Keyuser - Aguardando tarefa precedente]]&gt;0,"Sim","Não")</f>
        <v>Não</v>
      </c>
      <c r="Y210" t="str">
        <f>IF(Tabela4[[#This Row],[Não liberado  para testes]]&gt;0,"Sim","Não")</f>
        <v>Sim</v>
      </c>
      <c r="Z210" t="str">
        <f ca="1">IF(Tabela4[[#This Row],[Status]]="Keyuser - Pendente",NETWORKDAYS(Tabela4[[#This Row],[Dt Inicial]],TODAY()),"")</f>
        <v/>
      </c>
      <c r="AA210" t="b">
        <f>AND(Tabela4[[#This Row],[Status]]="Keyuser - Aguardando tarefa precedente",K209="Keyuser - Concluído ")</f>
        <v>0</v>
      </c>
    </row>
    <row r="211" spans="1:27" x14ac:dyDescent="0.25">
      <c r="A211" t="str">
        <f>"OUT-"&amp;IFERROR(MID(Tabela4[[#This Row],[Cenário]],SEARCH("(",Tabela4[[#This Row],[Cenário]])+1,SEARCH(")",Tabela4[[#This Row],[Cenário]])-SEARCH("(",Tabela4[[#This Row],[Cenário]])-1),"")&amp;"_"&amp;ROW()</f>
        <v>OUT-Y036_211</v>
      </c>
      <c r="B211" t="s">
        <v>358</v>
      </c>
      <c r="C211" t="s">
        <v>468</v>
      </c>
      <c r="D211" t="s">
        <v>484</v>
      </c>
      <c r="E211">
        <v>14</v>
      </c>
      <c r="F211" t="s">
        <v>484</v>
      </c>
      <c r="G211" t="s">
        <v>287</v>
      </c>
      <c r="H211" s="13" t="s">
        <v>483</v>
      </c>
      <c r="I211" s="13"/>
      <c r="J211" s="13"/>
      <c r="K211" s="9" t="s">
        <v>271</v>
      </c>
      <c r="L211" s="78">
        <v>45972</v>
      </c>
      <c r="N211" s="78">
        <v>45972</v>
      </c>
      <c r="O211" s="31"/>
      <c r="P211" s="9"/>
      <c r="Q211" s="9">
        <f>COUNTIF(Tabela4[[#All],[Cenário]],Tabela4[[#This Row],[Cenário]])</f>
        <v>32</v>
      </c>
      <c r="R211">
        <f>COUNTIFS(Tabela4[[#All],[Cenário]],Tabela4[[#This Row],[Cenário]],Tabela4[[#All],[Status]],"Keyuser - Concluído ")</f>
        <v>31</v>
      </c>
      <c r="S211" t="str">
        <f>IF(Tabela4[[#This Row],[Tarefas por Cenário]]-Tabela4[[#This Row],[Tarefas Concluídas]]&gt;0,"Não","Sim")</f>
        <v>Não</v>
      </c>
      <c r="T211">
        <f>COUNTIFS(Tabela4[[#All],[Cenário]],Tabela4[[#This Row],[Cenário]],Tabela4[[#All],[Status]],Tabela4[[#Headers],[Elo - Em correção ]])</f>
        <v>0</v>
      </c>
      <c r="U211">
        <f>COUNTIFS(Tabela4[[#All],[Cenário]],Tabela4[[#This Row],[Cenário]],Tabela4[[#All],[Status]],Tabela4[[#Headers],[Keyuser - Aguardando tarefa precedente]])</f>
        <v>0</v>
      </c>
      <c r="V211">
        <f>COUNTIFS(Tabela4[[#All],[Cenário]],Tabela4[[#This Row],[Cenário]],Tabela4[[#All],[Status]],Tabela4[[#Headers],[Não liberado  para testes]])</f>
        <v>1</v>
      </c>
      <c r="W211" t="str">
        <f>IF(Tabela4[[#This Row],[Elo - Em correção ]]&gt;0,"Sim","Não")</f>
        <v>Não</v>
      </c>
      <c r="X211" t="str">
        <f>IF(Tabela4[[#This Row],[Keyuser - Aguardando tarefa precedente]]&gt;0,"Sim","Não")</f>
        <v>Não</v>
      </c>
      <c r="Y211" t="str">
        <f>IF(Tabela4[[#This Row],[Não liberado  para testes]]&gt;0,"Sim","Não")</f>
        <v>Sim</v>
      </c>
      <c r="Z211" t="str">
        <f ca="1">IF(Tabela4[[#This Row],[Status]]="Keyuser - Pendente",NETWORKDAYS(Tabela4[[#This Row],[Dt Inicial]],TODAY()),"")</f>
        <v/>
      </c>
      <c r="AA211" t="b">
        <f>AND(Tabela4[[#This Row],[Status]]="Keyuser - Aguardando tarefa precedente",K210="Keyuser - Concluído ")</f>
        <v>0</v>
      </c>
    </row>
    <row r="212" spans="1:27" x14ac:dyDescent="0.25">
      <c r="A212" t="str">
        <f>"OUT-"&amp;IFERROR(MID(Tabela4[[#This Row],[Cenário]],SEARCH("(",Tabela4[[#This Row],[Cenário]])+1,SEARCH(")",Tabela4[[#This Row],[Cenário]])-SEARCH("(",Tabela4[[#This Row],[Cenário]])-1),"")&amp;"_"&amp;ROW()</f>
        <v>OUT-Y036_212</v>
      </c>
      <c r="B212" t="s">
        <v>358</v>
      </c>
      <c r="C212" t="s">
        <v>468</v>
      </c>
      <c r="D212" t="s">
        <v>485</v>
      </c>
      <c r="E212">
        <v>15</v>
      </c>
      <c r="F212" t="s">
        <v>485</v>
      </c>
      <c r="G212" t="s">
        <v>369</v>
      </c>
      <c r="H212" s="13">
        <v>4705847548</v>
      </c>
      <c r="I212" s="15"/>
      <c r="J212" s="15"/>
      <c r="K212" s="9" t="s">
        <v>271</v>
      </c>
      <c r="L212" s="78">
        <v>45972</v>
      </c>
      <c r="N212" s="78">
        <v>45972</v>
      </c>
      <c r="O212" s="31"/>
      <c r="P212" s="9"/>
      <c r="Q212" s="9">
        <f>COUNTIF(Tabela4[[#All],[Cenário]],Tabela4[[#This Row],[Cenário]])</f>
        <v>32</v>
      </c>
      <c r="R212">
        <f>COUNTIFS(Tabela4[[#All],[Cenário]],Tabela4[[#This Row],[Cenário]],Tabela4[[#All],[Status]],"Keyuser - Concluído ")</f>
        <v>31</v>
      </c>
      <c r="S212" t="str">
        <f>IF(Tabela4[[#This Row],[Tarefas por Cenário]]-Tabela4[[#This Row],[Tarefas Concluídas]]&gt;0,"Não","Sim")</f>
        <v>Não</v>
      </c>
      <c r="T212">
        <f>COUNTIFS(Tabela4[[#All],[Cenário]],Tabela4[[#This Row],[Cenário]],Tabela4[[#All],[Status]],Tabela4[[#Headers],[Elo - Em correção ]])</f>
        <v>0</v>
      </c>
      <c r="U212">
        <f>COUNTIFS(Tabela4[[#All],[Cenário]],Tabela4[[#This Row],[Cenário]],Tabela4[[#All],[Status]],Tabela4[[#Headers],[Keyuser - Aguardando tarefa precedente]])</f>
        <v>0</v>
      </c>
      <c r="V212">
        <f>COUNTIFS(Tabela4[[#All],[Cenário]],Tabela4[[#This Row],[Cenário]],Tabela4[[#All],[Status]],Tabela4[[#Headers],[Não liberado  para testes]])</f>
        <v>1</v>
      </c>
      <c r="W212" t="str">
        <f>IF(Tabela4[[#This Row],[Elo - Em correção ]]&gt;0,"Sim","Não")</f>
        <v>Não</v>
      </c>
      <c r="X212" t="str">
        <f>IF(Tabela4[[#This Row],[Keyuser - Aguardando tarefa precedente]]&gt;0,"Sim","Não")</f>
        <v>Não</v>
      </c>
      <c r="Y212" t="str">
        <f>IF(Tabela4[[#This Row],[Não liberado  para testes]]&gt;0,"Sim","Não")</f>
        <v>Sim</v>
      </c>
      <c r="Z212" t="str">
        <f ca="1">IF(Tabela4[[#This Row],[Status]]="Keyuser - Pendente",NETWORKDAYS(Tabela4[[#This Row],[Dt Inicial]],TODAY()),"")</f>
        <v/>
      </c>
      <c r="AA212" t="b">
        <f>AND(Tabela4[[#This Row],[Status]]="Keyuser - Aguardando tarefa precedente",K211="Keyuser - Concluído ")</f>
        <v>0</v>
      </c>
    </row>
    <row r="213" spans="1:27" x14ac:dyDescent="0.25">
      <c r="A213" t="str">
        <f>"OUT-"&amp;IFERROR(MID(Tabela4[[#This Row],[Cenário]],SEARCH("(",Tabela4[[#This Row],[Cenário]])+1,SEARCH(")",Tabela4[[#This Row],[Cenário]])-SEARCH("(",Tabela4[[#This Row],[Cenário]])-1),"")&amp;"_"&amp;ROW()</f>
        <v>OUT-Y036_213</v>
      </c>
      <c r="B213" t="s">
        <v>358</v>
      </c>
      <c r="C213" t="s">
        <v>468</v>
      </c>
      <c r="D213" t="s">
        <v>486</v>
      </c>
      <c r="E213">
        <v>16</v>
      </c>
      <c r="F213" t="s">
        <v>486</v>
      </c>
      <c r="G213" t="s">
        <v>369</v>
      </c>
      <c r="H213" s="13">
        <v>11476964</v>
      </c>
      <c r="I213" s="13"/>
      <c r="J213" s="13"/>
      <c r="K213" s="9" t="s">
        <v>271</v>
      </c>
      <c r="L213" s="78">
        <v>45972</v>
      </c>
      <c r="N213" s="78">
        <v>45972</v>
      </c>
      <c r="O213" s="31"/>
      <c r="P213" s="9"/>
      <c r="Q213" s="9">
        <f>COUNTIF(Tabela4[[#All],[Cenário]],Tabela4[[#This Row],[Cenário]])</f>
        <v>32</v>
      </c>
      <c r="R213">
        <f>COUNTIFS(Tabela4[[#All],[Cenário]],Tabela4[[#This Row],[Cenário]],Tabela4[[#All],[Status]],"Keyuser - Concluído ")</f>
        <v>31</v>
      </c>
      <c r="S213" t="str">
        <f>IF(Tabela4[[#This Row],[Tarefas por Cenário]]-Tabela4[[#This Row],[Tarefas Concluídas]]&gt;0,"Não","Sim")</f>
        <v>Não</v>
      </c>
      <c r="T213">
        <f>COUNTIFS(Tabela4[[#All],[Cenário]],Tabela4[[#This Row],[Cenário]],Tabela4[[#All],[Status]],Tabela4[[#Headers],[Elo - Em correção ]])</f>
        <v>0</v>
      </c>
      <c r="U213">
        <f>COUNTIFS(Tabela4[[#All],[Cenário]],Tabela4[[#This Row],[Cenário]],Tabela4[[#All],[Status]],Tabela4[[#Headers],[Keyuser - Aguardando tarefa precedente]])</f>
        <v>0</v>
      </c>
      <c r="V213">
        <f>COUNTIFS(Tabela4[[#All],[Cenário]],Tabela4[[#This Row],[Cenário]],Tabela4[[#All],[Status]],Tabela4[[#Headers],[Não liberado  para testes]])</f>
        <v>1</v>
      </c>
      <c r="W213" t="str">
        <f>IF(Tabela4[[#This Row],[Elo - Em correção ]]&gt;0,"Sim","Não")</f>
        <v>Não</v>
      </c>
      <c r="X213" t="str">
        <f>IF(Tabela4[[#This Row],[Keyuser - Aguardando tarefa precedente]]&gt;0,"Sim","Não")</f>
        <v>Não</v>
      </c>
      <c r="Y213" t="str">
        <f>IF(Tabela4[[#This Row],[Não liberado  para testes]]&gt;0,"Sim","Não")</f>
        <v>Sim</v>
      </c>
      <c r="Z213" t="str">
        <f ca="1">IF(Tabela4[[#This Row],[Status]]="Keyuser - Pendente",NETWORKDAYS(Tabela4[[#This Row],[Dt Inicial]],TODAY()),"")</f>
        <v/>
      </c>
      <c r="AA213" t="b">
        <f>AND(Tabela4[[#This Row],[Status]]="Keyuser - Aguardando tarefa precedente",K212="Keyuser - Concluído ")</f>
        <v>0</v>
      </c>
    </row>
    <row r="214" spans="1:27" x14ac:dyDescent="0.25">
      <c r="A214" t="str">
        <f>"OUT-"&amp;IFERROR(MID(Tabela4[[#This Row],[Cenário]],SEARCH("(",Tabela4[[#This Row],[Cenário]])+1,SEARCH(")",Tabela4[[#This Row],[Cenário]])-SEARCH("(",Tabela4[[#This Row],[Cenário]])-1),"")&amp;"_"&amp;ROW()</f>
        <v>OUT-Y036_214</v>
      </c>
      <c r="B214" t="s">
        <v>358</v>
      </c>
      <c r="C214" t="s">
        <v>468</v>
      </c>
      <c r="D214" t="s">
        <v>487</v>
      </c>
      <c r="E214">
        <v>17</v>
      </c>
      <c r="F214" t="s">
        <v>487</v>
      </c>
      <c r="G214" t="s">
        <v>270</v>
      </c>
      <c r="H214" s="13" t="s">
        <v>488</v>
      </c>
      <c r="I214" s="13"/>
      <c r="J214" s="13"/>
      <c r="K214" s="9" t="s">
        <v>271</v>
      </c>
      <c r="L214" s="78">
        <v>45974</v>
      </c>
      <c r="N214" s="78">
        <v>45974</v>
      </c>
      <c r="O214" s="31"/>
      <c r="P214" s="9"/>
      <c r="Q214" s="9">
        <f>COUNTIF(Tabela4[[#All],[Cenário]],Tabela4[[#This Row],[Cenário]])</f>
        <v>32</v>
      </c>
      <c r="R214">
        <f>COUNTIFS(Tabela4[[#All],[Cenário]],Tabela4[[#This Row],[Cenário]],Tabela4[[#All],[Status]],"Keyuser - Concluído ")</f>
        <v>31</v>
      </c>
      <c r="S214" t="str">
        <f>IF(Tabela4[[#This Row],[Tarefas por Cenário]]-Tabela4[[#This Row],[Tarefas Concluídas]]&gt;0,"Não","Sim")</f>
        <v>Não</v>
      </c>
      <c r="T214">
        <f>COUNTIFS(Tabela4[[#All],[Cenário]],Tabela4[[#This Row],[Cenário]],Tabela4[[#All],[Status]],Tabela4[[#Headers],[Elo - Em correção ]])</f>
        <v>0</v>
      </c>
      <c r="U214">
        <f>COUNTIFS(Tabela4[[#All],[Cenário]],Tabela4[[#This Row],[Cenário]],Tabela4[[#All],[Status]],Tabela4[[#Headers],[Keyuser - Aguardando tarefa precedente]])</f>
        <v>0</v>
      </c>
      <c r="V214">
        <f>COUNTIFS(Tabela4[[#All],[Cenário]],Tabela4[[#This Row],[Cenário]],Tabela4[[#All],[Status]],Tabela4[[#Headers],[Não liberado  para testes]])</f>
        <v>1</v>
      </c>
      <c r="W214" t="str">
        <f>IF(Tabela4[[#This Row],[Elo - Em correção ]]&gt;0,"Sim","Não")</f>
        <v>Não</v>
      </c>
      <c r="X214" t="str">
        <f>IF(Tabela4[[#This Row],[Keyuser - Aguardando tarefa precedente]]&gt;0,"Sim","Não")</f>
        <v>Não</v>
      </c>
      <c r="Y214" t="str">
        <f>IF(Tabela4[[#This Row],[Não liberado  para testes]]&gt;0,"Sim","Não")</f>
        <v>Sim</v>
      </c>
      <c r="Z214" t="str">
        <f ca="1">IF(Tabela4[[#This Row],[Status]]="Keyuser - Pendente",NETWORKDAYS(Tabela4[[#This Row],[Dt Inicial]],TODAY()),"")</f>
        <v/>
      </c>
      <c r="AA214" t="b">
        <f>AND(Tabela4[[#This Row],[Status]]="Keyuser - Aguardando tarefa precedente",K213="Keyuser - Concluído ")</f>
        <v>0</v>
      </c>
    </row>
    <row r="215" spans="1:27" x14ac:dyDescent="0.25">
      <c r="A215" t="str">
        <f>"OUT-"&amp;IFERROR(MID(Tabela4[[#This Row],[Cenário]],SEARCH("(",Tabela4[[#This Row],[Cenário]])+1,SEARCH(")",Tabela4[[#This Row],[Cenário]])-SEARCH("(",Tabela4[[#This Row],[Cenário]])-1),"")&amp;"_"&amp;ROW()</f>
        <v>OUT-Y036_215</v>
      </c>
      <c r="B215" t="s">
        <v>358</v>
      </c>
      <c r="C215" t="s">
        <v>468</v>
      </c>
      <c r="D215" t="s">
        <v>489</v>
      </c>
      <c r="E215">
        <v>18</v>
      </c>
      <c r="F215" t="s">
        <v>489</v>
      </c>
      <c r="G215" t="s">
        <v>270</v>
      </c>
      <c r="H215" s="9" t="s">
        <v>490</v>
      </c>
      <c r="I215" s="13"/>
      <c r="J215" s="13"/>
      <c r="K215" s="9" t="s">
        <v>271</v>
      </c>
      <c r="L215" s="78">
        <v>45974</v>
      </c>
      <c r="N215" s="78">
        <v>45974</v>
      </c>
      <c r="O215" s="31"/>
      <c r="P215" s="9"/>
      <c r="Q215" s="9">
        <f>COUNTIF(Tabela4[[#All],[Cenário]],Tabela4[[#This Row],[Cenário]])</f>
        <v>32</v>
      </c>
      <c r="R215">
        <f>COUNTIFS(Tabela4[[#All],[Cenário]],Tabela4[[#This Row],[Cenário]],Tabela4[[#All],[Status]],"Keyuser - Concluído ")</f>
        <v>31</v>
      </c>
      <c r="S215" t="str">
        <f>IF(Tabela4[[#This Row],[Tarefas por Cenário]]-Tabela4[[#This Row],[Tarefas Concluídas]]&gt;0,"Não","Sim")</f>
        <v>Não</v>
      </c>
      <c r="T215">
        <f>COUNTIFS(Tabela4[[#All],[Cenário]],Tabela4[[#This Row],[Cenário]],Tabela4[[#All],[Status]],Tabela4[[#Headers],[Elo - Em correção ]])</f>
        <v>0</v>
      </c>
      <c r="U215">
        <f>COUNTIFS(Tabela4[[#All],[Cenário]],Tabela4[[#This Row],[Cenário]],Tabela4[[#All],[Status]],Tabela4[[#Headers],[Keyuser - Aguardando tarefa precedente]])</f>
        <v>0</v>
      </c>
      <c r="V215">
        <f>COUNTIFS(Tabela4[[#All],[Cenário]],Tabela4[[#This Row],[Cenário]],Tabela4[[#All],[Status]],Tabela4[[#Headers],[Não liberado  para testes]])</f>
        <v>1</v>
      </c>
      <c r="W215" t="str">
        <f>IF(Tabela4[[#This Row],[Elo - Em correção ]]&gt;0,"Sim","Não")</f>
        <v>Não</v>
      </c>
      <c r="X215" t="str">
        <f>IF(Tabela4[[#This Row],[Keyuser - Aguardando tarefa precedente]]&gt;0,"Sim","Não")</f>
        <v>Não</v>
      </c>
      <c r="Y215" t="str">
        <f>IF(Tabela4[[#This Row],[Não liberado  para testes]]&gt;0,"Sim","Não")</f>
        <v>Sim</v>
      </c>
      <c r="Z215" t="str">
        <f ca="1">IF(Tabela4[[#This Row],[Status]]="Keyuser - Pendente",NETWORKDAYS(Tabela4[[#This Row],[Dt Inicial]],TODAY()),"")</f>
        <v/>
      </c>
      <c r="AA215" t="b">
        <f>AND(Tabela4[[#This Row],[Status]]="Keyuser - Aguardando tarefa precedente",K214="Keyuser - Concluído ")</f>
        <v>0</v>
      </c>
    </row>
    <row r="216" spans="1:27" x14ac:dyDescent="0.25">
      <c r="A216" t="str">
        <f>"OUT-"&amp;IFERROR(MID(Tabela4[[#This Row],[Cenário]],SEARCH("(",Tabela4[[#This Row],[Cenário]])+1,SEARCH(")",Tabela4[[#This Row],[Cenário]])-SEARCH("(",Tabela4[[#This Row],[Cenário]])-1),"")&amp;"_"&amp;ROW()</f>
        <v>OUT-Y036_216</v>
      </c>
      <c r="B216" t="s">
        <v>358</v>
      </c>
      <c r="C216" t="s">
        <v>468</v>
      </c>
      <c r="D216" t="s">
        <v>491</v>
      </c>
      <c r="E216">
        <v>19</v>
      </c>
      <c r="F216" t="s">
        <v>491</v>
      </c>
      <c r="G216" t="s">
        <v>369</v>
      </c>
      <c r="H216" s="13" t="s">
        <v>492</v>
      </c>
      <c r="I216" s="13"/>
      <c r="J216" s="13"/>
      <c r="K216" s="9" t="s">
        <v>271</v>
      </c>
      <c r="L216" s="78">
        <v>45974</v>
      </c>
      <c r="N216" s="78">
        <v>45974</v>
      </c>
      <c r="O216" s="31" t="s">
        <v>493</v>
      </c>
      <c r="P216" s="9"/>
      <c r="Q216" s="9">
        <f>COUNTIF(Tabela4[[#All],[Cenário]],Tabela4[[#This Row],[Cenário]])</f>
        <v>32</v>
      </c>
      <c r="R216">
        <f>COUNTIFS(Tabela4[[#All],[Cenário]],Tabela4[[#This Row],[Cenário]],Tabela4[[#All],[Status]],"Keyuser - Concluído ")</f>
        <v>31</v>
      </c>
      <c r="S216" t="str">
        <f>IF(Tabela4[[#This Row],[Tarefas por Cenário]]-Tabela4[[#This Row],[Tarefas Concluídas]]&gt;0,"Não","Sim")</f>
        <v>Não</v>
      </c>
      <c r="T216">
        <f>COUNTIFS(Tabela4[[#All],[Cenário]],Tabela4[[#This Row],[Cenário]],Tabela4[[#All],[Status]],Tabela4[[#Headers],[Elo - Em correção ]])</f>
        <v>0</v>
      </c>
      <c r="U216">
        <f>COUNTIFS(Tabela4[[#All],[Cenário]],Tabela4[[#This Row],[Cenário]],Tabela4[[#All],[Status]],Tabela4[[#Headers],[Keyuser - Aguardando tarefa precedente]])</f>
        <v>0</v>
      </c>
      <c r="V216">
        <f>COUNTIFS(Tabela4[[#All],[Cenário]],Tabela4[[#This Row],[Cenário]],Tabela4[[#All],[Status]],Tabela4[[#Headers],[Não liberado  para testes]])</f>
        <v>1</v>
      </c>
      <c r="W216" t="str">
        <f>IF(Tabela4[[#This Row],[Elo - Em correção ]]&gt;0,"Sim","Não")</f>
        <v>Não</v>
      </c>
      <c r="X216" t="str">
        <f>IF(Tabela4[[#This Row],[Keyuser - Aguardando tarefa precedente]]&gt;0,"Sim","Não")</f>
        <v>Não</v>
      </c>
      <c r="Y216" t="str">
        <f>IF(Tabela4[[#This Row],[Não liberado  para testes]]&gt;0,"Sim","Não")</f>
        <v>Sim</v>
      </c>
      <c r="Z216" t="str">
        <f ca="1">IF(Tabela4[[#This Row],[Status]]="Keyuser - Pendente",NETWORKDAYS(Tabela4[[#This Row],[Dt Inicial]],TODAY()),"")</f>
        <v/>
      </c>
      <c r="AA216" t="b">
        <f>AND(Tabela4[[#This Row],[Status]]="Keyuser - Aguardando tarefa precedente",K215="Keyuser - Concluído ")</f>
        <v>0</v>
      </c>
    </row>
    <row r="217" spans="1:27" x14ac:dyDescent="0.25">
      <c r="A217" t="str">
        <f>"OUT-"&amp;IFERROR(MID(Tabela4[[#This Row],[Cenário]],SEARCH("(",Tabela4[[#This Row],[Cenário]])+1,SEARCH(")",Tabela4[[#This Row],[Cenário]])-SEARCH("(",Tabela4[[#This Row],[Cenário]])-1),"")&amp;"_"&amp;ROW()</f>
        <v>OUT-Y036_217</v>
      </c>
      <c r="B217" t="s">
        <v>358</v>
      </c>
      <c r="C217" t="s">
        <v>468</v>
      </c>
      <c r="D217" t="s">
        <v>494</v>
      </c>
      <c r="E217">
        <v>20</v>
      </c>
      <c r="F217" t="s">
        <v>494</v>
      </c>
      <c r="G217" t="s">
        <v>287</v>
      </c>
      <c r="H217" s="13" t="s">
        <v>490</v>
      </c>
      <c r="I217" s="13"/>
      <c r="J217" s="13"/>
      <c r="K217" s="9" t="s">
        <v>271</v>
      </c>
      <c r="L217" s="78">
        <v>45978</v>
      </c>
      <c r="N217" s="78">
        <v>45978</v>
      </c>
      <c r="O217" s="31"/>
      <c r="P217" s="9"/>
      <c r="Q217" s="9">
        <f>COUNTIF(Tabela4[[#All],[Cenário]],Tabela4[[#This Row],[Cenário]])</f>
        <v>32</v>
      </c>
      <c r="R217">
        <f>COUNTIFS(Tabela4[[#All],[Cenário]],Tabela4[[#This Row],[Cenário]],Tabela4[[#All],[Status]],"Keyuser - Concluído ")</f>
        <v>31</v>
      </c>
      <c r="S217" t="str">
        <f>IF(Tabela4[[#This Row],[Tarefas por Cenário]]-Tabela4[[#This Row],[Tarefas Concluídas]]&gt;0,"Não","Sim")</f>
        <v>Não</v>
      </c>
      <c r="T217">
        <f>COUNTIFS(Tabela4[[#All],[Cenário]],Tabela4[[#This Row],[Cenário]],Tabela4[[#All],[Status]],Tabela4[[#Headers],[Elo - Em correção ]])</f>
        <v>0</v>
      </c>
      <c r="U217">
        <f>COUNTIFS(Tabela4[[#All],[Cenário]],Tabela4[[#This Row],[Cenário]],Tabela4[[#All],[Status]],Tabela4[[#Headers],[Keyuser - Aguardando tarefa precedente]])</f>
        <v>0</v>
      </c>
      <c r="V217">
        <f>COUNTIFS(Tabela4[[#All],[Cenário]],Tabela4[[#This Row],[Cenário]],Tabela4[[#All],[Status]],Tabela4[[#Headers],[Não liberado  para testes]])</f>
        <v>1</v>
      </c>
      <c r="W217" t="str">
        <f>IF(Tabela4[[#This Row],[Elo - Em correção ]]&gt;0,"Sim","Não")</f>
        <v>Não</v>
      </c>
      <c r="X217" t="str">
        <f>IF(Tabela4[[#This Row],[Keyuser - Aguardando tarefa precedente]]&gt;0,"Sim","Não")</f>
        <v>Não</v>
      </c>
      <c r="Y217" t="str">
        <f>IF(Tabela4[[#This Row],[Não liberado  para testes]]&gt;0,"Sim","Não")</f>
        <v>Sim</v>
      </c>
      <c r="Z217" t="str">
        <f ca="1">IF(Tabela4[[#This Row],[Status]]="Keyuser - Pendente",NETWORKDAYS(Tabela4[[#This Row],[Dt Inicial]],TODAY()),"")</f>
        <v/>
      </c>
      <c r="AA217" t="b">
        <f>AND(Tabela4[[#This Row],[Status]]="Keyuser - Aguardando tarefa precedente",K216="Keyuser - Concluído ")</f>
        <v>0</v>
      </c>
    </row>
    <row r="218" spans="1:27" x14ac:dyDescent="0.25">
      <c r="A218" t="str">
        <f>"OUT-"&amp;IFERROR(MID(Tabela4[[#This Row],[Cenário]],SEARCH("(",Tabela4[[#This Row],[Cenário]])+1,SEARCH(")",Tabela4[[#This Row],[Cenário]])-SEARCH("(",Tabela4[[#This Row],[Cenário]])-1),"")&amp;"_"&amp;ROW()</f>
        <v>OUT-Y036_218</v>
      </c>
      <c r="B218" t="s">
        <v>358</v>
      </c>
      <c r="C218" t="s">
        <v>468</v>
      </c>
      <c r="D218" t="s">
        <v>495</v>
      </c>
      <c r="E218">
        <v>21</v>
      </c>
      <c r="F218" t="s">
        <v>495</v>
      </c>
      <c r="G218" t="s">
        <v>361</v>
      </c>
      <c r="H218" s="13">
        <v>15603700</v>
      </c>
      <c r="I218" s="15"/>
      <c r="J218" s="15"/>
      <c r="K218" s="9" t="s">
        <v>271</v>
      </c>
      <c r="L218" s="78">
        <v>45980</v>
      </c>
      <c r="N218" s="78">
        <v>45980</v>
      </c>
      <c r="O218" s="31"/>
      <c r="P218" s="9"/>
      <c r="Q218" s="9">
        <f>COUNTIF(Tabela4[[#All],[Cenário]],Tabela4[[#This Row],[Cenário]])</f>
        <v>32</v>
      </c>
      <c r="R218">
        <f>COUNTIFS(Tabela4[[#All],[Cenário]],Tabela4[[#This Row],[Cenário]],Tabela4[[#All],[Status]],"Keyuser - Concluído ")</f>
        <v>31</v>
      </c>
      <c r="S218" t="str">
        <f>IF(Tabela4[[#This Row],[Tarefas por Cenário]]-Tabela4[[#This Row],[Tarefas Concluídas]]&gt;0,"Não","Sim")</f>
        <v>Não</v>
      </c>
      <c r="T218">
        <f>COUNTIFS(Tabela4[[#All],[Cenário]],Tabela4[[#This Row],[Cenário]],Tabela4[[#All],[Status]],Tabela4[[#Headers],[Elo - Em correção ]])</f>
        <v>0</v>
      </c>
      <c r="U218">
        <f>COUNTIFS(Tabela4[[#All],[Cenário]],Tabela4[[#This Row],[Cenário]],Tabela4[[#All],[Status]],Tabela4[[#Headers],[Keyuser - Aguardando tarefa precedente]])</f>
        <v>0</v>
      </c>
      <c r="V218">
        <f>COUNTIFS(Tabela4[[#All],[Cenário]],Tabela4[[#This Row],[Cenário]],Tabela4[[#All],[Status]],Tabela4[[#Headers],[Não liberado  para testes]])</f>
        <v>1</v>
      </c>
      <c r="W218" t="str">
        <f>IF(Tabela4[[#This Row],[Elo - Em correção ]]&gt;0,"Sim","Não")</f>
        <v>Não</v>
      </c>
      <c r="X218" t="str">
        <f>IF(Tabela4[[#This Row],[Keyuser - Aguardando tarefa precedente]]&gt;0,"Sim","Não")</f>
        <v>Não</v>
      </c>
      <c r="Y218" t="str">
        <f>IF(Tabela4[[#This Row],[Não liberado  para testes]]&gt;0,"Sim","Não")</f>
        <v>Sim</v>
      </c>
      <c r="Z218" t="str">
        <f ca="1">IF(Tabela4[[#This Row],[Status]]="Keyuser - Pendente",NETWORKDAYS(Tabela4[[#This Row],[Dt Inicial]],TODAY()),"")</f>
        <v/>
      </c>
      <c r="AA218" t="b">
        <f>AND(Tabela4[[#This Row],[Status]]="Keyuser - Aguardando tarefa precedente",K217="Keyuser - Concluído ")</f>
        <v>0</v>
      </c>
    </row>
    <row r="219" spans="1:27" x14ac:dyDescent="0.25">
      <c r="A219" t="str">
        <f>"OUT-"&amp;IFERROR(MID(Tabela4[[#This Row],[Cenário]],SEARCH("(",Tabela4[[#This Row],[Cenário]])+1,SEARCH(")",Tabela4[[#This Row],[Cenário]])-SEARCH("(",Tabela4[[#This Row],[Cenário]])-1),"")&amp;"_"&amp;ROW()</f>
        <v>OUT-Y036_219</v>
      </c>
      <c r="B219" t="s">
        <v>358</v>
      </c>
      <c r="C219" t="s">
        <v>468</v>
      </c>
      <c r="D219" t="s">
        <v>496</v>
      </c>
      <c r="E219">
        <v>22</v>
      </c>
      <c r="F219" t="s">
        <v>496</v>
      </c>
      <c r="G219" t="s">
        <v>310</v>
      </c>
      <c r="H219" s="15">
        <v>15603700</v>
      </c>
      <c r="I219" s="15"/>
      <c r="J219" s="15"/>
      <c r="K219" s="9" t="s">
        <v>271</v>
      </c>
      <c r="L219" s="78">
        <v>45980</v>
      </c>
      <c r="N219" s="78">
        <v>45980</v>
      </c>
      <c r="O219" s="31"/>
      <c r="P219" s="9"/>
      <c r="Q219" s="9">
        <f>COUNTIF(Tabela4[[#All],[Cenário]],Tabela4[[#This Row],[Cenário]])</f>
        <v>32</v>
      </c>
      <c r="R219">
        <f>COUNTIFS(Tabela4[[#All],[Cenário]],Tabela4[[#This Row],[Cenário]],Tabela4[[#All],[Status]],"Keyuser - Concluído ")</f>
        <v>31</v>
      </c>
      <c r="S219" t="str">
        <f>IF(Tabela4[[#This Row],[Tarefas por Cenário]]-Tabela4[[#This Row],[Tarefas Concluídas]]&gt;0,"Não","Sim")</f>
        <v>Não</v>
      </c>
      <c r="T219">
        <f>COUNTIFS(Tabela4[[#All],[Cenário]],Tabela4[[#This Row],[Cenário]],Tabela4[[#All],[Status]],Tabela4[[#Headers],[Elo - Em correção ]])</f>
        <v>0</v>
      </c>
      <c r="U219">
        <f>COUNTIFS(Tabela4[[#All],[Cenário]],Tabela4[[#This Row],[Cenário]],Tabela4[[#All],[Status]],Tabela4[[#Headers],[Keyuser - Aguardando tarefa precedente]])</f>
        <v>0</v>
      </c>
      <c r="V219">
        <f>COUNTIFS(Tabela4[[#All],[Cenário]],Tabela4[[#This Row],[Cenário]],Tabela4[[#All],[Status]],Tabela4[[#Headers],[Não liberado  para testes]])</f>
        <v>1</v>
      </c>
      <c r="W219" t="str">
        <f>IF(Tabela4[[#This Row],[Elo - Em correção ]]&gt;0,"Sim","Não")</f>
        <v>Não</v>
      </c>
      <c r="X219" t="str">
        <f>IF(Tabela4[[#This Row],[Keyuser - Aguardando tarefa precedente]]&gt;0,"Sim","Não")</f>
        <v>Não</v>
      </c>
      <c r="Y219" t="str">
        <f>IF(Tabela4[[#This Row],[Não liberado  para testes]]&gt;0,"Sim","Não")</f>
        <v>Sim</v>
      </c>
      <c r="Z219" t="str">
        <f ca="1">IF(Tabela4[[#This Row],[Status]]="Keyuser - Pendente",NETWORKDAYS(Tabela4[[#This Row],[Dt Inicial]],TODAY()),"")</f>
        <v/>
      </c>
      <c r="AA219" t="b">
        <f>AND(Tabela4[[#This Row],[Status]]="Keyuser - Aguardando tarefa precedente",K218="Keyuser - Concluído ")</f>
        <v>0</v>
      </c>
    </row>
    <row r="220" spans="1:27" x14ac:dyDescent="0.25">
      <c r="A220" t="str">
        <f>"OUT-"&amp;IFERROR(MID(Tabela4[[#This Row],[Cenário]],SEARCH("(",Tabela4[[#This Row],[Cenário]])+1,SEARCH(")",Tabela4[[#This Row],[Cenário]])-SEARCH("(",Tabela4[[#This Row],[Cenário]])-1),"")&amp;"_"&amp;ROW()</f>
        <v>OUT-Y036_220</v>
      </c>
      <c r="B220" t="s">
        <v>358</v>
      </c>
      <c r="C220" t="s">
        <v>468</v>
      </c>
      <c r="D220" t="s">
        <v>497</v>
      </c>
      <c r="E220">
        <v>23</v>
      </c>
      <c r="F220" t="s">
        <v>497</v>
      </c>
      <c r="G220" t="s">
        <v>369</v>
      </c>
      <c r="H220" s="13">
        <v>811951536</v>
      </c>
      <c r="I220" s="13"/>
      <c r="J220" s="13"/>
      <c r="K220" s="9" t="s">
        <v>271</v>
      </c>
      <c r="L220" s="78">
        <v>45982</v>
      </c>
      <c r="N220" s="78">
        <v>45982</v>
      </c>
      <c r="O220" s="31"/>
      <c r="P220" s="9"/>
      <c r="Q220" s="9">
        <f>COUNTIF(Tabela4[[#All],[Cenário]],Tabela4[[#This Row],[Cenário]])</f>
        <v>32</v>
      </c>
      <c r="R220">
        <f>COUNTIFS(Tabela4[[#All],[Cenário]],Tabela4[[#This Row],[Cenário]],Tabela4[[#All],[Status]],"Keyuser - Concluído ")</f>
        <v>31</v>
      </c>
      <c r="S220" t="str">
        <f>IF(Tabela4[[#This Row],[Tarefas por Cenário]]-Tabela4[[#This Row],[Tarefas Concluídas]]&gt;0,"Não","Sim")</f>
        <v>Não</v>
      </c>
      <c r="T220">
        <f>COUNTIFS(Tabela4[[#All],[Cenário]],Tabela4[[#This Row],[Cenário]],Tabela4[[#All],[Status]],Tabela4[[#Headers],[Elo - Em correção ]])</f>
        <v>0</v>
      </c>
      <c r="U220">
        <f>COUNTIFS(Tabela4[[#All],[Cenário]],Tabela4[[#This Row],[Cenário]],Tabela4[[#All],[Status]],Tabela4[[#Headers],[Keyuser - Aguardando tarefa precedente]])</f>
        <v>0</v>
      </c>
      <c r="V220">
        <f>COUNTIFS(Tabela4[[#All],[Cenário]],Tabela4[[#This Row],[Cenário]],Tabela4[[#All],[Status]],Tabela4[[#Headers],[Não liberado  para testes]])</f>
        <v>1</v>
      </c>
      <c r="W220" t="str">
        <f>IF(Tabela4[[#This Row],[Elo - Em correção ]]&gt;0,"Sim","Não")</f>
        <v>Não</v>
      </c>
      <c r="X220" t="str">
        <f>IF(Tabela4[[#This Row],[Keyuser - Aguardando tarefa precedente]]&gt;0,"Sim","Não")</f>
        <v>Não</v>
      </c>
      <c r="Y220" t="str">
        <f>IF(Tabela4[[#This Row],[Não liberado  para testes]]&gt;0,"Sim","Não")</f>
        <v>Sim</v>
      </c>
      <c r="Z220" t="str">
        <f ca="1">IF(Tabela4[[#This Row],[Status]]="Keyuser - Pendente",NETWORKDAYS(Tabela4[[#This Row],[Dt Inicial]],TODAY()),"")</f>
        <v/>
      </c>
      <c r="AA220" t="b">
        <f>AND(Tabela4[[#This Row],[Status]]="Keyuser - Aguardando tarefa precedente",K219="Keyuser - Concluído ")</f>
        <v>0</v>
      </c>
    </row>
    <row r="221" spans="1:27" x14ac:dyDescent="0.25">
      <c r="A221" t="str">
        <f>"OUT-"&amp;IFERROR(MID(Tabela4[[#This Row],[Cenário]],SEARCH("(",Tabela4[[#This Row],[Cenário]])+1,SEARCH(")",Tabela4[[#This Row],[Cenário]])-SEARCH("(",Tabela4[[#This Row],[Cenário]])-1),"")&amp;"_"&amp;ROW()</f>
        <v>OUT-Y036_221</v>
      </c>
      <c r="B221" t="s">
        <v>358</v>
      </c>
      <c r="C221" t="s">
        <v>468</v>
      </c>
      <c r="D221" t="s">
        <v>498</v>
      </c>
      <c r="E221">
        <v>24</v>
      </c>
      <c r="F221" t="s">
        <v>498</v>
      </c>
      <c r="G221" t="s">
        <v>369</v>
      </c>
      <c r="H221" s="13">
        <v>811951536</v>
      </c>
      <c r="I221" s="13"/>
      <c r="J221" s="13"/>
      <c r="K221" s="9" t="s">
        <v>271</v>
      </c>
      <c r="L221" s="78">
        <v>45982</v>
      </c>
      <c r="N221" s="78">
        <v>45982</v>
      </c>
      <c r="O221" s="31"/>
      <c r="P221" s="9"/>
      <c r="Q221" s="9">
        <f>COUNTIF(Tabela4[[#All],[Cenário]],Tabela4[[#This Row],[Cenário]])</f>
        <v>32</v>
      </c>
      <c r="R221">
        <f>COUNTIFS(Tabela4[[#All],[Cenário]],Tabela4[[#This Row],[Cenário]],Tabela4[[#All],[Status]],"Keyuser - Concluído ")</f>
        <v>31</v>
      </c>
      <c r="S221" t="str">
        <f>IF(Tabela4[[#This Row],[Tarefas por Cenário]]-Tabela4[[#This Row],[Tarefas Concluídas]]&gt;0,"Não","Sim")</f>
        <v>Não</v>
      </c>
      <c r="T221">
        <f>COUNTIFS(Tabela4[[#All],[Cenário]],Tabela4[[#This Row],[Cenário]],Tabela4[[#All],[Status]],Tabela4[[#Headers],[Elo - Em correção ]])</f>
        <v>0</v>
      </c>
      <c r="U221">
        <f>COUNTIFS(Tabela4[[#All],[Cenário]],Tabela4[[#This Row],[Cenário]],Tabela4[[#All],[Status]],Tabela4[[#Headers],[Keyuser - Aguardando tarefa precedente]])</f>
        <v>0</v>
      </c>
      <c r="V221">
        <f>COUNTIFS(Tabela4[[#All],[Cenário]],Tabela4[[#This Row],[Cenário]],Tabela4[[#All],[Status]],Tabela4[[#Headers],[Não liberado  para testes]])</f>
        <v>1</v>
      </c>
      <c r="W221" t="str">
        <f>IF(Tabela4[[#This Row],[Elo - Em correção ]]&gt;0,"Sim","Não")</f>
        <v>Não</v>
      </c>
      <c r="X221" t="str">
        <f>IF(Tabela4[[#This Row],[Keyuser - Aguardando tarefa precedente]]&gt;0,"Sim","Não")</f>
        <v>Não</v>
      </c>
      <c r="Y221" t="str">
        <f>IF(Tabela4[[#This Row],[Não liberado  para testes]]&gt;0,"Sim","Não")</f>
        <v>Sim</v>
      </c>
      <c r="Z221" t="str">
        <f ca="1">IF(Tabela4[[#This Row],[Status]]="Keyuser - Pendente",NETWORKDAYS(Tabela4[[#This Row],[Dt Inicial]],TODAY()),"")</f>
        <v/>
      </c>
      <c r="AA221" t="b">
        <f>AND(Tabela4[[#This Row],[Status]]="Keyuser - Aguardando tarefa precedente",K220="Keyuser - Concluído ")</f>
        <v>0</v>
      </c>
    </row>
    <row r="222" spans="1:27" x14ac:dyDescent="0.25">
      <c r="A222" t="str">
        <f>"OUT-"&amp;IFERROR(MID(Tabela4[[#This Row],[Cenário]],SEARCH("(",Tabela4[[#This Row],[Cenário]])+1,SEARCH(")",Tabela4[[#This Row],[Cenário]])-SEARCH("(",Tabela4[[#This Row],[Cenário]])-1),"")&amp;"_"&amp;ROW()</f>
        <v>OUT-Y036_222</v>
      </c>
      <c r="B222" t="s">
        <v>358</v>
      </c>
      <c r="C222" t="s">
        <v>468</v>
      </c>
      <c r="D222" t="s">
        <v>499</v>
      </c>
      <c r="E222">
        <v>25</v>
      </c>
      <c r="F222" t="s">
        <v>499</v>
      </c>
      <c r="G222" t="s">
        <v>369</v>
      </c>
      <c r="H222" s="13">
        <v>4952459608</v>
      </c>
      <c r="I222" s="13"/>
      <c r="J222" s="13"/>
      <c r="K222" s="9" t="s">
        <v>271</v>
      </c>
      <c r="L222" s="78">
        <v>45982</v>
      </c>
      <c r="N222" s="78">
        <v>45982</v>
      </c>
      <c r="O222" s="31"/>
      <c r="P222" s="9"/>
      <c r="Q222" s="9">
        <f>COUNTIF(Tabela4[[#All],[Cenário]],Tabela4[[#This Row],[Cenário]])</f>
        <v>32</v>
      </c>
      <c r="R222">
        <f>COUNTIFS(Tabela4[[#All],[Cenário]],Tabela4[[#This Row],[Cenário]],Tabela4[[#All],[Status]],"Keyuser - Concluído ")</f>
        <v>31</v>
      </c>
      <c r="S222" t="str">
        <f>IF(Tabela4[[#This Row],[Tarefas por Cenário]]-Tabela4[[#This Row],[Tarefas Concluídas]]&gt;0,"Não","Sim")</f>
        <v>Não</v>
      </c>
      <c r="T222">
        <f>COUNTIFS(Tabela4[[#All],[Cenário]],Tabela4[[#This Row],[Cenário]],Tabela4[[#All],[Status]],Tabela4[[#Headers],[Elo - Em correção ]])</f>
        <v>0</v>
      </c>
      <c r="U222">
        <f>COUNTIFS(Tabela4[[#All],[Cenário]],Tabela4[[#This Row],[Cenário]],Tabela4[[#All],[Status]],Tabela4[[#Headers],[Keyuser - Aguardando tarefa precedente]])</f>
        <v>0</v>
      </c>
      <c r="V222">
        <f>COUNTIFS(Tabela4[[#All],[Cenário]],Tabela4[[#This Row],[Cenário]],Tabela4[[#All],[Status]],Tabela4[[#Headers],[Não liberado  para testes]])</f>
        <v>1</v>
      </c>
      <c r="W222" t="str">
        <f>IF(Tabela4[[#This Row],[Elo - Em correção ]]&gt;0,"Sim","Não")</f>
        <v>Não</v>
      </c>
      <c r="X222" t="str">
        <f>IF(Tabela4[[#This Row],[Keyuser - Aguardando tarefa precedente]]&gt;0,"Sim","Não")</f>
        <v>Não</v>
      </c>
      <c r="Y222" t="str">
        <f>IF(Tabela4[[#This Row],[Não liberado  para testes]]&gt;0,"Sim","Não")</f>
        <v>Sim</v>
      </c>
      <c r="Z222" t="str">
        <f ca="1">IF(Tabela4[[#This Row],[Status]]="Keyuser - Pendente",NETWORKDAYS(Tabela4[[#This Row],[Dt Inicial]],TODAY()),"")</f>
        <v/>
      </c>
      <c r="AA222" t="b">
        <f>AND(Tabela4[[#This Row],[Status]]="Keyuser - Aguardando tarefa precedente",K221="Keyuser - Concluído ")</f>
        <v>0</v>
      </c>
    </row>
    <row r="223" spans="1:27" x14ac:dyDescent="0.25">
      <c r="A223" t="str">
        <f>"OUT-"&amp;IFERROR(MID(Tabela4[[#This Row],[Cenário]],SEARCH("(",Tabela4[[#This Row],[Cenário]])+1,SEARCH(")",Tabela4[[#This Row],[Cenário]])-SEARCH("(",Tabela4[[#This Row],[Cenário]])-1),"")&amp;"_"&amp;ROW()</f>
        <v>OUT-Y036_223</v>
      </c>
      <c r="B223" t="s">
        <v>358</v>
      </c>
      <c r="C223" t="s">
        <v>468</v>
      </c>
      <c r="D223" t="s">
        <v>500</v>
      </c>
      <c r="E223">
        <v>26</v>
      </c>
      <c r="F223" t="s">
        <v>500</v>
      </c>
      <c r="G223" t="s">
        <v>369</v>
      </c>
      <c r="H223" s="15" t="s">
        <v>501</v>
      </c>
      <c r="I223" s="15"/>
      <c r="J223" s="15"/>
      <c r="K223" s="9" t="s">
        <v>271</v>
      </c>
      <c r="L223" s="78">
        <v>45982</v>
      </c>
      <c r="N223" s="78">
        <v>45982</v>
      </c>
      <c r="O223" s="31"/>
      <c r="P223" s="9"/>
      <c r="Q223" s="9">
        <f>COUNTIF(Tabela4[[#All],[Cenário]],Tabela4[[#This Row],[Cenário]])</f>
        <v>32</v>
      </c>
      <c r="R223">
        <f>COUNTIFS(Tabela4[[#All],[Cenário]],Tabela4[[#This Row],[Cenário]],Tabela4[[#All],[Status]],"Keyuser - Concluído ")</f>
        <v>31</v>
      </c>
      <c r="S223" t="str">
        <f>IF(Tabela4[[#This Row],[Tarefas por Cenário]]-Tabela4[[#This Row],[Tarefas Concluídas]]&gt;0,"Não","Sim")</f>
        <v>Não</v>
      </c>
      <c r="T223">
        <f>COUNTIFS(Tabela4[[#All],[Cenário]],Tabela4[[#This Row],[Cenário]],Tabela4[[#All],[Status]],Tabela4[[#Headers],[Elo - Em correção ]])</f>
        <v>0</v>
      </c>
      <c r="U223">
        <f>COUNTIFS(Tabela4[[#All],[Cenário]],Tabela4[[#This Row],[Cenário]],Tabela4[[#All],[Status]],Tabela4[[#Headers],[Keyuser - Aguardando tarefa precedente]])</f>
        <v>0</v>
      </c>
      <c r="V223">
        <f>COUNTIFS(Tabela4[[#All],[Cenário]],Tabela4[[#This Row],[Cenário]],Tabela4[[#All],[Status]],Tabela4[[#Headers],[Não liberado  para testes]])</f>
        <v>1</v>
      </c>
      <c r="W223" t="str">
        <f>IF(Tabela4[[#This Row],[Elo - Em correção ]]&gt;0,"Sim","Não")</f>
        <v>Não</v>
      </c>
      <c r="X223" t="str">
        <f>IF(Tabela4[[#This Row],[Keyuser - Aguardando tarefa precedente]]&gt;0,"Sim","Não")</f>
        <v>Não</v>
      </c>
      <c r="Y223" t="str">
        <f>IF(Tabela4[[#This Row],[Não liberado  para testes]]&gt;0,"Sim","Não")</f>
        <v>Sim</v>
      </c>
      <c r="Z223" t="str">
        <f ca="1">IF(Tabela4[[#This Row],[Status]]="Keyuser - Pendente",NETWORKDAYS(Tabela4[[#This Row],[Dt Inicial]],TODAY()),"")</f>
        <v/>
      </c>
      <c r="AA223" t="b">
        <f>AND(Tabela4[[#This Row],[Status]]="Keyuser - Aguardando tarefa precedente",K222="Keyuser - Concluído ")</f>
        <v>0</v>
      </c>
    </row>
    <row r="224" spans="1:27" x14ac:dyDescent="0.25">
      <c r="A224" t="str">
        <f>"OUT-"&amp;IFERROR(MID(Tabela4[[#This Row],[Cenário]],SEARCH("(",Tabela4[[#This Row],[Cenário]])+1,SEARCH(")",Tabela4[[#This Row],[Cenário]])-SEARCH("(",Tabela4[[#This Row],[Cenário]])-1),"")&amp;"_"&amp;ROW()</f>
        <v>OUT-Y036_224</v>
      </c>
      <c r="B224" t="s">
        <v>358</v>
      </c>
      <c r="C224" t="s">
        <v>468</v>
      </c>
      <c r="D224" t="s">
        <v>502</v>
      </c>
      <c r="E224">
        <v>27</v>
      </c>
      <c r="F224" t="s">
        <v>502</v>
      </c>
      <c r="G224" t="s">
        <v>369</v>
      </c>
      <c r="H224" s="13">
        <v>811951536</v>
      </c>
      <c r="I224" s="13"/>
      <c r="J224" s="13"/>
      <c r="K224" s="9" t="s">
        <v>271</v>
      </c>
      <c r="L224" s="78">
        <v>45982</v>
      </c>
      <c r="N224" s="78">
        <v>45982</v>
      </c>
      <c r="O224" s="31"/>
      <c r="P224" s="9"/>
      <c r="Q224" s="9">
        <f>COUNTIF(Tabela4[[#All],[Cenário]],Tabela4[[#This Row],[Cenário]])</f>
        <v>32</v>
      </c>
      <c r="R224">
        <f>COUNTIFS(Tabela4[[#All],[Cenário]],Tabela4[[#This Row],[Cenário]],Tabela4[[#All],[Status]],"Keyuser - Concluído ")</f>
        <v>31</v>
      </c>
      <c r="S224" t="str">
        <f>IF(Tabela4[[#This Row],[Tarefas por Cenário]]-Tabela4[[#This Row],[Tarefas Concluídas]]&gt;0,"Não","Sim")</f>
        <v>Não</v>
      </c>
      <c r="T224">
        <f>COUNTIFS(Tabela4[[#All],[Cenário]],Tabela4[[#This Row],[Cenário]],Tabela4[[#All],[Status]],Tabela4[[#Headers],[Elo - Em correção ]])</f>
        <v>0</v>
      </c>
      <c r="U224">
        <f>COUNTIFS(Tabela4[[#All],[Cenário]],Tabela4[[#This Row],[Cenário]],Tabela4[[#All],[Status]],Tabela4[[#Headers],[Keyuser - Aguardando tarefa precedente]])</f>
        <v>0</v>
      </c>
      <c r="V224">
        <f>COUNTIFS(Tabela4[[#All],[Cenário]],Tabela4[[#This Row],[Cenário]],Tabela4[[#All],[Status]],Tabela4[[#Headers],[Não liberado  para testes]])</f>
        <v>1</v>
      </c>
      <c r="W224" t="str">
        <f>IF(Tabela4[[#This Row],[Elo - Em correção ]]&gt;0,"Sim","Não")</f>
        <v>Não</v>
      </c>
      <c r="X224" t="str">
        <f>IF(Tabela4[[#This Row],[Keyuser - Aguardando tarefa precedente]]&gt;0,"Sim","Não")</f>
        <v>Não</v>
      </c>
      <c r="Y224" t="str">
        <f>IF(Tabela4[[#This Row],[Não liberado  para testes]]&gt;0,"Sim","Não")</f>
        <v>Sim</v>
      </c>
      <c r="Z224" t="str">
        <f ca="1">IF(Tabela4[[#This Row],[Status]]="Keyuser - Pendente",NETWORKDAYS(Tabela4[[#This Row],[Dt Inicial]],TODAY()),"")</f>
        <v/>
      </c>
      <c r="AA224" t="b">
        <f>AND(Tabela4[[#This Row],[Status]]="Keyuser - Aguardando tarefa precedente",K223="Keyuser - Concluído ")</f>
        <v>0</v>
      </c>
    </row>
    <row r="225" spans="1:27" x14ac:dyDescent="0.25">
      <c r="A225" t="str">
        <f>"OUT-"&amp;IFERROR(MID(Tabela4[[#This Row],[Cenário]],SEARCH("(",Tabela4[[#This Row],[Cenário]])+1,SEARCH(")",Tabela4[[#This Row],[Cenário]])-SEARCH("(",Tabela4[[#This Row],[Cenário]])-1),"")&amp;"_"&amp;ROW()</f>
        <v>OUT-Y036_225</v>
      </c>
      <c r="B225" t="s">
        <v>358</v>
      </c>
      <c r="C225" t="s">
        <v>468</v>
      </c>
      <c r="D225" t="s">
        <v>503</v>
      </c>
      <c r="E225">
        <v>28</v>
      </c>
      <c r="F225" t="s">
        <v>503</v>
      </c>
      <c r="G225" t="s">
        <v>369</v>
      </c>
      <c r="H225" s="35" t="s">
        <v>501</v>
      </c>
      <c r="I225" s="13"/>
      <c r="J225" s="13"/>
      <c r="K225" s="9" t="s">
        <v>271</v>
      </c>
      <c r="L225" s="78">
        <v>45982</v>
      </c>
      <c r="N225" s="78">
        <v>45982</v>
      </c>
      <c r="O225" s="31"/>
      <c r="P225" s="9"/>
      <c r="Q225" s="9">
        <f>COUNTIF(Tabela4[[#All],[Cenário]],Tabela4[[#This Row],[Cenário]])</f>
        <v>32</v>
      </c>
      <c r="R225">
        <f>COUNTIFS(Tabela4[[#All],[Cenário]],Tabela4[[#This Row],[Cenário]],Tabela4[[#All],[Status]],"Keyuser - Concluído ")</f>
        <v>31</v>
      </c>
      <c r="S225" t="str">
        <f>IF(Tabela4[[#This Row],[Tarefas por Cenário]]-Tabela4[[#This Row],[Tarefas Concluídas]]&gt;0,"Não","Sim")</f>
        <v>Não</v>
      </c>
      <c r="T225">
        <f>COUNTIFS(Tabela4[[#All],[Cenário]],Tabela4[[#This Row],[Cenário]],Tabela4[[#All],[Status]],Tabela4[[#Headers],[Elo - Em correção ]])</f>
        <v>0</v>
      </c>
      <c r="U225">
        <f>COUNTIFS(Tabela4[[#All],[Cenário]],Tabela4[[#This Row],[Cenário]],Tabela4[[#All],[Status]],Tabela4[[#Headers],[Keyuser - Aguardando tarefa precedente]])</f>
        <v>0</v>
      </c>
      <c r="V225">
        <f>COUNTIFS(Tabela4[[#All],[Cenário]],Tabela4[[#This Row],[Cenário]],Tabela4[[#All],[Status]],Tabela4[[#Headers],[Não liberado  para testes]])</f>
        <v>1</v>
      </c>
      <c r="W225" t="str">
        <f>IF(Tabela4[[#This Row],[Elo - Em correção ]]&gt;0,"Sim","Não")</f>
        <v>Não</v>
      </c>
      <c r="X225" t="str">
        <f>IF(Tabela4[[#This Row],[Keyuser - Aguardando tarefa precedente]]&gt;0,"Sim","Não")</f>
        <v>Não</v>
      </c>
      <c r="Y225" t="str">
        <f>IF(Tabela4[[#This Row],[Não liberado  para testes]]&gt;0,"Sim","Não")</f>
        <v>Sim</v>
      </c>
      <c r="Z225" t="str">
        <f ca="1">IF(Tabela4[[#This Row],[Status]]="Keyuser - Pendente",NETWORKDAYS(Tabela4[[#This Row],[Dt Inicial]],TODAY()),"")</f>
        <v/>
      </c>
      <c r="AA225" t="b">
        <f>AND(Tabela4[[#This Row],[Status]]="Keyuser - Aguardando tarefa precedente",K224="Keyuser - Concluído ")</f>
        <v>0</v>
      </c>
    </row>
    <row r="226" spans="1:27" x14ac:dyDescent="0.25">
      <c r="A226" t="str">
        <f>"OUT-"&amp;IFERROR(MID(Tabela4[[#This Row],[Cenário]],SEARCH("(",Tabela4[[#This Row],[Cenário]])+1,SEARCH(")",Tabela4[[#This Row],[Cenário]])-SEARCH("(",Tabela4[[#This Row],[Cenário]])-1),"")&amp;"_"&amp;ROW()</f>
        <v>OUT-Y036_226</v>
      </c>
      <c r="B226" t="s">
        <v>358</v>
      </c>
      <c r="C226" t="s">
        <v>468</v>
      </c>
      <c r="D226" t="s">
        <v>504</v>
      </c>
      <c r="E226">
        <v>29</v>
      </c>
      <c r="F226" t="s">
        <v>504</v>
      </c>
      <c r="G226" t="s">
        <v>287</v>
      </c>
      <c r="H226" s="35" t="s">
        <v>501</v>
      </c>
      <c r="I226" s="13"/>
      <c r="J226" s="13"/>
      <c r="K226" s="9" t="s">
        <v>271</v>
      </c>
      <c r="L226" s="78">
        <v>45986</v>
      </c>
      <c r="N226" s="78">
        <v>45986</v>
      </c>
      <c r="O226" s="31"/>
      <c r="P226" s="9"/>
      <c r="Q226" s="9">
        <f>COUNTIF(Tabela4[[#All],[Cenário]],Tabela4[[#This Row],[Cenário]])</f>
        <v>32</v>
      </c>
      <c r="R226">
        <f>COUNTIFS(Tabela4[[#All],[Cenário]],Tabela4[[#This Row],[Cenário]],Tabela4[[#All],[Status]],"Keyuser - Concluído ")</f>
        <v>31</v>
      </c>
      <c r="S226" t="str">
        <f>IF(Tabela4[[#This Row],[Tarefas por Cenário]]-Tabela4[[#This Row],[Tarefas Concluídas]]&gt;0,"Não","Sim")</f>
        <v>Não</v>
      </c>
      <c r="T226">
        <f>COUNTIFS(Tabela4[[#All],[Cenário]],Tabela4[[#This Row],[Cenário]],Tabela4[[#All],[Status]],Tabela4[[#Headers],[Elo - Em correção ]])</f>
        <v>0</v>
      </c>
      <c r="U226">
        <f>COUNTIFS(Tabela4[[#All],[Cenário]],Tabela4[[#This Row],[Cenário]],Tabela4[[#All],[Status]],Tabela4[[#Headers],[Keyuser - Aguardando tarefa precedente]])</f>
        <v>0</v>
      </c>
      <c r="V226">
        <f>COUNTIFS(Tabela4[[#All],[Cenário]],Tabela4[[#This Row],[Cenário]],Tabela4[[#All],[Status]],Tabela4[[#Headers],[Não liberado  para testes]])</f>
        <v>1</v>
      </c>
      <c r="W226" t="str">
        <f>IF(Tabela4[[#This Row],[Elo - Em correção ]]&gt;0,"Sim","Não")</f>
        <v>Não</v>
      </c>
      <c r="X226" t="str">
        <f>IF(Tabela4[[#This Row],[Keyuser - Aguardando tarefa precedente]]&gt;0,"Sim","Não")</f>
        <v>Não</v>
      </c>
      <c r="Y226" t="str">
        <f>IF(Tabela4[[#This Row],[Não liberado  para testes]]&gt;0,"Sim","Não")</f>
        <v>Sim</v>
      </c>
      <c r="Z226" t="str">
        <f ca="1">IF(Tabela4[[#This Row],[Status]]="Keyuser - Pendente",NETWORKDAYS(Tabela4[[#This Row],[Dt Inicial]],TODAY()),"")</f>
        <v/>
      </c>
      <c r="AA226" t="b">
        <f>AND(Tabela4[[#This Row],[Status]]="Keyuser - Aguardando tarefa precedente",K225="Keyuser - Concluído ")</f>
        <v>0</v>
      </c>
    </row>
    <row r="227" spans="1:27" x14ac:dyDescent="0.25">
      <c r="A227" t="str">
        <f>"OUT-"&amp;IFERROR(MID(Tabela4[[#This Row],[Cenário]],SEARCH("(",Tabela4[[#This Row],[Cenário]])+1,SEARCH(")",Tabela4[[#This Row],[Cenário]])-SEARCH("(",Tabela4[[#This Row],[Cenário]])-1),"")&amp;"_"&amp;ROW()</f>
        <v>OUT-Y036_227</v>
      </c>
      <c r="B227" t="s">
        <v>358</v>
      </c>
      <c r="C227" t="s">
        <v>468</v>
      </c>
      <c r="D227" t="s">
        <v>505</v>
      </c>
      <c r="E227">
        <v>30</v>
      </c>
      <c r="F227" t="s">
        <v>505</v>
      </c>
      <c r="G227" t="s">
        <v>283</v>
      </c>
      <c r="H227" s="35" t="s">
        <v>501</v>
      </c>
      <c r="I227" s="13"/>
      <c r="J227" s="13"/>
      <c r="K227" s="9" t="s">
        <v>271</v>
      </c>
      <c r="L227" s="78">
        <v>45986</v>
      </c>
      <c r="N227" s="78">
        <v>45986</v>
      </c>
      <c r="O227" s="31"/>
      <c r="P227" s="9"/>
      <c r="Q227" s="9">
        <f>COUNTIF(Tabela4[[#All],[Cenário]],Tabela4[[#This Row],[Cenário]])</f>
        <v>32</v>
      </c>
      <c r="R227">
        <f>COUNTIFS(Tabela4[[#All],[Cenário]],Tabela4[[#This Row],[Cenário]],Tabela4[[#All],[Status]],"Keyuser - Concluído ")</f>
        <v>31</v>
      </c>
      <c r="S227" t="str">
        <f>IF(Tabela4[[#This Row],[Tarefas por Cenário]]-Tabela4[[#This Row],[Tarefas Concluídas]]&gt;0,"Não","Sim")</f>
        <v>Não</v>
      </c>
      <c r="T227">
        <f>COUNTIFS(Tabela4[[#All],[Cenário]],Tabela4[[#This Row],[Cenário]],Tabela4[[#All],[Status]],Tabela4[[#Headers],[Elo - Em correção ]])</f>
        <v>0</v>
      </c>
      <c r="U227">
        <f>COUNTIFS(Tabela4[[#All],[Cenário]],Tabela4[[#This Row],[Cenário]],Tabela4[[#All],[Status]],Tabela4[[#Headers],[Keyuser - Aguardando tarefa precedente]])</f>
        <v>0</v>
      </c>
      <c r="V227">
        <f>COUNTIFS(Tabela4[[#All],[Cenário]],Tabela4[[#This Row],[Cenário]],Tabela4[[#All],[Status]],Tabela4[[#Headers],[Não liberado  para testes]])</f>
        <v>1</v>
      </c>
      <c r="W227" t="str">
        <f>IF(Tabela4[[#This Row],[Elo - Em correção ]]&gt;0,"Sim","Não")</f>
        <v>Não</v>
      </c>
      <c r="X227" t="str">
        <f>IF(Tabela4[[#This Row],[Keyuser - Aguardando tarefa precedente]]&gt;0,"Sim","Não")</f>
        <v>Não</v>
      </c>
      <c r="Y227" t="str">
        <f>IF(Tabela4[[#This Row],[Não liberado  para testes]]&gt;0,"Sim","Não")</f>
        <v>Sim</v>
      </c>
      <c r="Z227" t="str">
        <f ca="1">IF(Tabela4[[#This Row],[Status]]="Keyuser - Pendente",NETWORKDAYS(Tabela4[[#This Row],[Dt Inicial]],TODAY()),"")</f>
        <v/>
      </c>
      <c r="AA227" t="b">
        <f>AND(Tabela4[[#This Row],[Status]]="Keyuser - Aguardando tarefa precedente",K226="Keyuser - Concluído ")</f>
        <v>0</v>
      </c>
    </row>
    <row r="228" spans="1:27" x14ac:dyDescent="0.25">
      <c r="A228" t="str">
        <f>"OUT-"&amp;IFERROR(MID(Tabela4[[#This Row],[Cenário]],SEARCH("(",Tabela4[[#This Row],[Cenário]])+1,SEARCH(")",Tabela4[[#This Row],[Cenário]])-SEARCH("(",Tabela4[[#This Row],[Cenário]])-1),"")&amp;"_"&amp;ROW()</f>
        <v>OUT-Y036_228</v>
      </c>
      <c r="B228" t="s">
        <v>358</v>
      </c>
      <c r="C228" t="s">
        <v>468</v>
      </c>
      <c r="D228" t="s">
        <v>506</v>
      </c>
      <c r="E228">
        <v>31</v>
      </c>
      <c r="F228" t="s">
        <v>506</v>
      </c>
      <c r="G228" t="s">
        <v>287</v>
      </c>
      <c r="H228" s="13"/>
      <c r="I228" s="13"/>
      <c r="J228" s="13"/>
      <c r="K228" s="9" t="s">
        <v>262</v>
      </c>
      <c r="N228" s="78"/>
      <c r="O228" s="31"/>
      <c r="P228" s="9"/>
      <c r="Q228" s="9">
        <f>COUNTIF(Tabela4[[#All],[Cenário]],Tabela4[[#This Row],[Cenário]])</f>
        <v>32</v>
      </c>
      <c r="R228">
        <f>COUNTIFS(Tabela4[[#All],[Cenário]],Tabela4[[#This Row],[Cenário]],Tabela4[[#All],[Status]],"Keyuser - Concluído ")</f>
        <v>31</v>
      </c>
      <c r="S228" t="str">
        <f>IF(Tabela4[[#This Row],[Tarefas por Cenário]]-Tabela4[[#This Row],[Tarefas Concluídas]]&gt;0,"Não","Sim")</f>
        <v>Não</v>
      </c>
      <c r="T228">
        <f>COUNTIFS(Tabela4[[#All],[Cenário]],Tabela4[[#This Row],[Cenário]],Tabela4[[#All],[Status]],Tabela4[[#Headers],[Elo - Em correção ]])</f>
        <v>0</v>
      </c>
      <c r="U228">
        <f>COUNTIFS(Tabela4[[#All],[Cenário]],Tabela4[[#This Row],[Cenário]],Tabela4[[#All],[Status]],Tabela4[[#Headers],[Keyuser - Aguardando tarefa precedente]])</f>
        <v>0</v>
      </c>
      <c r="V228">
        <f>COUNTIFS(Tabela4[[#All],[Cenário]],Tabela4[[#This Row],[Cenário]],Tabela4[[#All],[Status]],Tabela4[[#Headers],[Não liberado  para testes]])</f>
        <v>1</v>
      </c>
      <c r="W228" t="str">
        <f>IF(Tabela4[[#This Row],[Elo - Em correção ]]&gt;0,"Sim","Não")</f>
        <v>Não</v>
      </c>
      <c r="X228" t="str">
        <f>IF(Tabela4[[#This Row],[Keyuser - Aguardando tarefa precedente]]&gt;0,"Sim","Não")</f>
        <v>Não</v>
      </c>
      <c r="Y228" t="str">
        <f>IF(Tabela4[[#This Row],[Não liberado  para testes]]&gt;0,"Sim","Não")</f>
        <v>Sim</v>
      </c>
      <c r="Z228" t="str">
        <f ca="1">IF(Tabela4[[#This Row],[Status]]="Keyuser - Pendente",NETWORKDAYS(Tabela4[[#This Row],[Dt Inicial]],TODAY()),"")</f>
        <v/>
      </c>
      <c r="AA228" t="b">
        <f>AND(Tabela4[[#This Row],[Status]]="Keyuser - Aguardando tarefa precedente",K227="Keyuser - Concluído ")</f>
        <v>0</v>
      </c>
    </row>
    <row r="229" spans="1:27" x14ac:dyDescent="0.25">
      <c r="A229" t="str">
        <f>"OUT-"&amp;IFERROR(MID(Tabela4[[#This Row],[Cenário]],SEARCH("(",Tabela4[[#This Row],[Cenário]])+1,SEARCH(")",Tabela4[[#This Row],[Cenário]])-SEARCH("(",Tabela4[[#This Row],[Cenário]])-1),"")&amp;"_"&amp;ROW()</f>
        <v>OUT-Y036_229</v>
      </c>
      <c r="B229" t="s">
        <v>358</v>
      </c>
      <c r="C229" t="s">
        <v>468</v>
      </c>
      <c r="D229" t="s">
        <v>375</v>
      </c>
      <c r="E229">
        <v>32</v>
      </c>
      <c r="F229" t="s">
        <v>375</v>
      </c>
      <c r="G229" t="s">
        <v>367</v>
      </c>
      <c r="H229" s="15">
        <v>15603700</v>
      </c>
      <c r="I229" s="15"/>
      <c r="J229" s="15"/>
      <c r="K229" s="9" t="s">
        <v>271</v>
      </c>
      <c r="L229" s="78">
        <v>45986</v>
      </c>
      <c r="N229" s="78">
        <v>45986</v>
      </c>
      <c r="O229" s="31"/>
      <c r="P229" s="9"/>
      <c r="Q229" s="9">
        <f>COUNTIF(Tabela4[[#All],[Cenário]],Tabela4[[#This Row],[Cenário]])</f>
        <v>32</v>
      </c>
      <c r="R229">
        <f>COUNTIFS(Tabela4[[#All],[Cenário]],Tabela4[[#This Row],[Cenário]],Tabela4[[#All],[Status]],"Keyuser - Concluído ")</f>
        <v>31</v>
      </c>
      <c r="S229" t="str">
        <f>IF(Tabela4[[#This Row],[Tarefas por Cenário]]-Tabela4[[#This Row],[Tarefas Concluídas]]&gt;0,"Não","Sim")</f>
        <v>Não</v>
      </c>
      <c r="T229">
        <f>COUNTIFS(Tabela4[[#All],[Cenário]],Tabela4[[#This Row],[Cenário]],Tabela4[[#All],[Status]],Tabela4[[#Headers],[Elo - Em correção ]])</f>
        <v>0</v>
      </c>
      <c r="U229">
        <f>COUNTIFS(Tabela4[[#All],[Cenário]],Tabela4[[#This Row],[Cenário]],Tabela4[[#All],[Status]],Tabela4[[#Headers],[Keyuser - Aguardando tarefa precedente]])</f>
        <v>0</v>
      </c>
      <c r="V229">
        <f>COUNTIFS(Tabela4[[#All],[Cenário]],Tabela4[[#This Row],[Cenário]],Tabela4[[#All],[Status]],Tabela4[[#Headers],[Não liberado  para testes]])</f>
        <v>1</v>
      </c>
      <c r="W229" t="str">
        <f>IF(Tabela4[[#This Row],[Elo - Em correção ]]&gt;0,"Sim","Não")</f>
        <v>Não</v>
      </c>
      <c r="X229" t="str">
        <f>IF(Tabela4[[#This Row],[Keyuser - Aguardando tarefa precedente]]&gt;0,"Sim","Não")</f>
        <v>Não</v>
      </c>
      <c r="Y229" t="str">
        <f>IF(Tabela4[[#This Row],[Não liberado  para testes]]&gt;0,"Sim","Não")</f>
        <v>Sim</v>
      </c>
      <c r="Z229" t="str">
        <f ca="1">IF(Tabela4[[#This Row],[Status]]="Keyuser - Pendente",NETWORKDAYS(Tabela4[[#This Row],[Dt Inicial]],TODAY()),"")</f>
        <v/>
      </c>
      <c r="AA229" t="b">
        <f>AND(Tabela4[[#This Row],[Status]]="Keyuser - Aguardando tarefa precedente",K228="Keyuser - Concluído ")</f>
        <v>0</v>
      </c>
    </row>
    <row r="230" spans="1:27" x14ac:dyDescent="0.25">
      <c r="A230" t="str">
        <f>"OUT-"&amp;IFERROR(MID(Tabela4[[#This Row],[Cenário]],SEARCH("(",Tabela4[[#This Row],[Cenário]])+1,SEARCH(")",Tabela4[[#This Row],[Cenário]])-SEARCH("(",Tabela4[[#This Row],[Cenário]])-1),"")&amp;"_"&amp;ROW()</f>
        <v>OUT-Cockpit_230</v>
      </c>
      <c r="B230" t="s">
        <v>358</v>
      </c>
      <c r="C230" t="s">
        <v>507</v>
      </c>
      <c r="D230" t="s">
        <v>508</v>
      </c>
      <c r="E230">
        <v>1</v>
      </c>
      <c r="F230" t="s">
        <v>508</v>
      </c>
      <c r="G230" t="s">
        <v>369</v>
      </c>
      <c r="H230" s="15" t="s">
        <v>509</v>
      </c>
      <c r="I230" s="15" t="s">
        <v>414</v>
      </c>
      <c r="J230" s="15"/>
      <c r="K230" s="9" t="s">
        <v>271</v>
      </c>
      <c r="L230" s="78">
        <v>45947</v>
      </c>
      <c r="N230" s="78">
        <v>45947</v>
      </c>
      <c r="O230" s="31"/>
      <c r="P230" s="9"/>
      <c r="Q230" s="9">
        <f>COUNTIF(Tabela4[[#All],[Cenário]],Tabela4[[#This Row],[Cenário]])</f>
        <v>4</v>
      </c>
      <c r="R230">
        <f>COUNTIFS(Tabela4[[#All],[Cenário]],Tabela4[[#This Row],[Cenário]],Tabela4[[#All],[Status]],"Keyuser - Concluído ")</f>
        <v>3</v>
      </c>
      <c r="S230" t="str">
        <f>IF(Tabela4[[#This Row],[Tarefas por Cenário]]-Tabela4[[#This Row],[Tarefas Concluídas]]&gt;0,"Não","Sim")</f>
        <v>Não</v>
      </c>
      <c r="T230">
        <f>COUNTIFS(Tabela4[[#All],[Cenário]],Tabela4[[#This Row],[Cenário]],Tabela4[[#All],[Status]],Tabela4[[#Headers],[Elo - Em correção ]])</f>
        <v>0</v>
      </c>
      <c r="U230">
        <f>COUNTIFS(Tabela4[[#All],[Cenário]],Tabela4[[#This Row],[Cenário]],Tabela4[[#All],[Status]],Tabela4[[#Headers],[Keyuser - Aguardando tarefa precedente]])</f>
        <v>0</v>
      </c>
      <c r="V230">
        <f>COUNTIFS(Tabela4[[#All],[Cenário]],Tabela4[[#This Row],[Cenário]],Tabela4[[#All],[Status]],Tabela4[[#Headers],[Não liberado  para testes]])</f>
        <v>1</v>
      </c>
      <c r="W230" t="str">
        <f>IF(Tabela4[[#This Row],[Elo - Em correção ]]&gt;0,"Sim","Não")</f>
        <v>Não</v>
      </c>
      <c r="X230" t="str">
        <f>IF(Tabela4[[#This Row],[Keyuser - Aguardando tarefa precedente]]&gt;0,"Sim","Não")</f>
        <v>Não</v>
      </c>
      <c r="Y230" t="str">
        <f>IF(Tabela4[[#This Row],[Não liberado  para testes]]&gt;0,"Sim","Não")</f>
        <v>Sim</v>
      </c>
      <c r="Z230" t="str">
        <f ca="1">IF(Tabela4[[#This Row],[Status]]="Keyuser - Pendente",NETWORKDAYS(Tabela4[[#This Row],[Dt Inicial]],TODAY()),"")</f>
        <v/>
      </c>
      <c r="AA230" t="b">
        <f>AND(Tabela4[[#This Row],[Status]]="Keyuser - Aguardando tarefa precedente",K229="Keyuser - Concluído ")</f>
        <v>0</v>
      </c>
    </row>
    <row r="231" spans="1:27" x14ac:dyDescent="0.25">
      <c r="A231" t="str">
        <f>"OUT-"&amp;IFERROR(MID(Tabela4[[#This Row],[Cenário]],SEARCH("(",Tabela4[[#This Row],[Cenário]])+1,SEARCH(")",Tabela4[[#This Row],[Cenário]])-SEARCH("(",Tabela4[[#This Row],[Cenário]])-1),"")&amp;"_"&amp;ROW()</f>
        <v>OUT-Cockpit_231</v>
      </c>
      <c r="B231" t="s">
        <v>358</v>
      </c>
      <c r="C231" t="s">
        <v>507</v>
      </c>
      <c r="D231" t="s">
        <v>371</v>
      </c>
      <c r="E231">
        <v>2</v>
      </c>
      <c r="F231" t="s">
        <v>435</v>
      </c>
      <c r="G231" t="s">
        <v>287</v>
      </c>
      <c r="H231" s="15" t="s">
        <v>509</v>
      </c>
      <c r="I231" s="13"/>
      <c r="J231" s="13"/>
      <c r="K231" s="9" t="s">
        <v>271</v>
      </c>
      <c r="L231" s="78">
        <v>45947</v>
      </c>
      <c r="N231" s="78">
        <v>45947</v>
      </c>
      <c r="O231" s="31"/>
      <c r="P231" s="9"/>
      <c r="Q231" s="9">
        <f>COUNTIF(Tabela4[[#All],[Cenário]],Tabela4[[#This Row],[Cenário]])</f>
        <v>4</v>
      </c>
      <c r="R231">
        <f>COUNTIFS(Tabela4[[#All],[Cenário]],Tabela4[[#This Row],[Cenário]],Tabela4[[#All],[Status]],"Keyuser - Concluído ")</f>
        <v>3</v>
      </c>
      <c r="S231" t="str">
        <f>IF(Tabela4[[#This Row],[Tarefas por Cenário]]-Tabela4[[#This Row],[Tarefas Concluídas]]&gt;0,"Não","Sim")</f>
        <v>Não</v>
      </c>
      <c r="T231">
        <f>COUNTIFS(Tabela4[[#All],[Cenário]],Tabela4[[#This Row],[Cenário]],Tabela4[[#All],[Status]],Tabela4[[#Headers],[Elo - Em correção ]])</f>
        <v>0</v>
      </c>
      <c r="U231">
        <f>COUNTIFS(Tabela4[[#All],[Cenário]],Tabela4[[#This Row],[Cenário]],Tabela4[[#All],[Status]],Tabela4[[#Headers],[Keyuser - Aguardando tarefa precedente]])</f>
        <v>0</v>
      </c>
      <c r="V231">
        <f>COUNTIFS(Tabela4[[#All],[Cenário]],Tabela4[[#This Row],[Cenário]],Tabela4[[#All],[Status]],Tabela4[[#Headers],[Não liberado  para testes]])</f>
        <v>1</v>
      </c>
      <c r="W231" t="str">
        <f>IF(Tabela4[[#This Row],[Elo - Em correção ]]&gt;0,"Sim","Não")</f>
        <v>Não</v>
      </c>
      <c r="X231" t="str">
        <f>IF(Tabela4[[#This Row],[Keyuser - Aguardando tarefa precedente]]&gt;0,"Sim","Não")</f>
        <v>Não</v>
      </c>
      <c r="Y231" t="str">
        <f>IF(Tabela4[[#This Row],[Não liberado  para testes]]&gt;0,"Sim","Não")</f>
        <v>Sim</v>
      </c>
      <c r="Z231" t="str">
        <f ca="1">IF(Tabela4[[#This Row],[Status]]="Keyuser - Pendente",NETWORKDAYS(Tabela4[[#This Row],[Dt Inicial]],TODAY()),"")</f>
        <v/>
      </c>
      <c r="AA231" t="b">
        <f>AND(Tabela4[[#This Row],[Status]]="Keyuser - Aguardando tarefa precedente",K230="Keyuser - Concluído ")</f>
        <v>0</v>
      </c>
    </row>
    <row r="232" spans="1:27" x14ac:dyDescent="0.25">
      <c r="A232" t="str">
        <f>"OUT-"&amp;IFERROR(MID(Tabela4[[#This Row],[Cenário]],SEARCH("(",Tabela4[[#This Row],[Cenário]])+1,SEARCH(")",Tabela4[[#This Row],[Cenário]])-SEARCH("(",Tabela4[[#This Row],[Cenário]])-1),"")&amp;"_"&amp;ROW()</f>
        <v>OUT-Cockpit_232</v>
      </c>
      <c r="B232" t="s">
        <v>358</v>
      </c>
      <c r="C232" t="s">
        <v>507</v>
      </c>
      <c r="D232" t="s">
        <v>373</v>
      </c>
      <c r="E232">
        <v>3</v>
      </c>
      <c r="F232" t="s">
        <v>373</v>
      </c>
      <c r="G232" t="s">
        <v>283</v>
      </c>
      <c r="H232" s="13" t="s">
        <v>509</v>
      </c>
      <c r="I232" s="13"/>
      <c r="J232" s="13"/>
      <c r="K232" s="9" t="s">
        <v>271</v>
      </c>
      <c r="L232" s="78">
        <v>45950</v>
      </c>
      <c r="N232" s="78">
        <v>45950</v>
      </c>
      <c r="O232" s="31"/>
      <c r="P232" s="9"/>
      <c r="Q232" s="9">
        <f>COUNTIF(Tabela4[[#All],[Cenário]],Tabela4[[#This Row],[Cenário]])</f>
        <v>4</v>
      </c>
      <c r="R232">
        <f>COUNTIFS(Tabela4[[#All],[Cenário]],Tabela4[[#This Row],[Cenário]],Tabela4[[#All],[Status]],"Keyuser - Concluído ")</f>
        <v>3</v>
      </c>
      <c r="S232" t="str">
        <f>IF(Tabela4[[#This Row],[Tarefas por Cenário]]-Tabela4[[#This Row],[Tarefas Concluídas]]&gt;0,"Não","Sim")</f>
        <v>Não</v>
      </c>
      <c r="T232">
        <f>COUNTIFS(Tabela4[[#All],[Cenário]],Tabela4[[#This Row],[Cenário]],Tabela4[[#All],[Status]],Tabela4[[#Headers],[Elo - Em correção ]])</f>
        <v>0</v>
      </c>
      <c r="U232">
        <f>COUNTIFS(Tabela4[[#All],[Cenário]],Tabela4[[#This Row],[Cenário]],Tabela4[[#All],[Status]],Tabela4[[#Headers],[Keyuser - Aguardando tarefa precedente]])</f>
        <v>0</v>
      </c>
      <c r="V232">
        <f>COUNTIFS(Tabela4[[#All],[Cenário]],Tabela4[[#This Row],[Cenário]],Tabela4[[#All],[Status]],Tabela4[[#Headers],[Não liberado  para testes]])</f>
        <v>1</v>
      </c>
      <c r="W232" t="str">
        <f>IF(Tabela4[[#This Row],[Elo - Em correção ]]&gt;0,"Sim","Não")</f>
        <v>Não</v>
      </c>
      <c r="X232" t="str">
        <f>IF(Tabela4[[#This Row],[Keyuser - Aguardando tarefa precedente]]&gt;0,"Sim","Não")</f>
        <v>Não</v>
      </c>
      <c r="Y232" t="str">
        <f>IF(Tabela4[[#This Row],[Não liberado  para testes]]&gt;0,"Sim","Não")</f>
        <v>Sim</v>
      </c>
      <c r="Z232" t="str">
        <f ca="1">IF(Tabela4[[#This Row],[Status]]="Keyuser - Pendente",NETWORKDAYS(Tabela4[[#This Row],[Dt Inicial]],TODAY()),"")</f>
        <v/>
      </c>
      <c r="AA232" t="b">
        <f>AND(Tabela4[[#This Row],[Status]]="Keyuser - Aguardando tarefa precedente",K231="Keyuser - Concluído ")</f>
        <v>0</v>
      </c>
    </row>
    <row r="233" spans="1:27" x14ac:dyDescent="0.25">
      <c r="A233" t="str">
        <f>"OUT-"&amp;IFERROR(MID(Tabela4[[#This Row],[Cenário]],SEARCH("(",Tabela4[[#This Row],[Cenário]])+1,SEARCH(")",Tabela4[[#This Row],[Cenário]])-SEARCH("(",Tabela4[[#This Row],[Cenário]])-1),"")&amp;"_"&amp;ROW()</f>
        <v>OUT-Cockpit_233</v>
      </c>
      <c r="B233" t="s">
        <v>374</v>
      </c>
      <c r="C233" t="s">
        <v>507</v>
      </c>
      <c r="D233" t="s">
        <v>286</v>
      </c>
      <c r="E233">
        <v>4</v>
      </c>
      <c r="F233" t="s">
        <v>286</v>
      </c>
      <c r="G233" t="s">
        <v>287</v>
      </c>
      <c r="H233" s="13"/>
      <c r="I233" s="13"/>
      <c r="J233" s="13"/>
      <c r="K233" s="9" t="s">
        <v>262</v>
      </c>
      <c r="N233" s="78"/>
      <c r="O233" s="31"/>
      <c r="P233" s="9"/>
      <c r="Q233" s="9">
        <f>COUNTIF(Tabela4[[#All],[Cenário]],Tabela4[[#This Row],[Cenário]])</f>
        <v>4</v>
      </c>
      <c r="R233">
        <f>COUNTIFS(Tabela4[[#All],[Cenário]],Tabela4[[#This Row],[Cenário]],Tabela4[[#All],[Status]],"Keyuser - Concluído ")</f>
        <v>3</v>
      </c>
      <c r="S233" t="str">
        <f>IF(Tabela4[[#This Row],[Tarefas por Cenário]]-Tabela4[[#This Row],[Tarefas Concluídas]]&gt;0,"Não","Sim")</f>
        <v>Não</v>
      </c>
      <c r="T233">
        <f>COUNTIFS(Tabela4[[#All],[Cenário]],Tabela4[[#This Row],[Cenário]],Tabela4[[#All],[Status]],Tabela4[[#Headers],[Elo - Em correção ]])</f>
        <v>0</v>
      </c>
      <c r="U233">
        <f>COUNTIFS(Tabela4[[#All],[Cenário]],Tabela4[[#This Row],[Cenário]],Tabela4[[#All],[Status]],Tabela4[[#Headers],[Keyuser - Aguardando tarefa precedente]])</f>
        <v>0</v>
      </c>
      <c r="V233">
        <f>COUNTIFS(Tabela4[[#All],[Cenário]],Tabela4[[#This Row],[Cenário]],Tabela4[[#All],[Status]],Tabela4[[#Headers],[Não liberado  para testes]])</f>
        <v>1</v>
      </c>
      <c r="W233" t="str">
        <f>IF(Tabela4[[#This Row],[Elo - Em correção ]]&gt;0,"Sim","Não")</f>
        <v>Não</v>
      </c>
      <c r="X233" t="str">
        <f>IF(Tabela4[[#This Row],[Keyuser - Aguardando tarefa precedente]]&gt;0,"Sim","Não")</f>
        <v>Não</v>
      </c>
      <c r="Y233" t="str">
        <f>IF(Tabela4[[#This Row],[Não liberado  para testes]]&gt;0,"Sim","Não")</f>
        <v>Sim</v>
      </c>
      <c r="Z233" t="str">
        <f ca="1">IF(Tabela4[[#This Row],[Status]]="Keyuser - Pendente",NETWORKDAYS(Tabela4[[#This Row],[Dt Inicial]],TODAY()),"")</f>
        <v/>
      </c>
      <c r="AA233" t="b">
        <f>AND(Tabela4[[#This Row],[Status]]="Keyuser - Aguardando tarefa precedente",K232="Keyuser - Concluído ")</f>
        <v>0</v>
      </c>
    </row>
    <row r="234" spans="1:27" x14ac:dyDescent="0.25">
      <c r="A234" t="str">
        <f>"OUT-"&amp;IFERROR(MID(Tabela4[[#This Row],[Cenário]],SEARCH("(",Tabela4[[#This Row],[Cenário]])+1,SEARCH(")",Tabela4[[#This Row],[Cenário]])-SEARCH("(",Tabela4[[#This Row],[Cenário]])-1),"")&amp;"_"&amp;ROW()</f>
        <v>OUT-Cockpit_234</v>
      </c>
      <c r="B234" t="s">
        <v>358</v>
      </c>
      <c r="C234" t="s">
        <v>510</v>
      </c>
      <c r="D234" t="s">
        <v>508</v>
      </c>
      <c r="E234">
        <v>5</v>
      </c>
      <c r="F234" t="s">
        <v>508</v>
      </c>
      <c r="G234" t="s">
        <v>369</v>
      </c>
      <c r="H234" s="15" t="s">
        <v>511</v>
      </c>
      <c r="I234" s="15"/>
      <c r="J234" s="15"/>
      <c r="K234" s="9" t="s">
        <v>271</v>
      </c>
      <c r="L234" s="78">
        <v>45980</v>
      </c>
      <c r="N234" s="78">
        <v>45980</v>
      </c>
      <c r="O234" s="31"/>
      <c r="P234" s="9"/>
      <c r="Q234" s="9">
        <f>COUNTIF(Tabela4[[#All],[Cenário]],Tabela4[[#This Row],[Cenário]])</f>
        <v>4</v>
      </c>
      <c r="R234">
        <f>COUNTIFS(Tabela4[[#All],[Cenário]],Tabela4[[#This Row],[Cenário]],Tabela4[[#All],[Status]],"Keyuser - Concluído ")</f>
        <v>3</v>
      </c>
      <c r="S234" t="str">
        <f>IF(Tabela4[[#This Row],[Tarefas por Cenário]]-Tabela4[[#This Row],[Tarefas Concluídas]]&gt;0,"Não","Sim")</f>
        <v>Não</v>
      </c>
      <c r="T234">
        <f>COUNTIFS(Tabela4[[#All],[Cenário]],Tabela4[[#This Row],[Cenário]],Tabela4[[#All],[Status]],Tabela4[[#Headers],[Elo - Em correção ]])</f>
        <v>0</v>
      </c>
      <c r="U234">
        <f>COUNTIFS(Tabela4[[#All],[Cenário]],Tabela4[[#This Row],[Cenário]],Tabela4[[#All],[Status]],Tabela4[[#Headers],[Keyuser - Aguardando tarefa precedente]])</f>
        <v>0</v>
      </c>
      <c r="V234">
        <f>COUNTIFS(Tabela4[[#All],[Cenário]],Tabela4[[#This Row],[Cenário]],Tabela4[[#All],[Status]],Tabela4[[#Headers],[Não liberado  para testes]])</f>
        <v>1</v>
      </c>
      <c r="W234" t="str">
        <f>IF(Tabela4[[#This Row],[Elo - Em correção ]]&gt;0,"Sim","Não")</f>
        <v>Não</v>
      </c>
      <c r="X234" t="str">
        <f>IF(Tabela4[[#This Row],[Keyuser - Aguardando tarefa precedente]]&gt;0,"Sim","Não")</f>
        <v>Não</v>
      </c>
      <c r="Y234" t="str">
        <f>IF(Tabela4[[#This Row],[Não liberado  para testes]]&gt;0,"Sim","Não")</f>
        <v>Sim</v>
      </c>
      <c r="Z234" t="str">
        <f ca="1">IF(Tabela4[[#This Row],[Status]]="Keyuser - Pendente",NETWORKDAYS(Tabela4[[#This Row],[Dt Inicial]],TODAY()),"")</f>
        <v/>
      </c>
      <c r="AA234" t="b">
        <f>AND(Tabela4[[#This Row],[Status]]="Keyuser - Aguardando tarefa precedente",K233="Keyuser - Concluído ")</f>
        <v>0</v>
      </c>
    </row>
    <row r="235" spans="1:27" x14ac:dyDescent="0.25">
      <c r="A235" t="str">
        <f>"OUT-"&amp;IFERROR(MID(Tabela4[[#This Row],[Cenário]],SEARCH("(",Tabela4[[#This Row],[Cenário]])+1,SEARCH(")",Tabela4[[#This Row],[Cenário]])-SEARCH("(",Tabela4[[#This Row],[Cenário]])-1),"")&amp;"_"&amp;ROW()</f>
        <v>OUT-Cockpit_235</v>
      </c>
      <c r="B235" t="s">
        <v>358</v>
      </c>
      <c r="C235" t="s">
        <v>510</v>
      </c>
      <c r="D235" t="s">
        <v>371</v>
      </c>
      <c r="E235">
        <v>6</v>
      </c>
      <c r="F235" t="s">
        <v>435</v>
      </c>
      <c r="G235" t="s">
        <v>287</v>
      </c>
      <c r="H235" s="15" t="s">
        <v>511</v>
      </c>
      <c r="I235" s="13"/>
      <c r="J235" s="13"/>
      <c r="K235" s="9" t="s">
        <v>271</v>
      </c>
      <c r="L235" s="78">
        <v>45986</v>
      </c>
      <c r="N235" s="78">
        <v>45986</v>
      </c>
      <c r="O235" s="31"/>
      <c r="P235" s="9"/>
      <c r="Q235" s="9">
        <f>COUNTIF(Tabela4[[#All],[Cenário]],Tabela4[[#This Row],[Cenário]])</f>
        <v>4</v>
      </c>
      <c r="R235">
        <f>COUNTIFS(Tabela4[[#All],[Cenário]],Tabela4[[#This Row],[Cenário]],Tabela4[[#All],[Status]],"Keyuser - Concluído ")</f>
        <v>3</v>
      </c>
      <c r="S235" t="str">
        <f>IF(Tabela4[[#This Row],[Tarefas por Cenário]]-Tabela4[[#This Row],[Tarefas Concluídas]]&gt;0,"Não","Sim")</f>
        <v>Não</v>
      </c>
      <c r="T235">
        <f>COUNTIFS(Tabela4[[#All],[Cenário]],Tabela4[[#This Row],[Cenário]],Tabela4[[#All],[Status]],Tabela4[[#Headers],[Elo - Em correção ]])</f>
        <v>0</v>
      </c>
      <c r="U235">
        <f>COUNTIFS(Tabela4[[#All],[Cenário]],Tabela4[[#This Row],[Cenário]],Tabela4[[#All],[Status]],Tabela4[[#Headers],[Keyuser - Aguardando tarefa precedente]])</f>
        <v>0</v>
      </c>
      <c r="V235">
        <f>COUNTIFS(Tabela4[[#All],[Cenário]],Tabela4[[#This Row],[Cenário]],Tabela4[[#All],[Status]],Tabela4[[#Headers],[Não liberado  para testes]])</f>
        <v>1</v>
      </c>
      <c r="W235" t="str">
        <f>IF(Tabela4[[#This Row],[Elo - Em correção ]]&gt;0,"Sim","Não")</f>
        <v>Não</v>
      </c>
      <c r="X235" t="str">
        <f>IF(Tabela4[[#This Row],[Keyuser - Aguardando tarefa precedente]]&gt;0,"Sim","Não")</f>
        <v>Não</v>
      </c>
      <c r="Y235" t="str">
        <f>IF(Tabela4[[#This Row],[Não liberado  para testes]]&gt;0,"Sim","Não")</f>
        <v>Sim</v>
      </c>
      <c r="Z235" t="str">
        <f ca="1">IF(Tabela4[[#This Row],[Status]]="Keyuser - Pendente",NETWORKDAYS(Tabela4[[#This Row],[Dt Inicial]],TODAY()),"")</f>
        <v/>
      </c>
      <c r="AA235" t="b">
        <f>AND(Tabela4[[#This Row],[Status]]="Keyuser - Aguardando tarefa precedente",K234="Keyuser - Concluído ")</f>
        <v>0</v>
      </c>
    </row>
    <row r="236" spans="1:27" x14ac:dyDescent="0.25">
      <c r="A236" t="str">
        <f>"OUT-"&amp;IFERROR(MID(Tabela4[[#This Row],[Cenário]],SEARCH("(",Tabela4[[#This Row],[Cenário]])+1,SEARCH(")",Tabela4[[#This Row],[Cenário]])-SEARCH("(",Tabela4[[#This Row],[Cenário]])-1),"")&amp;"_"&amp;ROW()</f>
        <v>OUT-Cockpit_236</v>
      </c>
      <c r="B236" t="s">
        <v>358</v>
      </c>
      <c r="C236" t="s">
        <v>510</v>
      </c>
      <c r="D236" s="19" t="s">
        <v>373</v>
      </c>
      <c r="E236">
        <v>7</v>
      </c>
      <c r="F236" t="s">
        <v>373</v>
      </c>
      <c r="G236" t="s">
        <v>283</v>
      </c>
      <c r="H236" s="35" t="s">
        <v>511</v>
      </c>
      <c r="I236" s="13"/>
      <c r="J236" s="13"/>
      <c r="K236" s="9" t="s">
        <v>271</v>
      </c>
      <c r="L236" s="78">
        <v>45986</v>
      </c>
      <c r="N236" s="78">
        <v>45986</v>
      </c>
      <c r="O236" s="31"/>
      <c r="P236" s="9"/>
      <c r="Q236" s="9">
        <f>COUNTIF(Tabela4[[#All],[Cenário]],Tabela4[[#This Row],[Cenário]])</f>
        <v>4</v>
      </c>
      <c r="R236">
        <f>COUNTIFS(Tabela4[[#All],[Cenário]],Tabela4[[#This Row],[Cenário]],Tabela4[[#All],[Status]],"Keyuser - Concluído ")</f>
        <v>3</v>
      </c>
      <c r="S236" t="str">
        <f>IF(Tabela4[[#This Row],[Tarefas por Cenário]]-Tabela4[[#This Row],[Tarefas Concluídas]]&gt;0,"Não","Sim")</f>
        <v>Não</v>
      </c>
      <c r="T236">
        <f>COUNTIFS(Tabela4[[#All],[Cenário]],Tabela4[[#This Row],[Cenário]],Tabela4[[#All],[Status]],Tabela4[[#Headers],[Elo - Em correção ]])</f>
        <v>0</v>
      </c>
      <c r="U236">
        <f>COUNTIFS(Tabela4[[#All],[Cenário]],Tabela4[[#This Row],[Cenário]],Tabela4[[#All],[Status]],Tabela4[[#Headers],[Keyuser - Aguardando tarefa precedente]])</f>
        <v>0</v>
      </c>
      <c r="V236">
        <f>COUNTIFS(Tabela4[[#All],[Cenário]],Tabela4[[#This Row],[Cenário]],Tabela4[[#All],[Status]],Tabela4[[#Headers],[Não liberado  para testes]])</f>
        <v>1</v>
      </c>
      <c r="W236" t="str">
        <f>IF(Tabela4[[#This Row],[Elo - Em correção ]]&gt;0,"Sim","Não")</f>
        <v>Não</v>
      </c>
      <c r="X236" t="str">
        <f>IF(Tabela4[[#This Row],[Keyuser - Aguardando tarefa precedente]]&gt;0,"Sim","Não")</f>
        <v>Não</v>
      </c>
      <c r="Y236" t="str">
        <f>IF(Tabela4[[#This Row],[Não liberado  para testes]]&gt;0,"Sim","Não")</f>
        <v>Sim</v>
      </c>
      <c r="Z236" t="str">
        <f ca="1">IF(Tabela4[[#This Row],[Status]]="Keyuser - Pendente",NETWORKDAYS(Tabela4[[#This Row],[Dt Inicial]],TODAY()),"")</f>
        <v/>
      </c>
      <c r="AA236" t="b">
        <f>AND(Tabela4[[#This Row],[Status]]="Keyuser - Aguardando tarefa precedente",K235="Keyuser - Concluído ")</f>
        <v>0</v>
      </c>
    </row>
    <row r="237" spans="1:27" x14ac:dyDescent="0.25">
      <c r="A237" t="str">
        <f>"OUT-"&amp;IFERROR(MID(Tabela4[[#This Row],[Cenário]],SEARCH("(",Tabela4[[#This Row],[Cenário]])+1,SEARCH(")",Tabela4[[#This Row],[Cenário]])-SEARCH("(",Tabela4[[#This Row],[Cenário]])-1),"")&amp;"_"&amp;ROW()</f>
        <v>OUT-Cockpit_237</v>
      </c>
      <c r="B237" t="s">
        <v>374</v>
      </c>
      <c r="C237" t="s">
        <v>510</v>
      </c>
      <c r="D237" t="s">
        <v>286</v>
      </c>
      <c r="E237">
        <v>8</v>
      </c>
      <c r="F237" t="s">
        <v>286</v>
      </c>
      <c r="G237" t="s">
        <v>287</v>
      </c>
      <c r="H237" s="13"/>
      <c r="I237" s="13"/>
      <c r="J237" s="13"/>
      <c r="K237" s="9" t="s">
        <v>262</v>
      </c>
      <c r="N237" s="78"/>
      <c r="O237" s="31"/>
      <c r="P237" s="9"/>
      <c r="Q237" s="9">
        <f>COUNTIF(Tabela4[[#All],[Cenário]],Tabela4[[#This Row],[Cenário]])</f>
        <v>4</v>
      </c>
      <c r="R237">
        <f>COUNTIFS(Tabela4[[#All],[Cenário]],Tabela4[[#This Row],[Cenário]],Tabela4[[#All],[Status]],"Keyuser - Concluído ")</f>
        <v>3</v>
      </c>
      <c r="S237" t="str">
        <f>IF(Tabela4[[#This Row],[Tarefas por Cenário]]-Tabela4[[#This Row],[Tarefas Concluídas]]&gt;0,"Não","Sim")</f>
        <v>Não</v>
      </c>
      <c r="T237">
        <f>COUNTIFS(Tabela4[[#All],[Cenário]],Tabela4[[#This Row],[Cenário]],Tabela4[[#All],[Status]],Tabela4[[#Headers],[Elo - Em correção ]])</f>
        <v>0</v>
      </c>
      <c r="U237">
        <f>COUNTIFS(Tabela4[[#All],[Cenário]],Tabela4[[#This Row],[Cenário]],Tabela4[[#All],[Status]],Tabela4[[#Headers],[Keyuser - Aguardando tarefa precedente]])</f>
        <v>0</v>
      </c>
      <c r="V237">
        <f>COUNTIFS(Tabela4[[#All],[Cenário]],Tabela4[[#This Row],[Cenário]],Tabela4[[#All],[Status]],Tabela4[[#Headers],[Não liberado  para testes]])</f>
        <v>1</v>
      </c>
      <c r="W237" t="str">
        <f>IF(Tabela4[[#This Row],[Elo - Em correção ]]&gt;0,"Sim","Não")</f>
        <v>Não</v>
      </c>
      <c r="X237" t="str">
        <f>IF(Tabela4[[#This Row],[Keyuser - Aguardando tarefa precedente]]&gt;0,"Sim","Não")</f>
        <v>Não</v>
      </c>
      <c r="Y237" t="str">
        <f>IF(Tabela4[[#This Row],[Não liberado  para testes]]&gt;0,"Sim","Não")</f>
        <v>Sim</v>
      </c>
      <c r="Z237" t="str">
        <f ca="1">IF(Tabela4[[#This Row],[Status]]="Keyuser - Pendente",NETWORKDAYS(Tabela4[[#This Row],[Dt Inicial]],TODAY()),"")</f>
        <v/>
      </c>
      <c r="AA237" t="b">
        <f>AND(Tabela4[[#This Row],[Status]]="Keyuser - Aguardando tarefa precedente",K236="Keyuser - Concluído ")</f>
        <v>0</v>
      </c>
    </row>
    <row r="238" spans="1:27" x14ac:dyDescent="0.25">
      <c r="A238" t="str">
        <f>"OUT-"&amp;IFERROR(MID(Tabela4[[#This Row],[Cenário]],SEARCH("(",Tabela4[[#This Row],[Cenário]])+1,SEARCH(")",Tabela4[[#This Row],[Cenário]])-SEARCH("(",Tabela4[[#This Row],[Cenário]])-1),"")&amp;"_"&amp;ROW()</f>
        <v>OUT-Y006_238</v>
      </c>
      <c r="B238" t="s">
        <v>358</v>
      </c>
      <c r="C238" t="s">
        <v>512</v>
      </c>
      <c r="D238" t="s">
        <v>360</v>
      </c>
      <c r="E238">
        <v>1</v>
      </c>
      <c r="F238" t="s">
        <v>360</v>
      </c>
      <c r="G238" t="s">
        <v>361</v>
      </c>
      <c r="H238" s="13">
        <v>15603693</v>
      </c>
      <c r="I238" s="13" t="s">
        <v>513</v>
      </c>
      <c r="J238" s="13"/>
      <c r="K238" s="9" t="s">
        <v>271</v>
      </c>
      <c r="L238" s="78">
        <v>45978</v>
      </c>
      <c r="N238" s="78">
        <v>45978</v>
      </c>
      <c r="O238" s="31" t="s">
        <v>514</v>
      </c>
      <c r="P238" s="9"/>
      <c r="Q238" s="9">
        <f>COUNTIF(Tabela4[[#All],[Cenário]],Tabela4[[#This Row],[Cenário]])</f>
        <v>8</v>
      </c>
      <c r="R238">
        <f>COUNTIFS(Tabela4[[#All],[Cenário]],Tabela4[[#This Row],[Cenário]],Tabela4[[#All],[Status]],"Keyuser - Concluído ")</f>
        <v>7</v>
      </c>
      <c r="S238" t="str">
        <f>IF(Tabela4[[#This Row],[Tarefas por Cenário]]-Tabela4[[#This Row],[Tarefas Concluídas]]&gt;0,"Não","Sim")</f>
        <v>Não</v>
      </c>
      <c r="T238">
        <f>COUNTIFS(Tabela4[[#All],[Cenário]],Tabela4[[#This Row],[Cenário]],Tabela4[[#All],[Status]],Tabela4[[#Headers],[Elo - Em correção ]])</f>
        <v>0</v>
      </c>
      <c r="U238">
        <f>COUNTIFS(Tabela4[[#All],[Cenário]],Tabela4[[#This Row],[Cenário]],Tabela4[[#All],[Status]],Tabela4[[#Headers],[Keyuser - Aguardando tarefa precedente]])</f>
        <v>0</v>
      </c>
      <c r="V238">
        <f>COUNTIFS(Tabela4[[#All],[Cenário]],Tabela4[[#This Row],[Cenário]],Tabela4[[#All],[Status]],Tabela4[[#Headers],[Não liberado  para testes]])</f>
        <v>1</v>
      </c>
      <c r="W238" t="str">
        <f>IF(Tabela4[[#This Row],[Elo - Em correção ]]&gt;0,"Sim","Não")</f>
        <v>Não</v>
      </c>
      <c r="X238" t="str">
        <f>IF(Tabela4[[#This Row],[Keyuser - Aguardando tarefa precedente]]&gt;0,"Sim","Não")</f>
        <v>Não</v>
      </c>
      <c r="Y238" t="str">
        <f>IF(Tabela4[[#This Row],[Não liberado  para testes]]&gt;0,"Sim","Não")</f>
        <v>Sim</v>
      </c>
      <c r="Z238" t="str">
        <f ca="1">IF(Tabela4[[#This Row],[Status]]="Keyuser - Pendente",NETWORKDAYS(Tabela4[[#This Row],[Dt Inicial]],TODAY()),"")</f>
        <v/>
      </c>
      <c r="AA238" t="b">
        <f>AND(Tabela4[[#This Row],[Status]]="Keyuser - Aguardando tarefa precedente",K237="Keyuser - Concluído ")</f>
        <v>0</v>
      </c>
    </row>
    <row r="239" spans="1:27" x14ac:dyDescent="0.25">
      <c r="A239" t="str">
        <f>"OUT-"&amp;IFERROR(MID(Tabela4[[#This Row],[Cenário]],SEARCH("(",Tabela4[[#This Row],[Cenário]])+1,SEARCH(")",Tabela4[[#This Row],[Cenário]])-SEARCH("(",Tabela4[[#This Row],[Cenário]])-1),"")&amp;"_"&amp;ROW()</f>
        <v>OUT-Y006_239</v>
      </c>
      <c r="B239" t="s">
        <v>358</v>
      </c>
      <c r="C239" t="s">
        <v>512</v>
      </c>
      <c r="D239" t="s">
        <v>365</v>
      </c>
      <c r="E239">
        <v>2</v>
      </c>
      <c r="F239" t="s">
        <v>365</v>
      </c>
      <c r="G239" t="s">
        <v>310</v>
      </c>
      <c r="H239" s="13">
        <v>15603693</v>
      </c>
      <c r="I239" s="13" t="s">
        <v>513</v>
      </c>
      <c r="J239" s="13"/>
      <c r="K239" s="9" t="s">
        <v>271</v>
      </c>
      <c r="L239" s="78">
        <v>45980</v>
      </c>
      <c r="N239" s="78">
        <v>45980</v>
      </c>
      <c r="O239" s="31"/>
      <c r="P239" s="9"/>
      <c r="Q239" s="9">
        <f>COUNTIF(Tabela4[[#All],[Cenário]],Tabela4[[#This Row],[Cenário]])</f>
        <v>8</v>
      </c>
      <c r="R239">
        <f>COUNTIFS(Tabela4[[#All],[Cenário]],Tabela4[[#This Row],[Cenário]],Tabela4[[#All],[Status]],"Keyuser - Concluído ")</f>
        <v>7</v>
      </c>
      <c r="S239" t="str">
        <f>IF(Tabela4[[#This Row],[Tarefas por Cenário]]-Tabela4[[#This Row],[Tarefas Concluídas]]&gt;0,"Não","Sim")</f>
        <v>Não</v>
      </c>
      <c r="T239">
        <f>COUNTIFS(Tabela4[[#All],[Cenário]],Tabela4[[#This Row],[Cenário]],Tabela4[[#All],[Status]],Tabela4[[#Headers],[Elo - Em correção ]])</f>
        <v>0</v>
      </c>
      <c r="U239">
        <f>COUNTIFS(Tabela4[[#All],[Cenário]],Tabela4[[#This Row],[Cenário]],Tabela4[[#All],[Status]],Tabela4[[#Headers],[Keyuser - Aguardando tarefa precedente]])</f>
        <v>0</v>
      </c>
      <c r="V239">
        <f>COUNTIFS(Tabela4[[#All],[Cenário]],Tabela4[[#This Row],[Cenário]],Tabela4[[#All],[Status]],Tabela4[[#Headers],[Não liberado  para testes]])</f>
        <v>1</v>
      </c>
      <c r="W239" t="str">
        <f>IF(Tabela4[[#This Row],[Elo - Em correção ]]&gt;0,"Sim","Não")</f>
        <v>Não</v>
      </c>
      <c r="X239" t="str">
        <f>IF(Tabela4[[#This Row],[Keyuser - Aguardando tarefa precedente]]&gt;0,"Sim","Não")</f>
        <v>Não</v>
      </c>
      <c r="Y239" t="str">
        <f>IF(Tabela4[[#This Row],[Não liberado  para testes]]&gt;0,"Sim","Não")</f>
        <v>Sim</v>
      </c>
      <c r="Z239" t="str">
        <f ca="1">IF(Tabela4[[#This Row],[Status]]="Keyuser - Pendente",NETWORKDAYS(Tabela4[[#This Row],[Dt Inicial]],TODAY()),"")</f>
        <v/>
      </c>
      <c r="AA239" t="b">
        <f>AND(Tabela4[[#This Row],[Status]]="Keyuser - Aguardando tarefa precedente",K238="Keyuser - Concluído ")</f>
        <v>0</v>
      </c>
    </row>
    <row r="240" spans="1:27" x14ac:dyDescent="0.25">
      <c r="A240" t="str">
        <f>"OUT-"&amp;IFERROR(MID(Tabela4[[#This Row],[Cenário]],SEARCH("(",Tabela4[[#This Row],[Cenário]])+1,SEARCH(")",Tabela4[[#This Row],[Cenário]])-SEARCH("(",Tabela4[[#This Row],[Cenário]])-1),"")&amp;"_"&amp;ROW()</f>
        <v>OUT-Y006_240</v>
      </c>
      <c r="B240" t="s">
        <v>358</v>
      </c>
      <c r="C240" t="s">
        <v>512</v>
      </c>
      <c r="D240" t="s">
        <v>366</v>
      </c>
      <c r="E240">
        <v>3</v>
      </c>
      <c r="F240" t="s">
        <v>366</v>
      </c>
      <c r="G240" t="s">
        <v>367</v>
      </c>
      <c r="H240" s="13">
        <v>15603693</v>
      </c>
      <c r="I240" s="13" t="s">
        <v>513</v>
      </c>
      <c r="J240" s="15"/>
      <c r="K240" s="9" t="s">
        <v>271</v>
      </c>
      <c r="L240" s="78">
        <v>45980</v>
      </c>
      <c r="N240" s="78">
        <v>45980</v>
      </c>
      <c r="O240" s="31"/>
      <c r="P240" s="9"/>
      <c r="Q240" s="9">
        <f>COUNTIF(Tabela4[[#All],[Cenário]],Tabela4[[#This Row],[Cenário]])</f>
        <v>8</v>
      </c>
      <c r="R240">
        <f>COUNTIFS(Tabela4[[#All],[Cenário]],Tabela4[[#This Row],[Cenário]],Tabela4[[#All],[Status]],"Keyuser - Concluído ")</f>
        <v>7</v>
      </c>
      <c r="S240" t="str">
        <f>IF(Tabela4[[#This Row],[Tarefas por Cenário]]-Tabela4[[#This Row],[Tarefas Concluídas]]&gt;0,"Não","Sim")</f>
        <v>Não</v>
      </c>
      <c r="T240">
        <f>COUNTIFS(Tabela4[[#All],[Cenário]],Tabela4[[#This Row],[Cenário]],Tabela4[[#All],[Status]],Tabela4[[#Headers],[Elo - Em correção ]])</f>
        <v>0</v>
      </c>
      <c r="U240">
        <f>COUNTIFS(Tabela4[[#All],[Cenário]],Tabela4[[#This Row],[Cenário]],Tabela4[[#All],[Status]],Tabela4[[#Headers],[Keyuser - Aguardando tarefa precedente]])</f>
        <v>0</v>
      </c>
      <c r="V240">
        <f>COUNTIFS(Tabela4[[#All],[Cenário]],Tabela4[[#This Row],[Cenário]],Tabela4[[#All],[Status]],Tabela4[[#Headers],[Não liberado  para testes]])</f>
        <v>1</v>
      </c>
      <c r="W240" t="str">
        <f>IF(Tabela4[[#This Row],[Elo - Em correção ]]&gt;0,"Sim","Não")</f>
        <v>Não</v>
      </c>
      <c r="X240" t="str">
        <f>IF(Tabela4[[#This Row],[Keyuser - Aguardando tarefa precedente]]&gt;0,"Sim","Não")</f>
        <v>Não</v>
      </c>
      <c r="Y240" t="str">
        <f>IF(Tabela4[[#This Row],[Não liberado  para testes]]&gt;0,"Sim","Não")</f>
        <v>Sim</v>
      </c>
      <c r="Z240" t="str">
        <f ca="1">IF(Tabela4[[#This Row],[Status]]="Keyuser - Pendente",NETWORKDAYS(Tabela4[[#This Row],[Dt Inicial]],TODAY()),"")</f>
        <v/>
      </c>
      <c r="AA240" t="b">
        <f>AND(Tabela4[[#This Row],[Status]]="Keyuser - Aguardando tarefa precedente",K239="Keyuser - Concluído ")</f>
        <v>0</v>
      </c>
    </row>
    <row r="241" spans="1:27" x14ac:dyDescent="0.25">
      <c r="A241" t="str">
        <f>"OUT-"&amp;IFERROR(MID(Tabela4[[#This Row],[Cenário]],SEARCH("(",Tabela4[[#This Row],[Cenário]])+1,SEARCH(")",Tabela4[[#This Row],[Cenário]])-SEARCH("(",Tabela4[[#This Row],[Cenário]])-1),"")&amp;"_"&amp;ROW()</f>
        <v>OUT-Y006_241</v>
      </c>
      <c r="B241" t="s">
        <v>358</v>
      </c>
      <c r="C241" t="s">
        <v>512</v>
      </c>
      <c r="D241" t="s">
        <v>368</v>
      </c>
      <c r="E241">
        <v>4</v>
      </c>
      <c r="F241" t="s">
        <v>368</v>
      </c>
      <c r="G241" t="s">
        <v>369</v>
      </c>
      <c r="H241" s="13" t="s">
        <v>515</v>
      </c>
      <c r="I241" s="15"/>
      <c r="J241" s="15"/>
      <c r="K241" s="9" t="s">
        <v>271</v>
      </c>
      <c r="L241" s="78">
        <v>45980</v>
      </c>
      <c r="N241" s="78">
        <v>45980</v>
      </c>
      <c r="O241" s="48"/>
      <c r="P241" s="9"/>
      <c r="Q241" s="9">
        <f>COUNTIF(Tabela4[[#All],[Cenário]],Tabela4[[#This Row],[Cenário]])</f>
        <v>8</v>
      </c>
      <c r="R241">
        <f>COUNTIFS(Tabela4[[#All],[Cenário]],Tabela4[[#This Row],[Cenário]],Tabela4[[#All],[Status]],"Keyuser - Concluído ")</f>
        <v>7</v>
      </c>
      <c r="S241" t="str">
        <f>IF(Tabela4[[#This Row],[Tarefas por Cenário]]-Tabela4[[#This Row],[Tarefas Concluídas]]&gt;0,"Não","Sim")</f>
        <v>Não</v>
      </c>
      <c r="T241">
        <f>COUNTIFS(Tabela4[[#All],[Cenário]],Tabela4[[#This Row],[Cenário]],Tabela4[[#All],[Status]],Tabela4[[#Headers],[Elo - Em correção ]])</f>
        <v>0</v>
      </c>
      <c r="U241">
        <f>COUNTIFS(Tabela4[[#All],[Cenário]],Tabela4[[#This Row],[Cenário]],Tabela4[[#All],[Status]],Tabela4[[#Headers],[Keyuser - Aguardando tarefa precedente]])</f>
        <v>0</v>
      </c>
      <c r="V241">
        <f>COUNTIFS(Tabela4[[#All],[Cenário]],Tabela4[[#This Row],[Cenário]],Tabela4[[#All],[Status]],Tabela4[[#Headers],[Não liberado  para testes]])</f>
        <v>1</v>
      </c>
      <c r="W241" t="str">
        <f>IF(Tabela4[[#This Row],[Elo - Em correção ]]&gt;0,"Sim","Não")</f>
        <v>Não</v>
      </c>
      <c r="X241" t="str">
        <f>IF(Tabela4[[#This Row],[Keyuser - Aguardando tarefa precedente]]&gt;0,"Sim","Não")</f>
        <v>Não</v>
      </c>
      <c r="Y241" t="str">
        <f>IF(Tabela4[[#This Row],[Não liberado  para testes]]&gt;0,"Sim","Não")</f>
        <v>Sim</v>
      </c>
      <c r="Z241" t="str">
        <f ca="1">IF(Tabela4[[#This Row],[Status]]="Keyuser - Pendente",NETWORKDAYS(Tabela4[[#This Row],[Dt Inicial]],TODAY()),"")</f>
        <v/>
      </c>
      <c r="AA241" t="b">
        <f>AND(Tabela4[[#This Row],[Status]]="Keyuser - Aguardando tarefa precedente",K240="Keyuser - Concluído ")</f>
        <v>0</v>
      </c>
    </row>
    <row r="242" spans="1:27" x14ac:dyDescent="0.25">
      <c r="A242" t="str">
        <f>"OUT-"&amp;IFERROR(MID(Tabela4[[#This Row],[Cenário]],SEARCH("(",Tabela4[[#This Row],[Cenário]])+1,SEARCH(")",Tabela4[[#This Row],[Cenário]])-SEARCH("(",Tabela4[[#This Row],[Cenário]])-1),"")&amp;"_"&amp;ROW()</f>
        <v>OUT-Y006_242</v>
      </c>
      <c r="B242" t="s">
        <v>358</v>
      </c>
      <c r="C242" t="s">
        <v>512</v>
      </c>
      <c r="D242" t="s">
        <v>434</v>
      </c>
      <c r="E242">
        <v>5</v>
      </c>
      <c r="F242" t="s">
        <v>435</v>
      </c>
      <c r="G242" t="s">
        <v>287</v>
      </c>
      <c r="H242" s="13" t="s">
        <v>515</v>
      </c>
      <c r="I242" s="13"/>
      <c r="J242" s="13"/>
      <c r="K242" s="9" t="s">
        <v>271</v>
      </c>
      <c r="L242" s="78">
        <v>45986</v>
      </c>
      <c r="N242" s="78">
        <v>45986</v>
      </c>
      <c r="O242" s="31"/>
      <c r="P242" s="9"/>
      <c r="Q242" s="9">
        <f>COUNTIF(Tabela4[[#All],[Cenário]],Tabela4[[#This Row],[Cenário]])</f>
        <v>8</v>
      </c>
      <c r="R242">
        <f>COUNTIFS(Tabela4[[#All],[Cenário]],Tabela4[[#This Row],[Cenário]],Tabela4[[#All],[Status]],"Keyuser - Concluído ")</f>
        <v>7</v>
      </c>
      <c r="S242" t="str">
        <f>IF(Tabela4[[#This Row],[Tarefas por Cenário]]-Tabela4[[#This Row],[Tarefas Concluídas]]&gt;0,"Não","Sim")</f>
        <v>Não</v>
      </c>
      <c r="T242">
        <f>COUNTIFS(Tabela4[[#All],[Cenário]],Tabela4[[#This Row],[Cenário]],Tabela4[[#All],[Status]],Tabela4[[#Headers],[Elo - Em correção ]])</f>
        <v>0</v>
      </c>
      <c r="U242">
        <f>COUNTIFS(Tabela4[[#All],[Cenário]],Tabela4[[#This Row],[Cenário]],Tabela4[[#All],[Status]],Tabela4[[#Headers],[Keyuser - Aguardando tarefa precedente]])</f>
        <v>0</v>
      </c>
      <c r="V242">
        <f>COUNTIFS(Tabela4[[#All],[Cenário]],Tabela4[[#This Row],[Cenário]],Tabela4[[#All],[Status]],Tabela4[[#Headers],[Não liberado  para testes]])</f>
        <v>1</v>
      </c>
      <c r="W242" t="str">
        <f>IF(Tabela4[[#This Row],[Elo - Em correção ]]&gt;0,"Sim","Não")</f>
        <v>Não</v>
      </c>
      <c r="X242" t="str">
        <f>IF(Tabela4[[#This Row],[Keyuser - Aguardando tarefa precedente]]&gt;0,"Sim","Não")</f>
        <v>Não</v>
      </c>
      <c r="Y242" t="str">
        <f>IF(Tabela4[[#This Row],[Não liberado  para testes]]&gt;0,"Sim","Não")</f>
        <v>Sim</v>
      </c>
      <c r="Z242" t="str">
        <f ca="1">IF(Tabela4[[#This Row],[Status]]="Keyuser - Pendente",NETWORKDAYS(Tabela4[[#This Row],[Dt Inicial]],TODAY()),"")</f>
        <v/>
      </c>
      <c r="AA242" t="b">
        <f>AND(Tabela4[[#This Row],[Status]]="Keyuser - Aguardando tarefa precedente",K241="Keyuser - Concluído ")</f>
        <v>0</v>
      </c>
    </row>
    <row r="243" spans="1:27" x14ac:dyDescent="0.25">
      <c r="A243" t="str">
        <f>"OUT-"&amp;IFERROR(MID(Tabela4[[#This Row],[Cenário]],SEARCH("(",Tabela4[[#This Row],[Cenário]])+1,SEARCH(")",Tabela4[[#This Row],[Cenário]])-SEARCH("(",Tabela4[[#This Row],[Cenário]])-1),"")&amp;"_"&amp;ROW()</f>
        <v>OUT-Y006_243</v>
      </c>
      <c r="B243" t="s">
        <v>358</v>
      </c>
      <c r="C243" t="s">
        <v>512</v>
      </c>
      <c r="D243" t="s">
        <v>373</v>
      </c>
      <c r="E243">
        <v>6</v>
      </c>
      <c r="F243" t="s">
        <v>373</v>
      </c>
      <c r="G243" t="s">
        <v>283</v>
      </c>
      <c r="H243" s="13" t="s">
        <v>515</v>
      </c>
      <c r="I243" s="13"/>
      <c r="J243" s="13"/>
      <c r="K243" s="58" t="s">
        <v>271</v>
      </c>
      <c r="L243" s="78">
        <v>45986</v>
      </c>
      <c r="N243" s="78">
        <v>45986</v>
      </c>
      <c r="O243" s="31"/>
      <c r="P243" s="9"/>
      <c r="Q243" s="9">
        <f>COUNTIF(Tabela4[[#All],[Cenário]],Tabela4[[#This Row],[Cenário]])</f>
        <v>8</v>
      </c>
      <c r="R243">
        <f>COUNTIFS(Tabela4[[#All],[Cenário]],Tabela4[[#This Row],[Cenário]],Tabela4[[#All],[Status]],"Keyuser - Concluído ")</f>
        <v>7</v>
      </c>
      <c r="S243" t="str">
        <f>IF(Tabela4[[#This Row],[Tarefas por Cenário]]-Tabela4[[#This Row],[Tarefas Concluídas]]&gt;0,"Não","Sim")</f>
        <v>Não</v>
      </c>
      <c r="T243">
        <f>COUNTIFS(Tabela4[[#All],[Cenário]],Tabela4[[#This Row],[Cenário]],Tabela4[[#All],[Status]],Tabela4[[#Headers],[Elo - Em correção ]])</f>
        <v>0</v>
      </c>
      <c r="U243">
        <f>COUNTIFS(Tabela4[[#All],[Cenário]],Tabela4[[#This Row],[Cenário]],Tabela4[[#All],[Status]],Tabela4[[#Headers],[Keyuser - Aguardando tarefa precedente]])</f>
        <v>0</v>
      </c>
      <c r="V243">
        <f>COUNTIFS(Tabela4[[#All],[Cenário]],Tabela4[[#This Row],[Cenário]],Tabela4[[#All],[Status]],Tabela4[[#Headers],[Não liberado  para testes]])</f>
        <v>1</v>
      </c>
      <c r="W243" t="str">
        <f>IF(Tabela4[[#This Row],[Elo - Em correção ]]&gt;0,"Sim","Não")</f>
        <v>Não</v>
      </c>
      <c r="X243" t="str">
        <f>IF(Tabela4[[#This Row],[Keyuser - Aguardando tarefa precedente]]&gt;0,"Sim","Não")</f>
        <v>Não</v>
      </c>
      <c r="Y243" t="str">
        <f>IF(Tabela4[[#This Row],[Não liberado  para testes]]&gt;0,"Sim","Não")</f>
        <v>Sim</v>
      </c>
      <c r="Z243" t="str">
        <f ca="1">IF(Tabela4[[#This Row],[Status]]="Keyuser - Pendente",NETWORKDAYS(Tabela4[[#This Row],[Dt Inicial]],TODAY()),"")</f>
        <v/>
      </c>
      <c r="AA243" t="b">
        <f>AND(Tabela4[[#This Row],[Status]]="Keyuser - Aguardando tarefa precedente",K242="Keyuser - Concluído ")</f>
        <v>0</v>
      </c>
    </row>
    <row r="244" spans="1:27" x14ac:dyDescent="0.25">
      <c r="A244" t="str">
        <f>"OUT-"&amp;IFERROR(MID(Tabela4[[#This Row],[Cenário]],SEARCH("(",Tabela4[[#This Row],[Cenário]])+1,SEARCH(")",Tabela4[[#This Row],[Cenário]])-SEARCH("(",Tabela4[[#This Row],[Cenário]])-1),"")&amp;"_"&amp;ROW()</f>
        <v>OUT-Y006_244</v>
      </c>
      <c r="B244" t="s">
        <v>374</v>
      </c>
      <c r="C244" t="s">
        <v>512</v>
      </c>
      <c r="D244" t="s">
        <v>286</v>
      </c>
      <c r="E244">
        <v>7</v>
      </c>
      <c r="F244" t="s">
        <v>286</v>
      </c>
      <c r="G244" t="s">
        <v>287</v>
      </c>
      <c r="H244" s="13"/>
      <c r="I244" s="13"/>
      <c r="J244" s="13"/>
      <c r="K244" s="9" t="s">
        <v>262</v>
      </c>
      <c r="N244" s="78"/>
      <c r="O244" s="31"/>
      <c r="P244" s="9"/>
      <c r="Q244" s="9">
        <f>COUNTIF(Tabela4[[#All],[Cenário]],Tabela4[[#This Row],[Cenário]])</f>
        <v>8</v>
      </c>
      <c r="R244">
        <f>COUNTIFS(Tabela4[[#All],[Cenário]],Tabela4[[#This Row],[Cenário]],Tabela4[[#All],[Status]],"Keyuser - Concluído ")</f>
        <v>7</v>
      </c>
      <c r="S244" t="str">
        <f>IF(Tabela4[[#This Row],[Tarefas por Cenário]]-Tabela4[[#This Row],[Tarefas Concluídas]]&gt;0,"Não","Sim")</f>
        <v>Não</v>
      </c>
      <c r="T244">
        <f>COUNTIFS(Tabela4[[#All],[Cenário]],Tabela4[[#This Row],[Cenário]],Tabela4[[#All],[Status]],Tabela4[[#Headers],[Elo - Em correção ]])</f>
        <v>0</v>
      </c>
      <c r="U244">
        <f>COUNTIFS(Tabela4[[#All],[Cenário]],Tabela4[[#This Row],[Cenário]],Tabela4[[#All],[Status]],Tabela4[[#Headers],[Keyuser - Aguardando tarefa precedente]])</f>
        <v>0</v>
      </c>
      <c r="V244">
        <f>COUNTIFS(Tabela4[[#All],[Cenário]],Tabela4[[#This Row],[Cenário]],Tabela4[[#All],[Status]],Tabela4[[#Headers],[Não liberado  para testes]])</f>
        <v>1</v>
      </c>
      <c r="W244" t="str">
        <f>IF(Tabela4[[#This Row],[Elo - Em correção ]]&gt;0,"Sim","Não")</f>
        <v>Não</v>
      </c>
      <c r="X244" t="str">
        <f>IF(Tabela4[[#This Row],[Keyuser - Aguardando tarefa precedente]]&gt;0,"Sim","Não")</f>
        <v>Não</v>
      </c>
      <c r="Y244" t="str">
        <f>IF(Tabela4[[#This Row],[Não liberado  para testes]]&gt;0,"Sim","Não")</f>
        <v>Sim</v>
      </c>
      <c r="Z244" t="str">
        <f ca="1">IF(Tabela4[[#This Row],[Status]]="Keyuser - Pendente",NETWORKDAYS(Tabela4[[#This Row],[Dt Inicial]],TODAY()),"")</f>
        <v/>
      </c>
      <c r="AA244" t="b">
        <f>AND(Tabela4[[#This Row],[Status]]="Keyuser - Aguardando tarefa precedente",K243="Keyuser - Concluído ")</f>
        <v>0</v>
      </c>
    </row>
    <row r="245" spans="1:27" x14ac:dyDescent="0.25">
      <c r="A245" t="str">
        <f>"OUT-"&amp;IFERROR(MID(Tabela4[[#This Row],[Cenário]],SEARCH("(",Tabela4[[#This Row],[Cenário]])+1,SEARCH(")",Tabela4[[#This Row],[Cenário]])-SEARCH("(",Tabela4[[#This Row],[Cenário]])-1),"")&amp;"_"&amp;ROW()</f>
        <v>OUT-Y006_245</v>
      </c>
      <c r="C245" t="s">
        <v>512</v>
      </c>
      <c r="D245" t="s">
        <v>375</v>
      </c>
      <c r="E245">
        <v>8</v>
      </c>
      <c r="F245" t="s">
        <v>375</v>
      </c>
      <c r="G245" t="s">
        <v>367</v>
      </c>
      <c r="H245" s="13">
        <v>15603693</v>
      </c>
      <c r="I245" s="13" t="s">
        <v>513</v>
      </c>
      <c r="J245" s="15"/>
      <c r="K245" s="9" t="s">
        <v>271</v>
      </c>
      <c r="L245" s="78">
        <v>45986</v>
      </c>
      <c r="N245" s="78">
        <v>45986</v>
      </c>
      <c r="O245" s="31"/>
      <c r="P245" s="9"/>
      <c r="Q245" s="9">
        <f>COUNTIF(Tabela4[[#All],[Cenário]],Tabela4[[#This Row],[Cenário]])</f>
        <v>8</v>
      </c>
      <c r="R245">
        <f>COUNTIFS(Tabela4[[#All],[Cenário]],Tabela4[[#This Row],[Cenário]],Tabela4[[#All],[Status]],"Keyuser - Concluído ")</f>
        <v>7</v>
      </c>
      <c r="S245" t="str">
        <f>IF(Tabela4[[#This Row],[Tarefas por Cenário]]-Tabela4[[#This Row],[Tarefas Concluídas]]&gt;0,"Não","Sim")</f>
        <v>Não</v>
      </c>
      <c r="T245">
        <f>COUNTIFS(Tabela4[[#All],[Cenário]],Tabela4[[#This Row],[Cenário]],Tabela4[[#All],[Status]],Tabela4[[#Headers],[Elo - Em correção ]])</f>
        <v>0</v>
      </c>
      <c r="U245">
        <f>COUNTIFS(Tabela4[[#All],[Cenário]],Tabela4[[#This Row],[Cenário]],Tabela4[[#All],[Status]],Tabela4[[#Headers],[Keyuser - Aguardando tarefa precedente]])</f>
        <v>0</v>
      </c>
      <c r="V245">
        <f>COUNTIFS(Tabela4[[#All],[Cenário]],Tabela4[[#This Row],[Cenário]],Tabela4[[#All],[Status]],Tabela4[[#Headers],[Não liberado  para testes]])</f>
        <v>1</v>
      </c>
      <c r="W245" t="str">
        <f>IF(Tabela4[[#This Row],[Elo - Em correção ]]&gt;0,"Sim","Não")</f>
        <v>Não</v>
      </c>
      <c r="X245" t="str">
        <f>IF(Tabela4[[#This Row],[Keyuser - Aguardando tarefa precedente]]&gt;0,"Sim","Não")</f>
        <v>Não</v>
      </c>
      <c r="Y245" t="str">
        <f>IF(Tabela4[[#This Row],[Não liberado  para testes]]&gt;0,"Sim","Não")</f>
        <v>Sim</v>
      </c>
      <c r="Z245" t="str">
        <f ca="1">IF(Tabela4[[#This Row],[Status]]="Keyuser - Pendente",NETWORKDAYS(Tabela4[[#This Row],[Dt Inicial]],TODAY()),"")</f>
        <v/>
      </c>
      <c r="AA245" t="b">
        <f>AND(Tabela4[[#This Row],[Status]]="Keyuser - Aguardando tarefa precedente",K244="Keyuser - Concluído ")</f>
        <v>0</v>
      </c>
    </row>
    <row r="246" spans="1:27" x14ac:dyDescent="0.25">
      <c r="A246" t="str">
        <f>"OUT-"&amp;IFERROR(MID(Tabela4[[#This Row],[Cenário]],SEARCH("(",Tabela4[[#This Row],[Cenário]])+1,SEARCH(")",Tabela4[[#This Row],[Cenário]])-SEARCH("(",Tabela4[[#This Row],[Cenário]])-1),"")&amp;"_"&amp;ROW()</f>
        <v>OUT-YOR1_246</v>
      </c>
      <c r="B246" t="s">
        <v>358</v>
      </c>
      <c r="C246" t="s">
        <v>516</v>
      </c>
      <c r="D246" s="5" t="s">
        <v>360</v>
      </c>
      <c r="E246">
        <v>1</v>
      </c>
      <c r="F246" t="s">
        <v>360</v>
      </c>
      <c r="G246" t="s">
        <v>361</v>
      </c>
      <c r="H246" s="13">
        <v>15603604</v>
      </c>
      <c r="I246" s="9" t="s">
        <v>517</v>
      </c>
      <c r="J246" s="9" t="s">
        <v>364</v>
      </c>
      <c r="K246" s="9" t="s">
        <v>271</v>
      </c>
      <c r="L246" s="78">
        <v>45945</v>
      </c>
      <c r="N246" s="78">
        <v>45945</v>
      </c>
      <c r="O246" s="31"/>
      <c r="P246" s="9"/>
      <c r="Q246" s="9">
        <f>COUNTIF(Tabela4[[#All],[Cenário]],Tabela4[[#This Row],[Cenário]])</f>
        <v>8</v>
      </c>
      <c r="R246">
        <f>COUNTIFS(Tabela4[[#All],[Cenário]],Tabela4[[#This Row],[Cenário]],Tabela4[[#All],[Status]],"Keyuser - Concluído ")</f>
        <v>7</v>
      </c>
      <c r="S246" t="str">
        <f>IF(Tabela4[[#This Row],[Tarefas por Cenário]]-Tabela4[[#This Row],[Tarefas Concluídas]]&gt;0,"Não","Sim")</f>
        <v>Não</v>
      </c>
      <c r="T246">
        <f>COUNTIFS(Tabela4[[#All],[Cenário]],Tabela4[[#This Row],[Cenário]],Tabela4[[#All],[Status]],Tabela4[[#Headers],[Elo - Em correção ]])</f>
        <v>0</v>
      </c>
      <c r="U246">
        <f>COUNTIFS(Tabela4[[#All],[Cenário]],Tabela4[[#This Row],[Cenário]],Tabela4[[#All],[Status]],Tabela4[[#Headers],[Keyuser - Aguardando tarefa precedente]])</f>
        <v>0</v>
      </c>
      <c r="V246">
        <f>COUNTIFS(Tabela4[[#All],[Cenário]],Tabela4[[#This Row],[Cenário]],Tabela4[[#All],[Status]],Tabela4[[#Headers],[Não liberado  para testes]])</f>
        <v>1</v>
      </c>
      <c r="W246" t="str">
        <f>IF(Tabela4[[#This Row],[Elo - Em correção ]]&gt;0,"Sim","Não")</f>
        <v>Não</v>
      </c>
      <c r="X246" t="str">
        <f>IF(Tabela4[[#This Row],[Keyuser - Aguardando tarefa precedente]]&gt;0,"Sim","Não")</f>
        <v>Não</v>
      </c>
      <c r="Y246" t="str">
        <f>IF(Tabela4[[#This Row],[Não liberado  para testes]]&gt;0,"Sim","Não")</f>
        <v>Sim</v>
      </c>
      <c r="Z246" t="str">
        <f ca="1">IF(Tabela4[[#This Row],[Status]]="Keyuser - Pendente",NETWORKDAYS(Tabela4[[#This Row],[Dt Inicial]],TODAY()),"")</f>
        <v/>
      </c>
      <c r="AA246" t="b">
        <f>AND(Tabela4[[#This Row],[Status]]="Keyuser - Aguardando tarefa precedente",K245="Keyuser - Concluído ")</f>
        <v>0</v>
      </c>
    </row>
    <row r="247" spans="1:27" x14ac:dyDescent="0.25">
      <c r="A247" t="str">
        <f>"OUT-"&amp;IFERROR(MID(Tabela4[[#This Row],[Cenário]],SEARCH("(",Tabela4[[#This Row],[Cenário]])+1,SEARCH(")",Tabela4[[#This Row],[Cenário]])-SEARCH("(",Tabela4[[#This Row],[Cenário]])-1),"")&amp;"_"&amp;ROW()</f>
        <v>OUT-YOR1_247</v>
      </c>
      <c r="B247" t="s">
        <v>358</v>
      </c>
      <c r="C247" t="s">
        <v>516</v>
      </c>
      <c r="D247" s="5" t="s">
        <v>365</v>
      </c>
      <c r="E247">
        <v>2</v>
      </c>
      <c r="F247" t="s">
        <v>365</v>
      </c>
      <c r="G247" t="s">
        <v>310</v>
      </c>
      <c r="H247" s="13">
        <v>15603604</v>
      </c>
      <c r="I247" s="9" t="s">
        <v>517</v>
      </c>
      <c r="J247" s="9" t="s">
        <v>364</v>
      </c>
      <c r="K247" s="9" t="s">
        <v>271</v>
      </c>
      <c r="L247" s="78">
        <v>45945</v>
      </c>
      <c r="N247" s="78">
        <v>45945</v>
      </c>
      <c r="O247" s="31"/>
      <c r="P247" s="9"/>
      <c r="Q247" s="9">
        <f>COUNTIF(Tabela4[[#All],[Cenário]],Tabela4[[#This Row],[Cenário]])</f>
        <v>8</v>
      </c>
      <c r="R247">
        <f>COUNTIFS(Tabela4[[#All],[Cenário]],Tabela4[[#This Row],[Cenário]],Tabela4[[#All],[Status]],"Keyuser - Concluído ")</f>
        <v>7</v>
      </c>
      <c r="S247" t="str">
        <f>IF(Tabela4[[#This Row],[Tarefas por Cenário]]-Tabela4[[#This Row],[Tarefas Concluídas]]&gt;0,"Não","Sim")</f>
        <v>Não</v>
      </c>
      <c r="T247">
        <f>COUNTIFS(Tabela4[[#All],[Cenário]],Tabela4[[#This Row],[Cenário]],Tabela4[[#All],[Status]],Tabela4[[#Headers],[Elo - Em correção ]])</f>
        <v>0</v>
      </c>
      <c r="U247">
        <f>COUNTIFS(Tabela4[[#All],[Cenário]],Tabela4[[#This Row],[Cenário]],Tabela4[[#All],[Status]],Tabela4[[#Headers],[Keyuser - Aguardando tarefa precedente]])</f>
        <v>0</v>
      </c>
      <c r="V247">
        <f>COUNTIFS(Tabela4[[#All],[Cenário]],Tabela4[[#This Row],[Cenário]],Tabela4[[#All],[Status]],Tabela4[[#Headers],[Não liberado  para testes]])</f>
        <v>1</v>
      </c>
      <c r="W247" t="str">
        <f>IF(Tabela4[[#This Row],[Elo - Em correção ]]&gt;0,"Sim","Não")</f>
        <v>Não</v>
      </c>
      <c r="X247" t="str">
        <f>IF(Tabela4[[#This Row],[Keyuser - Aguardando tarefa precedente]]&gt;0,"Sim","Não")</f>
        <v>Não</v>
      </c>
      <c r="Y247" t="str">
        <f>IF(Tabela4[[#This Row],[Não liberado  para testes]]&gt;0,"Sim","Não")</f>
        <v>Sim</v>
      </c>
      <c r="Z247" t="str">
        <f ca="1">IF(Tabela4[[#This Row],[Status]]="Keyuser - Pendente",NETWORKDAYS(Tabela4[[#This Row],[Dt Inicial]],TODAY()),"")</f>
        <v/>
      </c>
      <c r="AA247" t="b">
        <f>AND(Tabela4[[#This Row],[Status]]="Keyuser - Aguardando tarefa precedente",K246="Keyuser - Concluído ")</f>
        <v>0</v>
      </c>
    </row>
    <row r="248" spans="1:27" x14ac:dyDescent="0.25">
      <c r="A248" t="str">
        <f>"OUT-"&amp;IFERROR(MID(Tabela4[[#This Row],[Cenário]],SEARCH("(",Tabela4[[#This Row],[Cenário]])+1,SEARCH(")",Tabela4[[#This Row],[Cenário]])-SEARCH("(",Tabela4[[#This Row],[Cenário]])-1),"")&amp;"_"&amp;ROW()</f>
        <v>OUT-YOR1_248</v>
      </c>
      <c r="B248" t="s">
        <v>358</v>
      </c>
      <c r="C248" t="s">
        <v>516</v>
      </c>
      <c r="D248" s="5" t="s">
        <v>366</v>
      </c>
      <c r="E248">
        <v>3</v>
      </c>
      <c r="F248" t="s">
        <v>366</v>
      </c>
      <c r="G248" t="s">
        <v>367</v>
      </c>
      <c r="H248" s="13">
        <v>15603604</v>
      </c>
      <c r="I248" s="9" t="s">
        <v>517</v>
      </c>
      <c r="J248" s="9" t="s">
        <v>364</v>
      </c>
      <c r="K248" s="9" t="s">
        <v>271</v>
      </c>
      <c r="L248" s="78">
        <v>45945</v>
      </c>
      <c r="N248" s="78">
        <v>45945</v>
      </c>
      <c r="O248" s="31"/>
      <c r="P248" s="9"/>
      <c r="Q248" s="9">
        <f>COUNTIF(Tabela4[[#All],[Cenário]],Tabela4[[#This Row],[Cenário]])</f>
        <v>8</v>
      </c>
      <c r="R248">
        <f>COUNTIFS(Tabela4[[#All],[Cenário]],Tabela4[[#This Row],[Cenário]],Tabela4[[#All],[Status]],"Keyuser - Concluído ")</f>
        <v>7</v>
      </c>
      <c r="S248" t="str">
        <f>IF(Tabela4[[#This Row],[Tarefas por Cenário]]-Tabela4[[#This Row],[Tarefas Concluídas]]&gt;0,"Não","Sim")</f>
        <v>Não</v>
      </c>
      <c r="T248">
        <f>COUNTIFS(Tabela4[[#All],[Cenário]],Tabela4[[#This Row],[Cenário]],Tabela4[[#All],[Status]],Tabela4[[#Headers],[Elo - Em correção ]])</f>
        <v>0</v>
      </c>
      <c r="U248">
        <f>COUNTIFS(Tabela4[[#All],[Cenário]],Tabela4[[#This Row],[Cenário]],Tabela4[[#All],[Status]],Tabela4[[#Headers],[Keyuser - Aguardando tarefa precedente]])</f>
        <v>0</v>
      </c>
      <c r="V248">
        <f>COUNTIFS(Tabela4[[#All],[Cenário]],Tabela4[[#This Row],[Cenário]],Tabela4[[#All],[Status]],Tabela4[[#Headers],[Não liberado  para testes]])</f>
        <v>1</v>
      </c>
      <c r="W248" t="str">
        <f>IF(Tabela4[[#This Row],[Elo - Em correção ]]&gt;0,"Sim","Não")</f>
        <v>Não</v>
      </c>
      <c r="X248" t="str">
        <f>IF(Tabela4[[#This Row],[Keyuser - Aguardando tarefa precedente]]&gt;0,"Sim","Não")</f>
        <v>Não</v>
      </c>
      <c r="Y248" t="str">
        <f>IF(Tabela4[[#This Row],[Não liberado  para testes]]&gt;0,"Sim","Não")</f>
        <v>Sim</v>
      </c>
      <c r="Z248" t="str">
        <f ca="1">IF(Tabela4[[#This Row],[Status]]="Keyuser - Pendente",NETWORKDAYS(Tabela4[[#This Row],[Dt Inicial]],TODAY()),"")</f>
        <v/>
      </c>
      <c r="AA248" t="b">
        <f>AND(Tabela4[[#This Row],[Status]]="Keyuser - Aguardando tarefa precedente",K247="Keyuser - Concluído ")</f>
        <v>0</v>
      </c>
    </row>
    <row r="249" spans="1:27" x14ac:dyDescent="0.25">
      <c r="A249" t="str">
        <f>"OUT-"&amp;IFERROR(MID(Tabela4[[#This Row],[Cenário]],SEARCH("(",Tabela4[[#This Row],[Cenário]])+1,SEARCH(")",Tabela4[[#This Row],[Cenário]])-SEARCH("(",Tabela4[[#This Row],[Cenário]])-1),"")&amp;"_"&amp;ROW()</f>
        <v>OUT-YOR1_249</v>
      </c>
      <c r="B249" t="s">
        <v>358</v>
      </c>
      <c r="C249" t="s">
        <v>516</v>
      </c>
      <c r="D249" s="5" t="s">
        <v>368</v>
      </c>
      <c r="E249">
        <v>4</v>
      </c>
      <c r="F249" t="s">
        <v>368</v>
      </c>
      <c r="G249" t="s">
        <v>369</v>
      </c>
      <c r="H249" s="9" t="s">
        <v>518</v>
      </c>
      <c r="K249" s="9" t="s">
        <v>271</v>
      </c>
      <c r="L249" s="78">
        <v>45946</v>
      </c>
      <c r="N249" s="78">
        <v>45946</v>
      </c>
      <c r="O249" s="31"/>
      <c r="P249" s="9"/>
      <c r="Q249" s="9">
        <f>COUNTIF(Tabela4[[#All],[Cenário]],Tabela4[[#This Row],[Cenário]])</f>
        <v>8</v>
      </c>
      <c r="R249">
        <f>COUNTIFS(Tabela4[[#All],[Cenário]],Tabela4[[#This Row],[Cenário]],Tabela4[[#All],[Status]],"Keyuser - Concluído ")</f>
        <v>7</v>
      </c>
      <c r="S249" t="str">
        <f>IF(Tabela4[[#This Row],[Tarefas por Cenário]]-Tabela4[[#This Row],[Tarefas Concluídas]]&gt;0,"Não","Sim")</f>
        <v>Não</v>
      </c>
      <c r="T249">
        <f>COUNTIFS(Tabela4[[#All],[Cenário]],Tabela4[[#This Row],[Cenário]],Tabela4[[#All],[Status]],Tabela4[[#Headers],[Elo - Em correção ]])</f>
        <v>0</v>
      </c>
      <c r="U249">
        <f>COUNTIFS(Tabela4[[#All],[Cenário]],Tabela4[[#This Row],[Cenário]],Tabela4[[#All],[Status]],Tabela4[[#Headers],[Keyuser - Aguardando tarefa precedente]])</f>
        <v>0</v>
      </c>
      <c r="V249">
        <f>COUNTIFS(Tabela4[[#All],[Cenário]],Tabela4[[#This Row],[Cenário]],Tabela4[[#All],[Status]],Tabela4[[#Headers],[Não liberado  para testes]])</f>
        <v>1</v>
      </c>
      <c r="W249" t="str">
        <f>IF(Tabela4[[#This Row],[Elo - Em correção ]]&gt;0,"Sim","Não")</f>
        <v>Não</v>
      </c>
      <c r="X249" t="str">
        <f>IF(Tabela4[[#This Row],[Keyuser - Aguardando tarefa precedente]]&gt;0,"Sim","Não")</f>
        <v>Não</v>
      </c>
      <c r="Y249" t="str">
        <f>IF(Tabela4[[#This Row],[Não liberado  para testes]]&gt;0,"Sim","Não")</f>
        <v>Sim</v>
      </c>
      <c r="Z249" t="str">
        <f ca="1">IF(Tabela4[[#This Row],[Status]]="Keyuser - Pendente",NETWORKDAYS(Tabela4[[#This Row],[Dt Inicial]],TODAY()),"")</f>
        <v/>
      </c>
      <c r="AA249" t="b">
        <f>AND(Tabela4[[#This Row],[Status]]="Keyuser - Aguardando tarefa precedente",K248="Keyuser - Concluído ")</f>
        <v>0</v>
      </c>
    </row>
    <row r="250" spans="1:27" x14ac:dyDescent="0.25">
      <c r="A250" t="str">
        <f>"OUT-"&amp;IFERROR(MID(Tabela4[[#This Row],[Cenário]],SEARCH("(",Tabela4[[#This Row],[Cenário]])+1,SEARCH(")",Tabela4[[#This Row],[Cenário]])-SEARCH("(",Tabela4[[#This Row],[Cenário]])-1),"")&amp;"_"&amp;ROW()</f>
        <v>OUT-YOR1_250</v>
      </c>
      <c r="B250" t="s">
        <v>358</v>
      </c>
      <c r="C250" t="s">
        <v>516</v>
      </c>
      <c r="D250" s="5" t="s">
        <v>371</v>
      </c>
      <c r="E250">
        <v>5</v>
      </c>
      <c r="F250" t="s">
        <v>435</v>
      </c>
      <c r="G250" t="s">
        <v>287</v>
      </c>
      <c r="H250" s="9" t="s">
        <v>518</v>
      </c>
      <c r="K250" s="9" t="s">
        <v>271</v>
      </c>
      <c r="L250" s="78">
        <v>45947</v>
      </c>
      <c r="N250" s="78">
        <v>45947</v>
      </c>
      <c r="O250" s="31"/>
      <c r="P250" s="9"/>
      <c r="Q250" s="9">
        <f>COUNTIF(Tabela4[[#All],[Cenário]],Tabela4[[#This Row],[Cenário]])</f>
        <v>8</v>
      </c>
      <c r="R250">
        <f>COUNTIFS(Tabela4[[#All],[Cenário]],Tabela4[[#This Row],[Cenário]],Tabela4[[#All],[Status]],"Keyuser - Concluído ")</f>
        <v>7</v>
      </c>
      <c r="S250" t="str">
        <f>IF(Tabela4[[#This Row],[Tarefas por Cenário]]-Tabela4[[#This Row],[Tarefas Concluídas]]&gt;0,"Não","Sim")</f>
        <v>Não</v>
      </c>
      <c r="T250">
        <f>COUNTIFS(Tabela4[[#All],[Cenário]],Tabela4[[#This Row],[Cenário]],Tabela4[[#All],[Status]],Tabela4[[#Headers],[Elo - Em correção ]])</f>
        <v>0</v>
      </c>
      <c r="U250">
        <f>COUNTIFS(Tabela4[[#All],[Cenário]],Tabela4[[#This Row],[Cenário]],Tabela4[[#All],[Status]],Tabela4[[#Headers],[Keyuser - Aguardando tarefa precedente]])</f>
        <v>0</v>
      </c>
      <c r="V250">
        <f>COUNTIFS(Tabela4[[#All],[Cenário]],Tabela4[[#This Row],[Cenário]],Tabela4[[#All],[Status]],Tabela4[[#Headers],[Não liberado  para testes]])</f>
        <v>1</v>
      </c>
      <c r="W250" t="str">
        <f>IF(Tabela4[[#This Row],[Elo - Em correção ]]&gt;0,"Sim","Não")</f>
        <v>Não</v>
      </c>
      <c r="X250" t="str">
        <f>IF(Tabela4[[#This Row],[Keyuser - Aguardando tarefa precedente]]&gt;0,"Sim","Não")</f>
        <v>Não</v>
      </c>
      <c r="Y250" t="str">
        <f>IF(Tabela4[[#This Row],[Não liberado  para testes]]&gt;0,"Sim","Não")</f>
        <v>Sim</v>
      </c>
      <c r="Z250" t="str">
        <f ca="1">IF(Tabela4[[#This Row],[Status]]="Keyuser - Pendente",NETWORKDAYS(Tabela4[[#This Row],[Dt Inicial]],TODAY()),"")</f>
        <v/>
      </c>
      <c r="AA250" t="b">
        <f>AND(Tabela4[[#This Row],[Status]]="Keyuser - Aguardando tarefa precedente",K249="Keyuser - Concluído ")</f>
        <v>0</v>
      </c>
    </row>
    <row r="251" spans="1:27" x14ac:dyDescent="0.25">
      <c r="A251" t="str">
        <f>"OUT-"&amp;IFERROR(MID(Tabela4[[#This Row],[Cenário]],SEARCH("(",Tabela4[[#This Row],[Cenário]])+1,SEARCH(")",Tabela4[[#This Row],[Cenário]])-SEARCH("(",Tabela4[[#This Row],[Cenário]])-1),"")&amp;"_"&amp;ROW()</f>
        <v>OUT-YOR1_251</v>
      </c>
      <c r="B251" t="s">
        <v>358</v>
      </c>
      <c r="C251" t="s">
        <v>516</v>
      </c>
      <c r="D251" s="5" t="s">
        <v>373</v>
      </c>
      <c r="E251">
        <v>6</v>
      </c>
      <c r="F251" t="s">
        <v>373</v>
      </c>
      <c r="G251" t="s">
        <v>283</v>
      </c>
      <c r="H251" s="9" t="s">
        <v>518</v>
      </c>
      <c r="K251" s="9" t="s">
        <v>271</v>
      </c>
      <c r="L251" s="78">
        <v>45950</v>
      </c>
      <c r="N251" s="78">
        <v>45950</v>
      </c>
      <c r="O251" s="31"/>
      <c r="P251" s="9"/>
      <c r="Q251" s="9">
        <f>COUNTIF(Tabela4[[#All],[Cenário]],Tabela4[[#This Row],[Cenário]])</f>
        <v>8</v>
      </c>
      <c r="R251">
        <f>COUNTIFS(Tabela4[[#All],[Cenário]],Tabela4[[#This Row],[Cenário]],Tabela4[[#All],[Status]],"Keyuser - Concluído ")</f>
        <v>7</v>
      </c>
      <c r="S251" t="str">
        <f>IF(Tabela4[[#This Row],[Tarefas por Cenário]]-Tabela4[[#This Row],[Tarefas Concluídas]]&gt;0,"Não","Sim")</f>
        <v>Não</v>
      </c>
      <c r="T251">
        <f>COUNTIFS(Tabela4[[#All],[Cenário]],Tabela4[[#This Row],[Cenário]],Tabela4[[#All],[Status]],Tabela4[[#Headers],[Elo - Em correção ]])</f>
        <v>0</v>
      </c>
      <c r="U251">
        <f>COUNTIFS(Tabela4[[#All],[Cenário]],Tabela4[[#This Row],[Cenário]],Tabela4[[#All],[Status]],Tabela4[[#Headers],[Keyuser - Aguardando tarefa precedente]])</f>
        <v>0</v>
      </c>
      <c r="V251">
        <f>COUNTIFS(Tabela4[[#All],[Cenário]],Tabela4[[#This Row],[Cenário]],Tabela4[[#All],[Status]],Tabela4[[#Headers],[Não liberado  para testes]])</f>
        <v>1</v>
      </c>
      <c r="W251" t="str">
        <f>IF(Tabela4[[#This Row],[Elo - Em correção ]]&gt;0,"Sim","Não")</f>
        <v>Não</v>
      </c>
      <c r="X251" t="str">
        <f>IF(Tabela4[[#This Row],[Keyuser - Aguardando tarefa precedente]]&gt;0,"Sim","Não")</f>
        <v>Não</v>
      </c>
      <c r="Y251" t="str">
        <f>IF(Tabela4[[#This Row],[Não liberado  para testes]]&gt;0,"Sim","Não")</f>
        <v>Sim</v>
      </c>
      <c r="Z251" t="str">
        <f ca="1">IF(Tabela4[[#This Row],[Status]]="Keyuser - Pendente",NETWORKDAYS(Tabela4[[#This Row],[Dt Inicial]],TODAY()),"")</f>
        <v/>
      </c>
      <c r="AA251" t="b">
        <f>AND(Tabela4[[#This Row],[Status]]="Keyuser - Aguardando tarefa precedente",K250="Keyuser - Concluído ")</f>
        <v>0</v>
      </c>
    </row>
    <row r="252" spans="1:27" x14ac:dyDescent="0.25">
      <c r="A252" t="str">
        <f>"OUT-"&amp;IFERROR(MID(Tabela4[[#This Row],[Cenário]],SEARCH("(",Tabela4[[#This Row],[Cenário]])+1,SEARCH(")",Tabela4[[#This Row],[Cenário]])-SEARCH("(",Tabela4[[#This Row],[Cenário]])-1),"")&amp;"_"&amp;ROW()</f>
        <v>OUT-YOR1_252</v>
      </c>
      <c r="B252" t="s">
        <v>374</v>
      </c>
      <c r="C252" t="s">
        <v>516</v>
      </c>
      <c r="D252" s="5" t="s">
        <v>286</v>
      </c>
      <c r="E252">
        <v>7</v>
      </c>
      <c r="F252" t="s">
        <v>286</v>
      </c>
      <c r="G252" t="s">
        <v>287</v>
      </c>
      <c r="K252" s="9" t="s">
        <v>262</v>
      </c>
      <c r="N252" s="78"/>
      <c r="O252" s="31"/>
      <c r="P252" s="9"/>
      <c r="Q252" s="9">
        <f>COUNTIF(Tabela4[[#All],[Cenário]],Tabela4[[#This Row],[Cenário]])</f>
        <v>8</v>
      </c>
      <c r="R252">
        <f>COUNTIFS(Tabela4[[#All],[Cenário]],Tabela4[[#This Row],[Cenário]],Tabela4[[#All],[Status]],"Keyuser - Concluído ")</f>
        <v>7</v>
      </c>
      <c r="S252" t="str">
        <f>IF(Tabela4[[#This Row],[Tarefas por Cenário]]-Tabela4[[#This Row],[Tarefas Concluídas]]&gt;0,"Não","Sim")</f>
        <v>Não</v>
      </c>
      <c r="T252">
        <f>COUNTIFS(Tabela4[[#All],[Cenário]],Tabela4[[#This Row],[Cenário]],Tabela4[[#All],[Status]],Tabela4[[#Headers],[Elo - Em correção ]])</f>
        <v>0</v>
      </c>
      <c r="U252">
        <f>COUNTIFS(Tabela4[[#All],[Cenário]],Tabela4[[#This Row],[Cenário]],Tabela4[[#All],[Status]],Tabela4[[#Headers],[Keyuser - Aguardando tarefa precedente]])</f>
        <v>0</v>
      </c>
      <c r="V252">
        <f>COUNTIFS(Tabela4[[#All],[Cenário]],Tabela4[[#This Row],[Cenário]],Tabela4[[#All],[Status]],Tabela4[[#Headers],[Não liberado  para testes]])</f>
        <v>1</v>
      </c>
      <c r="W252" t="str">
        <f>IF(Tabela4[[#This Row],[Elo - Em correção ]]&gt;0,"Sim","Não")</f>
        <v>Não</v>
      </c>
      <c r="X252" t="str">
        <f>IF(Tabela4[[#This Row],[Keyuser - Aguardando tarefa precedente]]&gt;0,"Sim","Não")</f>
        <v>Não</v>
      </c>
      <c r="Y252" t="str">
        <f>IF(Tabela4[[#This Row],[Não liberado  para testes]]&gt;0,"Sim","Não")</f>
        <v>Sim</v>
      </c>
      <c r="Z252" t="str">
        <f ca="1">IF(Tabela4[[#This Row],[Status]]="Keyuser - Pendente",NETWORKDAYS(Tabela4[[#This Row],[Dt Inicial]],TODAY()),"")</f>
        <v/>
      </c>
      <c r="AA252" t="b">
        <f>AND(Tabela4[[#This Row],[Status]]="Keyuser - Aguardando tarefa precedente",K251="Keyuser - Concluído ")</f>
        <v>0</v>
      </c>
    </row>
    <row r="253" spans="1:27" x14ac:dyDescent="0.25">
      <c r="A253" t="str">
        <f>"OUT-"&amp;IFERROR(MID(Tabela4[[#This Row],[Cenário]],SEARCH("(",Tabela4[[#This Row],[Cenário]])+1,SEARCH(")",Tabela4[[#This Row],[Cenário]])-SEARCH("(",Tabela4[[#This Row],[Cenário]])-1),"")&amp;"_"&amp;ROW()</f>
        <v>OUT-YOR1_253</v>
      </c>
      <c r="B253" t="s">
        <v>358</v>
      </c>
      <c r="C253" t="s">
        <v>516</v>
      </c>
      <c r="D253" s="5" t="s">
        <v>375</v>
      </c>
      <c r="E253">
        <v>8</v>
      </c>
      <c r="F253" t="s">
        <v>375</v>
      </c>
      <c r="G253" t="s">
        <v>367</v>
      </c>
      <c r="H253" s="13">
        <v>15603604</v>
      </c>
      <c r="I253" s="9" t="s">
        <v>517</v>
      </c>
      <c r="J253" s="9" t="s">
        <v>364</v>
      </c>
      <c r="K253" s="9" t="s">
        <v>271</v>
      </c>
      <c r="L253" s="78">
        <v>45950</v>
      </c>
      <c r="N253" s="78">
        <v>45950</v>
      </c>
      <c r="O253" s="31"/>
      <c r="P253" s="9"/>
      <c r="Q253" s="9">
        <f>COUNTIF(Tabela4[[#All],[Cenário]],Tabela4[[#This Row],[Cenário]])</f>
        <v>8</v>
      </c>
      <c r="R253">
        <f>COUNTIFS(Tabela4[[#All],[Cenário]],Tabela4[[#This Row],[Cenário]],Tabela4[[#All],[Status]],"Keyuser - Concluído ")</f>
        <v>7</v>
      </c>
      <c r="S253" t="str">
        <f>IF(Tabela4[[#This Row],[Tarefas por Cenário]]-Tabela4[[#This Row],[Tarefas Concluídas]]&gt;0,"Não","Sim")</f>
        <v>Não</v>
      </c>
      <c r="T253">
        <f>COUNTIFS(Tabela4[[#All],[Cenário]],Tabela4[[#This Row],[Cenário]],Tabela4[[#All],[Status]],Tabela4[[#Headers],[Elo - Em correção ]])</f>
        <v>0</v>
      </c>
      <c r="U253">
        <f>COUNTIFS(Tabela4[[#All],[Cenário]],Tabela4[[#This Row],[Cenário]],Tabela4[[#All],[Status]],Tabela4[[#Headers],[Keyuser - Aguardando tarefa precedente]])</f>
        <v>0</v>
      </c>
      <c r="V253">
        <f>COUNTIFS(Tabela4[[#All],[Cenário]],Tabela4[[#This Row],[Cenário]],Tabela4[[#All],[Status]],Tabela4[[#Headers],[Não liberado  para testes]])</f>
        <v>1</v>
      </c>
      <c r="W253" t="str">
        <f>IF(Tabela4[[#This Row],[Elo - Em correção ]]&gt;0,"Sim","Não")</f>
        <v>Não</v>
      </c>
      <c r="X253" t="str">
        <f>IF(Tabela4[[#This Row],[Keyuser - Aguardando tarefa precedente]]&gt;0,"Sim","Não")</f>
        <v>Não</v>
      </c>
      <c r="Y253" t="str">
        <f>IF(Tabela4[[#This Row],[Não liberado  para testes]]&gt;0,"Sim","Não")</f>
        <v>Sim</v>
      </c>
      <c r="Z253" t="str">
        <f ca="1">IF(Tabela4[[#This Row],[Status]]="Keyuser - Pendente",NETWORKDAYS(Tabela4[[#This Row],[Dt Inicial]],TODAY()),"")</f>
        <v/>
      </c>
      <c r="AA253" t="b">
        <f>AND(Tabela4[[#This Row],[Status]]="Keyuser - Aguardando tarefa precedente",K252="Keyuser - Concluído ")</f>
        <v>0</v>
      </c>
    </row>
    <row r="254" spans="1:27" x14ac:dyDescent="0.25">
      <c r="A254" t="str">
        <f>"OUT-"&amp;IFERROR(MID(Tabela4[[#This Row],[Cenário]],SEARCH("(",Tabela4[[#This Row],[Cenário]])+1,SEARCH(")",Tabela4[[#This Row],[Cenário]])-SEARCH("(",Tabela4[[#This Row],[Cenário]])-1),"")&amp;"_"&amp;ROW()</f>
        <v>OUT-YDEV_254</v>
      </c>
      <c r="B254" t="s">
        <v>358</v>
      </c>
      <c r="C254" t="s">
        <v>519</v>
      </c>
      <c r="D254" s="5" t="s">
        <v>360</v>
      </c>
      <c r="E254">
        <v>1</v>
      </c>
      <c r="F254" t="s">
        <v>360</v>
      </c>
      <c r="G254" t="s">
        <v>377</v>
      </c>
      <c r="H254" s="9">
        <v>60668328</v>
      </c>
      <c r="K254" s="9" t="s">
        <v>271</v>
      </c>
      <c r="L254" s="78">
        <v>45958</v>
      </c>
      <c r="N254" s="78">
        <v>45958</v>
      </c>
      <c r="O254" s="31"/>
      <c r="P254" s="9"/>
      <c r="Q254" s="9">
        <f>COUNTIF(Tabela4[[#All],[Cenário]],Tabela4[[#This Row],[Cenário]])</f>
        <v>12</v>
      </c>
      <c r="R254">
        <f>COUNTIFS(Tabela4[[#All],[Cenário]],Tabela4[[#This Row],[Cenário]],Tabela4[[#All],[Status]],"Keyuser - Concluído ")</f>
        <v>10</v>
      </c>
      <c r="S254" t="str">
        <f>IF(Tabela4[[#This Row],[Tarefas por Cenário]]-Tabela4[[#This Row],[Tarefas Concluídas]]&gt;0,"Não","Sim")</f>
        <v>Não</v>
      </c>
      <c r="T254">
        <f>COUNTIFS(Tabela4[[#All],[Cenário]],Tabela4[[#This Row],[Cenário]],Tabela4[[#All],[Status]],Tabela4[[#Headers],[Elo - Em correção ]])</f>
        <v>0</v>
      </c>
      <c r="U254">
        <f>COUNTIFS(Tabela4[[#All],[Cenário]],Tabela4[[#This Row],[Cenário]],Tabela4[[#All],[Status]],Tabela4[[#Headers],[Keyuser - Aguardando tarefa precedente]])</f>
        <v>0</v>
      </c>
      <c r="V254">
        <f>COUNTIFS(Tabela4[[#All],[Cenário]],Tabela4[[#This Row],[Cenário]],Tabela4[[#All],[Status]],Tabela4[[#Headers],[Não liberado  para testes]])</f>
        <v>2</v>
      </c>
      <c r="W254" t="str">
        <f>IF(Tabela4[[#This Row],[Elo - Em correção ]]&gt;0,"Sim","Não")</f>
        <v>Não</v>
      </c>
      <c r="X254" t="str">
        <f>IF(Tabela4[[#This Row],[Keyuser - Aguardando tarefa precedente]]&gt;0,"Sim","Não")</f>
        <v>Não</v>
      </c>
      <c r="Y254" t="str">
        <f>IF(Tabela4[[#This Row],[Não liberado  para testes]]&gt;0,"Sim","Não")</f>
        <v>Sim</v>
      </c>
      <c r="Z254" t="str">
        <f ca="1">IF(Tabela4[[#This Row],[Status]]="Keyuser - Pendente",NETWORKDAYS(Tabela4[[#This Row],[Dt Inicial]],TODAY()),"")</f>
        <v/>
      </c>
      <c r="AA254" t="b">
        <f>AND(Tabela4[[#This Row],[Status]]="Keyuser - Aguardando tarefa precedente",K253="Keyuser - Concluído ")</f>
        <v>0</v>
      </c>
    </row>
    <row r="255" spans="1:27" x14ac:dyDescent="0.25">
      <c r="A255" t="str">
        <f>"OUT-"&amp;IFERROR(MID(Tabela4[[#This Row],[Cenário]],SEARCH("(",Tabela4[[#This Row],[Cenário]])+1,SEARCH(")",Tabela4[[#This Row],[Cenário]])-SEARCH("(",Tabela4[[#This Row],[Cenário]])-1),"")&amp;"_"&amp;ROW()</f>
        <v>OUT-YDEV_255</v>
      </c>
      <c r="B255" t="s">
        <v>358</v>
      </c>
      <c r="C255" t="s">
        <v>519</v>
      </c>
      <c r="D255" s="5" t="s">
        <v>365</v>
      </c>
      <c r="E255">
        <v>2</v>
      </c>
      <c r="F255" t="s">
        <v>365</v>
      </c>
      <c r="G255" t="s">
        <v>310</v>
      </c>
      <c r="H255" s="9">
        <v>60668328</v>
      </c>
      <c r="K255" s="9" t="s">
        <v>271</v>
      </c>
      <c r="L255" s="78">
        <v>45958</v>
      </c>
      <c r="N255" s="78">
        <v>45958</v>
      </c>
      <c r="O255" s="31"/>
      <c r="P255" s="9"/>
      <c r="Q255" s="9">
        <f>COUNTIF(Tabela4[[#All],[Cenário]],Tabela4[[#This Row],[Cenário]])</f>
        <v>12</v>
      </c>
      <c r="R255">
        <f>COUNTIFS(Tabela4[[#All],[Cenário]],Tabela4[[#This Row],[Cenário]],Tabela4[[#All],[Status]],"Keyuser - Concluído ")</f>
        <v>10</v>
      </c>
      <c r="S255" t="str">
        <f>IF(Tabela4[[#This Row],[Tarefas por Cenário]]-Tabela4[[#This Row],[Tarefas Concluídas]]&gt;0,"Não","Sim")</f>
        <v>Não</v>
      </c>
      <c r="T255">
        <f>COUNTIFS(Tabela4[[#All],[Cenário]],Tabela4[[#This Row],[Cenário]],Tabela4[[#All],[Status]],Tabela4[[#Headers],[Elo - Em correção ]])</f>
        <v>0</v>
      </c>
      <c r="U255">
        <f>COUNTIFS(Tabela4[[#All],[Cenário]],Tabela4[[#This Row],[Cenário]],Tabela4[[#All],[Status]],Tabela4[[#Headers],[Keyuser - Aguardando tarefa precedente]])</f>
        <v>0</v>
      </c>
      <c r="V255">
        <f>COUNTIFS(Tabela4[[#All],[Cenário]],Tabela4[[#This Row],[Cenário]],Tabela4[[#All],[Status]],Tabela4[[#Headers],[Não liberado  para testes]])</f>
        <v>2</v>
      </c>
      <c r="W255" t="str">
        <f>IF(Tabela4[[#This Row],[Elo - Em correção ]]&gt;0,"Sim","Não")</f>
        <v>Não</v>
      </c>
      <c r="X255" t="str">
        <f>IF(Tabela4[[#This Row],[Keyuser - Aguardando tarefa precedente]]&gt;0,"Sim","Não")</f>
        <v>Não</v>
      </c>
      <c r="Y255" t="str">
        <f>IF(Tabela4[[#This Row],[Não liberado  para testes]]&gt;0,"Sim","Não")</f>
        <v>Sim</v>
      </c>
      <c r="Z255" t="str">
        <f ca="1">IF(Tabela4[[#This Row],[Status]]="Keyuser - Pendente",NETWORKDAYS(Tabela4[[#This Row],[Dt Inicial]],TODAY()),"")</f>
        <v/>
      </c>
      <c r="AA255" t="b">
        <f>AND(Tabela4[[#This Row],[Status]]="Keyuser - Aguardando tarefa precedente",K254="Keyuser - Concluído ")</f>
        <v>0</v>
      </c>
    </row>
    <row r="256" spans="1:27" x14ac:dyDescent="0.25">
      <c r="A256" t="str">
        <f>"OUT-"&amp;IFERROR(MID(Tabela4[[#This Row],[Cenário]],SEARCH("(",Tabela4[[#This Row],[Cenário]])+1,SEARCH(")",Tabela4[[#This Row],[Cenário]])-SEARCH("(",Tabela4[[#This Row],[Cenário]])-1),"")&amp;"_"&amp;ROW()</f>
        <v>OUT-YDEV_256</v>
      </c>
      <c r="B256" t="s">
        <v>358</v>
      </c>
      <c r="C256" t="s">
        <v>519</v>
      </c>
      <c r="D256" s="5" t="s">
        <v>368</v>
      </c>
      <c r="E256">
        <v>3</v>
      </c>
      <c r="F256" t="s">
        <v>368</v>
      </c>
      <c r="G256" t="s">
        <v>377</v>
      </c>
      <c r="H256" s="9" t="s">
        <v>520</v>
      </c>
      <c r="K256" s="9" t="s">
        <v>271</v>
      </c>
      <c r="L256" s="78">
        <v>45958</v>
      </c>
      <c r="N256" s="78">
        <v>45958</v>
      </c>
      <c r="O256" s="31" t="s">
        <v>521</v>
      </c>
      <c r="P256" s="9"/>
      <c r="Q256" s="9">
        <f>COUNTIF(Tabela4[[#All],[Cenário]],Tabela4[[#This Row],[Cenário]])</f>
        <v>12</v>
      </c>
      <c r="R256">
        <f>COUNTIFS(Tabela4[[#All],[Cenário]],Tabela4[[#This Row],[Cenário]],Tabela4[[#All],[Status]],"Keyuser - Concluído ")</f>
        <v>10</v>
      </c>
      <c r="S256" t="str">
        <f>IF(Tabela4[[#This Row],[Tarefas por Cenário]]-Tabela4[[#This Row],[Tarefas Concluídas]]&gt;0,"Não","Sim")</f>
        <v>Não</v>
      </c>
      <c r="T256">
        <f>COUNTIFS(Tabela4[[#All],[Cenário]],Tabela4[[#This Row],[Cenário]],Tabela4[[#All],[Status]],Tabela4[[#Headers],[Elo - Em correção ]])</f>
        <v>0</v>
      </c>
      <c r="U256">
        <f>COUNTIFS(Tabela4[[#All],[Cenário]],Tabela4[[#This Row],[Cenário]],Tabela4[[#All],[Status]],Tabela4[[#Headers],[Keyuser - Aguardando tarefa precedente]])</f>
        <v>0</v>
      </c>
      <c r="V256">
        <f>COUNTIFS(Tabela4[[#All],[Cenário]],Tabela4[[#This Row],[Cenário]],Tabela4[[#All],[Status]],Tabela4[[#Headers],[Não liberado  para testes]])</f>
        <v>2</v>
      </c>
      <c r="W256" t="str">
        <f>IF(Tabela4[[#This Row],[Elo - Em correção ]]&gt;0,"Sim","Não")</f>
        <v>Não</v>
      </c>
      <c r="X256" t="str">
        <f>IF(Tabela4[[#This Row],[Keyuser - Aguardando tarefa precedente]]&gt;0,"Sim","Não")</f>
        <v>Não</v>
      </c>
      <c r="Y256" t="str">
        <f>IF(Tabela4[[#This Row],[Não liberado  para testes]]&gt;0,"Sim","Não")</f>
        <v>Sim</v>
      </c>
      <c r="Z256" t="str">
        <f ca="1">IF(Tabela4[[#This Row],[Status]]="Keyuser - Pendente",NETWORKDAYS(Tabela4[[#This Row],[Dt Inicial]],TODAY()),"")</f>
        <v/>
      </c>
      <c r="AA256" t="b">
        <f>AND(Tabela4[[#This Row],[Status]]="Keyuser - Aguardando tarefa precedente",K255="Keyuser - Concluído ")</f>
        <v>0</v>
      </c>
    </row>
    <row r="257" spans="1:27" x14ac:dyDescent="0.25">
      <c r="A257" t="str">
        <f>"OUT-"&amp;IFERROR(MID(Tabela4[[#This Row],[Cenário]],SEARCH("(",Tabela4[[#This Row],[Cenário]])+1,SEARCH(")",Tabela4[[#This Row],[Cenário]])-SEARCH("(",Tabela4[[#This Row],[Cenário]])-1),"")&amp;"_"&amp;ROW()</f>
        <v>OUT-YDEV_257</v>
      </c>
      <c r="B257" t="s">
        <v>358</v>
      </c>
      <c r="C257" t="s">
        <v>519</v>
      </c>
      <c r="D257" t="s">
        <v>371</v>
      </c>
      <c r="E257">
        <v>4</v>
      </c>
      <c r="F257" t="s">
        <v>372</v>
      </c>
      <c r="G257" t="s">
        <v>287</v>
      </c>
      <c r="H257" s="9" t="s">
        <v>520</v>
      </c>
      <c r="I257" s="13"/>
      <c r="J257" s="13"/>
      <c r="K257" s="9" t="s">
        <v>271</v>
      </c>
      <c r="L257" s="78">
        <v>45960</v>
      </c>
      <c r="N257" s="78">
        <v>45960</v>
      </c>
      <c r="O257" s="31"/>
      <c r="P257" s="9"/>
      <c r="Q257" s="9">
        <f>COUNTIF(Tabela4[[#All],[Cenário]],Tabela4[[#This Row],[Cenário]])</f>
        <v>12</v>
      </c>
      <c r="R257">
        <f>COUNTIFS(Tabela4[[#All],[Cenário]],Tabela4[[#This Row],[Cenário]],Tabela4[[#All],[Status]],"Keyuser - Concluído ")</f>
        <v>10</v>
      </c>
      <c r="S257" t="str">
        <f>IF(Tabela4[[#This Row],[Tarefas por Cenário]]-Tabela4[[#This Row],[Tarefas Concluídas]]&gt;0,"Não","Sim")</f>
        <v>Não</v>
      </c>
      <c r="T257">
        <f>COUNTIFS(Tabela4[[#All],[Cenário]],Tabela4[[#This Row],[Cenário]],Tabela4[[#All],[Status]],Tabela4[[#Headers],[Elo - Em correção ]])</f>
        <v>0</v>
      </c>
      <c r="U257">
        <f>COUNTIFS(Tabela4[[#All],[Cenário]],Tabela4[[#This Row],[Cenário]],Tabela4[[#All],[Status]],Tabela4[[#Headers],[Keyuser - Aguardando tarefa precedente]])</f>
        <v>0</v>
      </c>
      <c r="V257">
        <f>COUNTIFS(Tabela4[[#All],[Cenário]],Tabela4[[#This Row],[Cenário]],Tabela4[[#All],[Status]],Tabela4[[#Headers],[Não liberado  para testes]])</f>
        <v>2</v>
      </c>
      <c r="W257" t="str">
        <f>IF(Tabela4[[#This Row],[Elo - Em correção ]]&gt;0,"Sim","Não")</f>
        <v>Não</v>
      </c>
      <c r="X257" t="str">
        <f>IF(Tabela4[[#This Row],[Keyuser - Aguardando tarefa precedente]]&gt;0,"Sim","Não")</f>
        <v>Não</v>
      </c>
      <c r="Y257" t="str">
        <f>IF(Tabela4[[#This Row],[Não liberado  para testes]]&gt;0,"Sim","Não")</f>
        <v>Sim</v>
      </c>
      <c r="Z257" t="str">
        <f ca="1">IF(Tabela4[[#This Row],[Status]]="Keyuser - Pendente",NETWORKDAYS(Tabela4[[#This Row],[Dt Inicial]],TODAY()),"")</f>
        <v/>
      </c>
      <c r="AA257" t="b">
        <f>AND(Tabela4[[#This Row],[Status]]="Keyuser - Aguardando tarefa precedente",K256="Keyuser - Concluído ")</f>
        <v>0</v>
      </c>
    </row>
    <row r="258" spans="1:27" x14ac:dyDescent="0.25">
      <c r="A258" t="str">
        <f>"OUT-"&amp;IFERROR(MID(Tabela4[[#This Row],[Cenário]],SEARCH("(",Tabela4[[#This Row],[Cenário]])+1,SEARCH(")",Tabela4[[#This Row],[Cenário]])-SEARCH("(",Tabela4[[#This Row],[Cenário]])-1),"")&amp;"_"&amp;ROW()</f>
        <v>OUT-YDEV_258</v>
      </c>
      <c r="B258" t="s">
        <v>358</v>
      </c>
      <c r="C258" t="s">
        <v>519</v>
      </c>
      <c r="D258" t="s">
        <v>373</v>
      </c>
      <c r="E258">
        <v>5</v>
      </c>
      <c r="F258" t="s">
        <v>373</v>
      </c>
      <c r="G258" t="s">
        <v>283</v>
      </c>
      <c r="H258" s="9" t="s">
        <v>520</v>
      </c>
      <c r="I258" s="13"/>
      <c r="J258" s="13"/>
      <c r="K258" s="9" t="s">
        <v>271</v>
      </c>
      <c r="L258" s="78">
        <v>45960</v>
      </c>
      <c r="N258" s="78">
        <v>45960</v>
      </c>
      <c r="O258" s="31"/>
      <c r="P258" s="9"/>
      <c r="Q258" s="9">
        <f>COUNTIF(Tabela4[[#All],[Cenário]],Tabela4[[#This Row],[Cenário]])</f>
        <v>12</v>
      </c>
      <c r="R258">
        <f>COUNTIFS(Tabela4[[#All],[Cenário]],Tabela4[[#This Row],[Cenário]],Tabela4[[#All],[Status]],"Keyuser - Concluído ")</f>
        <v>10</v>
      </c>
      <c r="S258" t="str">
        <f>IF(Tabela4[[#This Row],[Tarefas por Cenário]]-Tabela4[[#This Row],[Tarefas Concluídas]]&gt;0,"Não","Sim")</f>
        <v>Não</v>
      </c>
      <c r="T258">
        <f>COUNTIFS(Tabela4[[#All],[Cenário]],Tabela4[[#This Row],[Cenário]],Tabela4[[#All],[Status]],Tabela4[[#Headers],[Elo - Em correção ]])</f>
        <v>0</v>
      </c>
      <c r="U258">
        <f>COUNTIFS(Tabela4[[#All],[Cenário]],Tabela4[[#This Row],[Cenário]],Tabela4[[#All],[Status]],Tabela4[[#Headers],[Keyuser - Aguardando tarefa precedente]])</f>
        <v>0</v>
      </c>
      <c r="V258">
        <f>COUNTIFS(Tabela4[[#All],[Cenário]],Tabela4[[#This Row],[Cenário]],Tabela4[[#All],[Status]],Tabela4[[#Headers],[Não liberado  para testes]])</f>
        <v>2</v>
      </c>
      <c r="W258" t="str">
        <f>IF(Tabela4[[#This Row],[Elo - Em correção ]]&gt;0,"Sim","Não")</f>
        <v>Não</v>
      </c>
      <c r="X258" t="str">
        <f>IF(Tabela4[[#This Row],[Keyuser - Aguardando tarefa precedente]]&gt;0,"Sim","Não")</f>
        <v>Não</v>
      </c>
      <c r="Y258" t="str">
        <f>IF(Tabela4[[#This Row],[Não liberado  para testes]]&gt;0,"Sim","Não")</f>
        <v>Sim</v>
      </c>
      <c r="Z258" t="str">
        <f ca="1">IF(Tabela4[[#This Row],[Status]]="Keyuser - Pendente",NETWORKDAYS(Tabela4[[#This Row],[Dt Inicial]],TODAY()),"")</f>
        <v/>
      </c>
      <c r="AA258" t="b">
        <f>AND(Tabela4[[#This Row],[Status]]="Keyuser - Aguardando tarefa precedente",K257="Keyuser - Concluído ")</f>
        <v>0</v>
      </c>
    </row>
    <row r="259" spans="1:27" x14ac:dyDescent="0.25">
      <c r="A259" t="str">
        <f>"OUT-"&amp;IFERROR(MID(Tabela4[[#This Row],[Cenário]],SEARCH("(",Tabela4[[#This Row],[Cenário]])+1,SEARCH(")",Tabela4[[#This Row],[Cenário]])-SEARCH("(",Tabela4[[#This Row],[Cenário]])-1),"")&amp;"_"&amp;ROW()</f>
        <v>OUT-YDEV_259</v>
      </c>
      <c r="B259" t="s">
        <v>374</v>
      </c>
      <c r="C259" t="s">
        <v>519</v>
      </c>
      <c r="D259" t="s">
        <v>286</v>
      </c>
      <c r="E259">
        <v>6</v>
      </c>
      <c r="F259" t="s">
        <v>286</v>
      </c>
      <c r="G259" t="s">
        <v>287</v>
      </c>
      <c r="H259" s="13"/>
      <c r="I259" s="13"/>
      <c r="J259" s="13"/>
      <c r="K259" s="9" t="s">
        <v>262</v>
      </c>
      <c r="N259" s="78"/>
      <c r="O259" s="31"/>
      <c r="P259" s="9"/>
      <c r="Q259" s="9">
        <f>COUNTIF(Tabela4[[#All],[Cenário]],Tabela4[[#This Row],[Cenário]])</f>
        <v>12</v>
      </c>
      <c r="R259">
        <f>COUNTIFS(Tabela4[[#All],[Cenário]],Tabela4[[#This Row],[Cenário]],Tabela4[[#All],[Status]],"Keyuser - Concluído ")</f>
        <v>10</v>
      </c>
      <c r="S259" t="str">
        <f>IF(Tabela4[[#This Row],[Tarefas por Cenário]]-Tabela4[[#This Row],[Tarefas Concluídas]]&gt;0,"Não","Sim")</f>
        <v>Não</v>
      </c>
      <c r="T259">
        <f>COUNTIFS(Tabela4[[#All],[Cenário]],Tabela4[[#This Row],[Cenário]],Tabela4[[#All],[Status]],Tabela4[[#Headers],[Elo - Em correção ]])</f>
        <v>0</v>
      </c>
      <c r="U259">
        <f>COUNTIFS(Tabela4[[#All],[Cenário]],Tabela4[[#This Row],[Cenário]],Tabela4[[#All],[Status]],Tabela4[[#Headers],[Keyuser - Aguardando tarefa precedente]])</f>
        <v>0</v>
      </c>
      <c r="V259">
        <f>COUNTIFS(Tabela4[[#All],[Cenário]],Tabela4[[#This Row],[Cenário]],Tabela4[[#All],[Status]],Tabela4[[#Headers],[Não liberado  para testes]])</f>
        <v>2</v>
      </c>
      <c r="W259" t="str">
        <f>IF(Tabela4[[#This Row],[Elo - Em correção ]]&gt;0,"Sim","Não")</f>
        <v>Não</v>
      </c>
      <c r="X259" t="str">
        <f>IF(Tabela4[[#This Row],[Keyuser - Aguardando tarefa precedente]]&gt;0,"Sim","Não")</f>
        <v>Não</v>
      </c>
      <c r="Y259" t="str">
        <f>IF(Tabela4[[#This Row],[Não liberado  para testes]]&gt;0,"Sim","Não")</f>
        <v>Sim</v>
      </c>
      <c r="Z259" t="str">
        <f ca="1">IF(Tabela4[[#This Row],[Status]]="Keyuser - Pendente",NETWORKDAYS(Tabela4[[#This Row],[Dt Inicial]],TODAY()),"")</f>
        <v/>
      </c>
      <c r="AA259" t="b">
        <f>AND(Tabela4[[#This Row],[Status]]="Keyuser - Aguardando tarefa precedente",K258="Keyuser - Concluído ")</f>
        <v>0</v>
      </c>
    </row>
    <row r="260" spans="1:27" x14ac:dyDescent="0.25">
      <c r="A260" t="str">
        <f>"OUT-"&amp;IFERROR(MID(Tabela4[[#This Row],[Cenário]],SEARCH("(",Tabela4[[#This Row],[Cenário]])+1,SEARCH(")",Tabela4[[#This Row],[Cenário]])-SEARCH("(",Tabela4[[#This Row],[Cenário]])-1),"")&amp;"_"&amp;ROW()</f>
        <v>OUT-YRET_260</v>
      </c>
      <c r="B260" t="s">
        <v>358</v>
      </c>
      <c r="C260" t="s">
        <v>522</v>
      </c>
      <c r="D260" t="s">
        <v>360</v>
      </c>
      <c r="E260">
        <v>1</v>
      </c>
      <c r="F260" t="s">
        <v>360</v>
      </c>
      <c r="G260" t="s">
        <v>377</v>
      </c>
      <c r="H260" s="13">
        <v>60668335</v>
      </c>
      <c r="I260" s="13"/>
      <c r="J260" s="13"/>
      <c r="K260" s="9" t="s">
        <v>271</v>
      </c>
      <c r="L260" s="78">
        <v>45958</v>
      </c>
      <c r="N260" s="78">
        <v>45958</v>
      </c>
      <c r="O260" s="31"/>
      <c r="P260" s="9"/>
      <c r="Q260" s="9">
        <f>COUNTIF(Tabela4[[#All],[Cenário]],Tabela4[[#This Row],[Cenário]])</f>
        <v>12</v>
      </c>
      <c r="R260">
        <f>COUNTIFS(Tabela4[[#All],[Cenário]],Tabela4[[#This Row],[Cenário]],Tabela4[[#All],[Status]],"Keyuser - Concluído ")</f>
        <v>10</v>
      </c>
      <c r="S260" t="str">
        <f>IF(Tabela4[[#This Row],[Tarefas por Cenário]]-Tabela4[[#This Row],[Tarefas Concluídas]]&gt;0,"Não","Sim")</f>
        <v>Não</v>
      </c>
      <c r="T260">
        <f>COUNTIFS(Tabela4[[#All],[Cenário]],Tabela4[[#This Row],[Cenário]],Tabela4[[#All],[Status]],Tabela4[[#Headers],[Elo - Em correção ]])</f>
        <v>0</v>
      </c>
      <c r="U260">
        <f>COUNTIFS(Tabela4[[#All],[Cenário]],Tabela4[[#This Row],[Cenário]],Tabela4[[#All],[Status]],Tabela4[[#Headers],[Keyuser - Aguardando tarefa precedente]])</f>
        <v>0</v>
      </c>
      <c r="V260">
        <f>COUNTIFS(Tabela4[[#All],[Cenário]],Tabela4[[#This Row],[Cenário]],Tabela4[[#All],[Status]],Tabela4[[#Headers],[Não liberado  para testes]])</f>
        <v>2</v>
      </c>
      <c r="W260" t="str">
        <f>IF(Tabela4[[#This Row],[Elo - Em correção ]]&gt;0,"Sim","Não")</f>
        <v>Não</v>
      </c>
      <c r="X260" t="str">
        <f>IF(Tabela4[[#This Row],[Keyuser - Aguardando tarefa precedente]]&gt;0,"Sim","Não")</f>
        <v>Não</v>
      </c>
      <c r="Y260" t="str">
        <f>IF(Tabela4[[#This Row],[Não liberado  para testes]]&gt;0,"Sim","Não")</f>
        <v>Sim</v>
      </c>
      <c r="Z260" t="str">
        <f ca="1">IF(Tabela4[[#This Row],[Status]]="Keyuser - Pendente",NETWORKDAYS(Tabela4[[#This Row],[Dt Inicial]],TODAY()),"")</f>
        <v/>
      </c>
      <c r="AA260" t="b">
        <f>AND(Tabela4[[#This Row],[Status]]="Keyuser - Aguardando tarefa precedente",K259="Keyuser - Concluído ")</f>
        <v>0</v>
      </c>
    </row>
    <row r="261" spans="1:27" x14ac:dyDescent="0.25">
      <c r="A261" t="str">
        <f>"OUT-"&amp;IFERROR(MID(Tabela4[[#This Row],[Cenário]],SEARCH("(",Tabela4[[#This Row],[Cenário]])+1,SEARCH(")",Tabela4[[#This Row],[Cenário]])-SEARCH("(",Tabela4[[#This Row],[Cenário]])-1),"")&amp;"_"&amp;ROW()</f>
        <v>OUT-YRET_261</v>
      </c>
      <c r="B261" t="s">
        <v>358</v>
      </c>
      <c r="C261" t="s">
        <v>522</v>
      </c>
      <c r="D261" t="s">
        <v>365</v>
      </c>
      <c r="E261">
        <v>2</v>
      </c>
      <c r="F261" t="s">
        <v>365</v>
      </c>
      <c r="G261" t="s">
        <v>310</v>
      </c>
      <c r="H261" s="13">
        <v>60668335</v>
      </c>
      <c r="I261" s="13"/>
      <c r="J261" s="13"/>
      <c r="K261" s="9" t="s">
        <v>271</v>
      </c>
      <c r="L261" s="78">
        <v>45958</v>
      </c>
      <c r="N261" s="78">
        <v>45958</v>
      </c>
      <c r="O261" s="31"/>
      <c r="P261" s="9"/>
      <c r="Q261" s="9">
        <f>COUNTIF(Tabela4[[#All],[Cenário]],Tabela4[[#This Row],[Cenário]])</f>
        <v>12</v>
      </c>
      <c r="R261">
        <f>COUNTIFS(Tabela4[[#All],[Cenário]],Tabela4[[#This Row],[Cenário]],Tabela4[[#All],[Status]],"Keyuser - Concluído ")</f>
        <v>10</v>
      </c>
      <c r="S261" t="str">
        <f>IF(Tabela4[[#This Row],[Tarefas por Cenário]]-Tabela4[[#This Row],[Tarefas Concluídas]]&gt;0,"Não","Sim")</f>
        <v>Não</v>
      </c>
      <c r="T261">
        <f>COUNTIFS(Tabela4[[#All],[Cenário]],Tabela4[[#This Row],[Cenário]],Tabela4[[#All],[Status]],Tabela4[[#Headers],[Elo - Em correção ]])</f>
        <v>0</v>
      </c>
      <c r="U261">
        <f>COUNTIFS(Tabela4[[#All],[Cenário]],Tabela4[[#This Row],[Cenário]],Tabela4[[#All],[Status]],Tabela4[[#Headers],[Keyuser - Aguardando tarefa precedente]])</f>
        <v>0</v>
      </c>
      <c r="V261">
        <f>COUNTIFS(Tabela4[[#All],[Cenário]],Tabela4[[#This Row],[Cenário]],Tabela4[[#All],[Status]],Tabela4[[#Headers],[Não liberado  para testes]])</f>
        <v>2</v>
      </c>
      <c r="W261" t="str">
        <f>IF(Tabela4[[#This Row],[Elo - Em correção ]]&gt;0,"Sim","Não")</f>
        <v>Não</v>
      </c>
      <c r="X261" t="str">
        <f>IF(Tabela4[[#This Row],[Keyuser - Aguardando tarefa precedente]]&gt;0,"Sim","Não")</f>
        <v>Não</v>
      </c>
      <c r="Y261" t="str">
        <f>IF(Tabela4[[#This Row],[Não liberado  para testes]]&gt;0,"Sim","Não")</f>
        <v>Sim</v>
      </c>
      <c r="Z261" t="str">
        <f ca="1">IF(Tabela4[[#This Row],[Status]]="Keyuser - Pendente",NETWORKDAYS(Tabela4[[#This Row],[Dt Inicial]],TODAY()),"")</f>
        <v/>
      </c>
      <c r="AA261" t="b">
        <f>AND(Tabela4[[#This Row],[Status]]="Keyuser - Aguardando tarefa precedente",K260="Keyuser - Concluído ")</f>
        <v>0</v>
      </c>
    </row>
    <row r="262" spans="1:27" x14ac:dyDescent="0.25">
      <c r="A262" t="str">
        <f>"OUT-"&amp;IFERROR(MID(Tabela4[[#This Row],[Cenário]],SEARCH("(",Tabela4[[#This Row],[Cenário]])+1,SEARCH(")",Tabela4[[#This Row],[Cenário]])-SEARCH("(",Tabela4[[#This Row],[Cenário]])-1),"")&amp;"_"&amp;ROW()</f>
        <v>OUT-YRET_262</v>
      </c>
      <c r="B262" t="s">
        <v>358</v>
      </c>
      <c r="C262" t="s">
        <v>522</v>
      </c>
      <c r="D262" t="s">
        <v>368</v>
      </c>
      <c r="E262">
        <v>3</v>
      </c>
      <c r="F262" t="s">
        <v>368</v>
      </c>
      <c r="G262" t="s">
        <v>377</v>
      </c>
      <c r="H262" s="13" t="s">
        <v>523</v>
      </c>
      <c r="I262" s="13"/>
      <c r="J262" s="13"/>
      <c r="K262" s="9" t="s">
        <v>271</v>
      </c>
      <c r="L262" s="78">
        <v>45959</v>
      </c>
      <c r="N262" s="78">
        <v>45959</v>
      </c>
      <c r="O262" s="31" t="s">
        <v>524</v>
      </c>
      <c r="P262" s="9"/>
      <c r="Q262" s="9">
        <f>COUNTIF(Tabela4[[#All],[Cenário]],Tabela4[[#This Row],[Cenário]])</f>
        <v>12</v>
      </c>
      <c r="R262">
        <f>COUNTIFS(Tabela4[[#All],[Cenário]],Tabela4[[#This Row],[Cenário]],Tabela4[[#All],[Status]],"Keyuser - Concluído ")</f>
        <v>10</v>
      </c>
      <c r="S262" t="str">
        <f>IF(Tabela4[[#This Row],[Tarefas por Cenário]]-Tabela4[[#This Row],[Tarefas Concluídas]]&gt;0,"Não","Sim")</f>
        <v>Não</v>
      </c>
      <c r="T262">
        <f>COUNTIFS(Tabela4[[#All],[Cenário]],Tabela4[[#This Row],[Cenário]],Tabela4[[#All],[Status]],Tabela4[[#Headers],[Elo - Em correção ]])</f>
        <v>0</v>
      </c>
      <c r="U262">
        <f>COUNTIFS(Tabela4[[#All],[Cenário]],Tabela4[[#This Row],[Cenário]],Tabela4[[#All],[Status]],Tabela4[[#Headers],[Keyuser - Aguardando tarefa precedente]])</f>
        <v>0</v>
      </c>
      <c r="V262">
        <f>COUNTIFS(Tabela4[[#All],[Cenário]],Tabela4[[#This Row],[Cenário]],Tabela4[[#All],[Status]],Tabela4[[#Headers],[Não liberado  para testes]])</f>
        <v>2</v>
      </c>
      <c r="W262" t="str">
        <f>IF(Tabela4[[#This Row],[Elo - Em correção ]]&gt;0,"Sim","Não")</f>
        <v>Não</v>
      </c>
      <c r="X262" t="str">
        <f>IF(Tabela4[[#This Row],[Keyuser - Aguardando tarefa precedente]]&gt;0,"Sim","Não")</f>
        <v>Não</v>
      </c>
      <c r="Y262" t="str">
        <f>IF(Tabela4[[#This Row],[Não liberado  para testes]]&gt;0,"Sim","Não")</f>
        <v>Sim</v>
      </c>
      <c r="Z262" t="str">
        <f ca="1">IF(Tabela4[[#This Row],[Status]]="Keyuser - Pendente",NETWORKDAYS(Tabela4[[#This Row],[Dt Inicial]],TODAY()),"")</f>
        <v/>
      </c>
      <c r="AA262" t="b">
        <f>AND(Tabela4[[#This Row],[Status]]="Keyuser - Aguardando tarefa precedente",K261="Keyuser - Concluído ")</f>
        <v>0</v>
      </c>
    </row>
    <row r="263" spans="1:27" x14ac:dyDescent="0.25">
      <c r="A263" t="str">
        <f>"OUT-"&amp;IFERROR(MID(Tabela4[[#This Row],[Cenário]],SEARCH("(",Tabela4[[#This Row],[Cenário]])+1,SEARCH(")",Tabela4[[#This Row],[Cenário]])-SEARCH("(",Tabela4[[#This Row],[Cenário]])-1),"")&amp;"_"&amp;ROW()</f>
        <v>OUT-YRET_263</v>
      </c>
      <c r="B263" t="s">
        <v>358</v>
      </c>
      <c r="C263" t="s">
        <v>522</v>
      </c>
      <c r="D263" t="s">
        <v>371</v>
      </c>
      <c r="E263">
        <v>4</v>
      </c>
      <c r="F263" t="s">
        <v>372</v>
      </c>
      <c r="G263" t="s">
        <v>287</v>
      </c>
      <c r="H263" s="13" t="s">
        <v>523</v>
      </c>
      <c r="I263" s="13"/>
      <c r="J263" s="13"/>
      <c r="K263" s="9" t="s">
        <v>271</v>
      </c>
      <c r="L263" s="78">
        <v>45960</v>
      </c>
      <c r="N263" s="78">
        <v>45960</v>
      </c>
      <c r="O263" s="31"/>
      <c r="P263" s="9"/>
      <c r="Q263" s="9">
        <f>COUNTIF(Tabela4[[#All],[Cenário]],Tabela4[[#This Row],[Cenário]])</f>
        <v>12</v>
      </c>
      <c r="R263">
        <f>COUNTIFS(Tabela4[[#All],[Cenário]],Tabela4[[#This Row],[Cenário]],Tabela4[[#All],[Status]],"Keyuser - Concluído ")</f>
        <v>10</v>
      </c>
      <c r="S263" t="str">
        <f>IF(Tabela4[[#This Row],[Tarefas por Cenário]]-Tabela4[[#This Row],[Tarefas Concluídas]]&gt;0,"Não","Sim")</f>
        <v>Não</v>
      </c>
      <c r="T263">
        <f>COUNTIFS(Tabela4[[#All],[Cenário]],Tabela4[[#This Row],[Cenário]],Tabela4[[#All],[Status]],Tabela4[[#Headers],[Elo - Em correção ]])</f>
        <v>0</v>
      </c>
      <c r="U263">
        <f>COUNTIFS(Tabela4[[#All],[Cenário]],Tabela4[[#This Row],[Cenário]],Tabela4[[#All],[Status]],Tabela4[[#Headers],[Keyuser - Aguardando tarefa precedente]])</f>
        <v>0</v>
      </c>
      <c r="V263">
        <f>COUNTIFS(Tabela4[[#All],[Cenário]],Tabela4[[#This Row],[Cenário]],Tabela4[[#All],[Status]],Tabela4[[#Headers],[Não liberado  para testes]])</f>
        <v>2</v>
      </c>
      <c r="W263" t="str">
        <f>IF(Tabela4[[#This Row],[Elo - Em correção ]]&gt;0,"Sim","Não")</f>
        <v>Não</v>
      </c>
      <c r="X263" t="str">
        <f>IF(Tabela4[[#This Row],[Keyuser - Aguardando tarefa precedente]]&gt;0,"Sim","Não")</f>
        <v>Não</v>
      </c>
      <c r="Y263" t="str">
        <f>IF(Tabela4[[#This Row],[Não liberado  para testes]]&gt;0,"Sim","Não")</f>
        <v>Sim</v>
      </c>
      <c r="Z263" t="str">
        <f ca="1">IF(Tabela4[[#This Row],[Status]]="Keyuser - Pendente",NETWORKDAYS(Tabela4[[#This Row],[Dt Inicial]],TODAY()),"")</f>
        <v/>
      </c>
      <c r="AA263" t="b">
        <f>AND(Tabela4[[#This Row],[Status]]="Keyuser - Aguardando tarefa precedente",K262="Keyuser - Concluído ")</f>
        <v>0</v>
      </c>
    </row>
    <row r="264" spans="1:27" x14ac:dyDescent="0.25">
      <c r="A264" t="str">
        <f>"OUT-"&amp;IFERROR(MID(Tabela4[[#This Row],[Cenário]],SEARCH("(",Tabela4[[#This Row],[Cenário]])+1,SEARCH(")",Tabela4[[#This Row],[Cenário]])-SEARCH("(",Tabela4[[#This Row],[Cenário]])-1),"")&amp;"_"&amp;ROW()</f>
        <v>OUT-YRET_264</v>
      </c>
      <c r="B264" t="s">
        <v>358</v>
      </c>
      <c r="C264" t="s">
        <v>522</v>
      </c>
      <c r="D264" t="s">
        <v>373</v>
      </c>
      <c r="E264">
        <v>5</v>
      </c>
      <c r="F264" t="s">
        <v>373</v>
      </c>
      <c r="G264" t="s">
        <v>283</v>
      </c>
      <c r="H264" s="13" t="s">
        <v>523</v>
      </c>
      <c r="I264" s="13"/>
      <c r="J264" s="13"/>
      <c r="K264" s="9" t="s">
        <v>271</v>
      </c>
      <c r="L264" s="78">
        <v>45960</v>
      </c>
      <c r="N264" s="78">
        <v>45960</v>
      </c>
      <c r="O264" s="31"/>
      <c r="P264" s="9"/>
      <c r="Q264" s="9">
        <f>COUNTIF(Tabela4[[#All],[Cenário]],Tabela4[[#This Row],[Cenário]])</f>
        <v>12</v>
      </c>
      <c r="R264">
        <f>COUNTIFS(Tabela4[[#All],[Cenário]],Tabela4[[#This Row],[Cenário]],Tabela4[[#All],[Status]],"Keyuser - Concluído ")</f>
        <v>10</v>
      </c>
      <c r="S264" t="str">
        <f>IF(Tabela4[[#This Row],[Tarefas por Cenário]]-Tabela4[[#This Row],[Tarefas Concluídas]]&gt;0,"Não","Sim")</f>
        <v>Não</v>
      </c>
      <c r="T264">
        <f>COUNTIFS(Tabela4[[#All],[Cenário]],Tabela4[[#This Row],[Cenário]],Tabela4[[#All],[Status]],Tabela4[[#Headers],[Elo - Em correção ]])</f>
        <v>0</v>
      </c>
      <c r="U264">
        <f>COUNTIFS(Tabela4[[#All],[Cenário]],Tabela4[[#This Row],[Cenário]],Tabela4[[#All],[Status]],Tabela4[[#Headers],[Keyuser - Aguardando tarefa precedente]])</f>
        <v>0</v>
      </c>
      <c r="V264">
        <f>COUNTIFS(Tabela4[[#All],[Cenário]],Tabela4[[#This Row],[Cenário]],Tabela4[[#All],[Status]],Tabela4[[#Headers],[Não liberado  para testes]])</f>
        <v>2</v>
      </c>
      <c r="W264" t="str">
        <f>IF(Tabela4[[#This Row],[Elo - Em correção ]]&gt;0,"Sim","Não")</f>
        <v>Não</v>
      </c>
      <c r="X264" t="str">
        <f>IF(Tabela4[[#This Row],[Keyuser - Aguardando tarefa precedente]]&gt;0,"Sim","Não")</f>
        <v>Não</v>
      </c>
      <c r="Y264" t="str">
        <f>IF(Tabela4[[#This Row],[Não liberado  para testes]]&gt;0,"Sim","Não")</f>
        <v>Sim</v>
      </c>
      <c r="Z264" t="str">
        <f ca="1">IF(Tabela4[[#This Row],[Status]]="Keyuser - Pendente",NETWORKDAYS(Tabela4[[#This Row],[Dt Inicial]],TODAY()),"")</f>
        <v/>
      </c>
      <c r="AA264" t="b">
        <f>AND(Tabela4[[#This Row],[Status]]="Keyuser - Aguardando tarefa precedente",K263="Keyuser - Concluído ")</f>
        <v>0</v>
      </c>
    </row>
    <row r="265" spans="1:27" x14ac:dyDescent="0.25">
      <c r="A265" t="str">
        <f>"OUT-"&amp;IFERROR(MID(Tabela4[[#This Row],[Cenário]],SEARCH("(",Tabela4[[#This Row],[Cenário]])+1,SEARCH(")",Tabela4[[#This Row],[Cenário]])-SEARCH("(",Tabela4[[#This Row],[Cenário]])-1),"")&amp;"_"&amp;ROW()</f>
        <v>OUT-YRET_265</v>
      </c>
      <c r="B265" t="s">
        <v>374</v>
      </c>
      <c r="C265" t="s">
        <v>522</v>
      </c>
      <c r="D265" t="s">
        <v>286</v>
      </c>
      <c r="E265">
        <v>6</v>
      </c>
      <c r="F265" t="s">
        <v>286</v>
      </c>
      <c r="G265" t="s">
        <v>287</v>
      </c>
      <c r="H265" s="13"/>
      <c r="I265" s="13"/>
      <c r="J265" s="13"/>
      <c r="K265" s="9" t="s">
        <v>262</v>
      </c>
      <c r="N265" s="78"/>
      <c r="O265" s="31"/>
      <c r="P265" s="9"/>
      <c r="Q265" s="9">
        <f>COUNTIF(Tabela4[[#All],[Cenário]],Tabela4[[#This Row],[Cenário]])</f>
        <v>12</v>
      </c>
      <c r="R265">
        <f>COUNTIFS(Tabela4[[#All],[Cenário]],Tabela4[[#This Row],[Cenário]],Tabela4[[#All],[Status]],"Keyuser - Concluído ")</f>
        <v>10</v>
      </c>
      <c r="S265" t="str">
        <f>IF(Tabela4[[#This Row],[Tarefas por Cenário]]-Tabela4[[#This Row],[Tarefas Concluídas]]&gt;0,"Não","Sim")</f>
        <v>Não</v>
      </c>
      <c r="T265">
        <f>COUNTIFS(Tabela4[[#All],[Cenário]],Tabela4[[#This Row],[Cenário]],Tabela4[[#All],[Status]],Tabela4[[#Headers],[Elo - Em correção ]])</f>
        <v>0</v>
      </c>
      <c r="U265">
        <f>COUNTIFS(Tabela4[[#All],[Cenário]],Tabela4[[#This Row],[Cenário]],Tabela4[[#All],[Status]],Tabela4[[#Headers],[Keyuser - Aguardando tarefa precedente]])</f>
        <v>0</v>
      </c>
      <c r="V265">
        <f>COUNTIFS(Tabela4[[#All],[Cenário]],Tabela4[[#This Row],[Cenário]],Tabela4[[#All],[Status]],Tabela4[[#Headers],[Não liberado  para testes]])</f>
        <v>2</v>
      </c>
      <c r="W265" t="str">
        <f>IF(Tabela4[[#This Row],[Elo - Em correção ]]&gt;0,"Sim","Não")</f>
        <v>Não</v>
      </c>
      <c r="X265" t="str">
        <f>IF(Tabela4[[#This Row],[Keyuser - Aguardando tarefa precedente]]&gt;0,"Sim","Não")</f>
        <v>Não</v>
      </c>
      <c r="Y265" t="str">
        <f>IF(Tabela4[[#This Row],[Não liberado  para testes]]&gt;0,"Sim","Não")</f>
        <v>Sim</v>
      </c>
      <c r="Z265" t="str">
        <f ca="1">IF(Tabela4[[#This Row],[Status]]="Keyuser - Pendente",NETWORKDAYS(Tabela4[[#This Row],[Dt Inicial]],TODAY()),"")</f>
        <v/>
      </c>
      <c r="AA265" t="b">
        <f>AND(Tabela4[[#This Row],[Status]]="Keyuser - Aguardando tarefa precedente",K264="Keyuser - Concluído ")</f>
        <v>0</v>
      </c>
    </row>
    <row r="266" spans="1:27" x14ac:dyDescent="0.25">
      <c r="A266" t="str">
        <f>"OUT-"&amp;IFERROR(MID(Tabela4[[#This Row],[Cenário]],SEARCH("(",Tabela4[[#This Row],[Cenário]])+1,SEARCH(")",Tabela4[[#This Row],[Cenário]])-SEARCH("(",Tabela4[[#This Row],[Cenário]])-1),"")&amp;"_"&amp;ROW()</f>
        <v>OUT-Y073_266</v>
      </c>
      <c r="B266" t="s">
        <v>358</v>
      </c>
      <c r="C266" t="s">
        <v>525</v>
      </c>
      <c r="D266" t="s">
        <v>360</v>
      </c>
      <c r="E266">
        <v>1</v>
      </c>
      <c r="F266" t="s">
        <v>360</v>
      </c>
      <c r="G266" t="s">
        <v>361</v>
      </c>
      <c r="H266" s="18" t="s">
        <v>526</v>
      </c>
      <c r="I266" s="9" t="s">
        <v>527</v>
      </c>
      <c r="J266" s="9" t="s">
        <v>364</v>
      </c>
      <c r="K266" s="9" t="s">
        <v>271</v>
      </c>
      <c r="L266" s="78">
        <v>45950</v>
      </c>
      <c r="N266" s="78">
        <v>45950</v>
      </c>
      <c r="O266" s="31"/>
      <c r="P266" s="9"/>
      <c r="Q266" s="9">
        <f>COUNTIF(Tabela4[[#All],[Cenário]],Tabela4[[#This Row],[Cenário]])</f>
        <v>8</v>
      </c>
      <c r="R266">
        <f>COUNTIFS(Tabela4[[#All],[Cenário]],Tabela4[[#This Row],[Cenário]],Tabela4[[#All],[Status]],"Keyuser - Concluído ")</f>
        <v>7</v>
      </c>
      <c r="S266" t="str">
        <f>IF(Tabela4[[#This Row],[Tarefas por Cenário]]-Tabela4[[#This Row],[Tarefas Concluídas]]&gt;0,"Não","Sim")</f>
        <v>Não</v>
      </c>
      <c r="T266">
        <f>COUNTIFS(Tabela4[[#All],[Cenário]],Tabela4[[#This Row],[Cenário]],Tabela4[[#All],[Status]],Tabela4[[#Headers],[Elo - Em correção ]])</f>
        <v>0</v>
      </c>
      <c r="U266">
        <f>COUNTIFS(Tabela4[[#All],[Cenário]],Tabela4[[#This Row],[Cenário]],Tabela4[[#All],[Status]],Tabela4[[#Headers],[Keyuser - Aguardando tarefa precedente]])</f>
        <v>0</v>
      </c>
      <c r="V266">
        <f>COUNTIFS(Tabela4[[#All],[Cenário]],Tabela4[[#This Row],[Cenário]],Tabela4[[#All],[Status]],Tabela4[[#Headers],[Não liberado  para testes]])</f>
        <v>1</v>
      </c>
      <c r="W266" t="str">
        <f>IF(Tabela4[[#This Row],[Elo - Em correção ]]&gt;0,"Sim","Não")</f>
        <v>Não</v>
      </c>
      <c r="X266" t="str">
        <f>IF(Tabela4[[#This Row],[Keyuser - Aguardando tarefa precedente]]&gt;0,"Sim","Não")</f>
        <v>Não</v>
      </c>
      <c r="Y266" t="str">
        <f>IF(Tabela4[[#This Row],[Não liberado  para testes]]&gt;0,"Sim","Não")</f>
        <v>Sim</v>
      </c>
      <c r="Z266" t="str">
        <f ca="1">IF(Tabela4[[#This Row],[Status]]="Keyuser - Pendente",NETWORKDAYS(Tabela4[[#This Row],[Dt Inicial]],TODAY()),"")</f>
        <v/>
      </c>
      <c r="AA266" t="b">
        <f>AND(Tabela4[[#This Row],[Status]]="Keyuser - Aguardando tarefa precedente",K265="Keyuser - Concluído ")</f>
        <v>0</v>
      </c>
    </row>
    <row r="267" spans="1:27" x14ac:dyDescent="0.25">
      <c r="A267" t="str">
        <f>"OUT-"&amp;IFERROR(MID(Tabela4[[#This Row],[Cenário]],SEARCH("(",Tabela4[[#This Row],[Cenário]])+1,SEARCH(")",Tabela4[[#This Row],[Cenário]])-SEARCH("(",Tabela4[[#This Row],[Cenário]])-1),"")&amp;"_"&amp;ROW()</f>
        <v>OUT-Y073_267</v>
      </c>
      <c r="B267" t="s">
        <v>358</v>
      </c>
      <c r="C267" t="s">
        <v>525</v>
      </c>
      <c r="D267" t="s">
        <v>365</v>
      </c>
      <c r="E267">
        <v>2</v>
      </c>
      <c r="F267" t="s">
        <v>365</v>
      </c>
      <c r="G267" t="s">
        <v>310</v>
      </c>
      <c r="H267" s="18" t="s">
        <v>526</v>
      </c>
      <c r="I267" s="9" t="s">
        <v>527</v>
      </c>
      <c r="J267" s="9" t="s">
        <v>364</v>
      </c>
      <c r="K267" s="9" t="s">
        <v>271</v>
      </c>
      <c r="L267" s="78">
        <v>45951</v>
      </c>
      <c r="N267" s="78">
        <v>45951</v>
      </c>
      <c r="O267" s="31"/>
      <c r="P267" s="9"/>
      <c r="Q267" s="9">
        <f>COUNTIF(Tabela4[[#All],[Cenário]],Tabela4[[#This Row],[Cenário]])</f>
        <v>8</v>
      </c>
      <c r="R267">
        <f>COUNTIFS(Tabela4[[#All],[Cenário]],Tabela4[[#This Row],[Cenário]],Tabela4[[#All],[Status]],"Keyuser - Concluído ")</f>
        <v>7</v>
      </c>
      <c r="S267" t="str">
        <f>IF(Tabela4[[#This Row],[Tarefas por Cenário]]-Tabela4[[#This Row],[Tarefas Concluídas]]&gt;0,"Não","Sim")</f>
        <v>Não</v>
      </c>
      <c r="T267">
        <f>COUNTIFS(Tabela4[[#All],[Cenário]],Tabela4[[#This Row],[Cenário]],Tabela4[[#All],[Status]],Tabela4[[#Headers],[Elo - Em correção ]])</f>
        <v>0</v>
      </c>
      <c r="U267">
        <f>COUNTIFS(Tabela4[[#All],[Cenário]],Tabela4[[#This Row],[Cenário]],Tabela4[[#All],[Status]],Tabela4[[#Headers],[Keyuser - Aguardando tarefa precedente]])</f>
        <v>0</v>
      </c>
      <c r="V267">
        <f>COUNTIFS(Tabela4[[#All],[Cenário]],Tabela4[[#This Row],[Cenário]],Tabela4[[#All],[Status]],Tabela4[[#Headers],[Não liberado  para testes]])</f>
        <v>1</v>
      </c>
      <c r="W267" t="str">
        <f>IF(Tabela4[[#This Row],[Elo - Em correção ]]&gt;0,"Sim","Não")</f>
        <v>Não</v>
      </c>
      <c r="X267" t="str">
        <f>IF(Tabela4[[#This Row],[Keyuser - Aguardando tarefa precedente]]&gt;0,"Sim","Não")</f>
        <v>Não</v>
      </c>
      <c r="Y267" t="str">
        <f>IF(Tabela4[[#This Row],[Não liberado  para testes]]&gt;0,"Sim","Não")</f>
        <v>Sim</v>
      </c>
      <c r="Z267" t="str">
        <f ca="1">IF(Tabela4[[#This Row],[Status]]="Keyuser - Pendente",NETWORKDAYS(Tabela4[[#This Row],[Dt Inicial]],TODAY()),"")</f>
        <v/>
      </c>
      <c r="AA267" t="b">
        <f>AND(Tabela4[[#This Row],[Status]]="Keyuser - Aguardando tarefa precedente",K266="Keyuser - Concluído ")</f>
        <v>0</v>
      </c>
    </row>
    <row r="268" spans="1:27" x14ac:dyDescent="0.25">
      <c r="A268" t="str">
        <f>"OUT-"&amp;IFERROR(MID(Tabela4[[#This Row],[Cenário]],SEARCH("(",Tabela4[[#This Row],[Cenário]])+1,SEARCH(")",Tabela4[[#This Row],[Cenário]])-SEARCH("(",Tabela4[[#This Row],[Cenário]])-1),"")&amp;"_"&amp;ROW()</f>
        <v>OUT-Y073_268</v>
      </c>
      <c r="B268" t="s">
        <v>358</v>
      </c>
      <c r="C268" t="s">
        <v>525</v>
      </c>
      <c r="D268" t="s">
        <v>366</v>
      </c>
      <c r="E268">
        <v>3</v>
      </c>
      <c r="F268" t="s">
        <v>366</v>
      </c>
      <c r="G268" t="s">
        <v>367</v>
      </c>
      <c r="H268" s="18" t="s">
        <v>526</v>
      </c>
      <c r="I268" s="9" t="s">
        <v>527</v>
      </c>
      <c r="J268" s="9" t="s">
        <v>364</v>
      </c>
      <c r="K268" s="9" t="s">
        <v>271</v>
      </c>
      <c r="L268" s="78">
        <v>45951</v>
      </c>
      <c r="N268" s="78">
        <v>45951</v>
      </c>
      <c r="O268" s="31"/>
      <c r="P268" s="9"/>
      <c r="Q268" s="9">
        <f>COUNTIF(Tabela4[[#All],[Cenário]],Tabela4[[#This Row],[Cenário]])</f>
        <v>8</v>
      </c>
      <c r="R268">
        <f>COUNTIFS(Tabela4[[#All],[Cenário]],Tabela4[[#This Row],[Cenário]],Tabela4[[#All],[Status]],"Keyuser - Concluído ")</f>
        <v>7</v>
      </c>
      <c r="S268" t="str">
        <f>IF(Tabela4[[#This Row],[Tarefas por Cenário]]-Tabela4[[#This Row],[Tarefas Concluídas]]&gt;0,"Não","Sim")</f>
        <v>Não</v>
      </c>
      <c r="T268">
        <f>COUNTIFS(Tabela4[[#All],[Cenário]],Tabela4[[#This Row],[Cenário]],Tabela4[[#All],[Status]],Tabela4[[#Headers],[Elo - Em correção ]])</f>
        <v>0</v>
      </c>
      <c r="U268">
        <f>COUNTIFS(Tabela4[[#All],[Cenário]],Tabela4[[#This Row],[Cenário]],Tabela4[[#All],[Status]],Tabela4[[#Headers],[Keyuser - Aguardando tarefa precedente]])</f>
        <v>0</v>
      </c>
      <c r="V268">
        <f>COUNTIFS(Tabela4[[#All],[Cenário]],Tabela4[[#This Row],[Cenário]],Tabela4[[#All],[Status]],Tabela4[[#Headers],[Não liberado  para testes]])</f>
        <v>1</v>
      </c>
      <c r="W268" t="str">
        <f>IF(Tabela4[[#This Row],[Elo - Em correção ]]&gt;0,"Sim","Não")</f>
        <v>Não</v>
      </c>
      <c r="X268" t="str">
        <f>IF(Tabela4[[#This Row],[Keyuser - Aguardando tarefa precedente]]&gt;0,"Sim","Não")</f>
        <v>Não</v>
      </c>
      <c r="Y268" t="str">
        <f>IF(Tabela4[[#This Row],[Não liberado  para testes]]&gt;0,"Sim","Não")</f>
        <v>Sim</v>
      </c>
      <c r="Z268" t="str">
        <f ca="1">IF(Tabela4[[#This Row],[Status]]="Keyuser - Pendente",NETWORKDAYS(Tabela4[[#This Row],[Dt Inicial]],TODAY()),"")</f>
        <v/>
      </c>
      <c r="AA268" t="b">
        <f>AND(Tabela4[[#This Row],[Status]]="Keyuser - Aguardando tarefa precedente",K267="Keyuser - Concluído ")</f>
        <v>0</v>
      </c>
    </row>
    <row r="269" spans="1:27" x14ac:dyDescent="0.25">
      <c r="A269" t="str">
        <f>"OUT-"&amp;IFERROR(MID(Tabela4[[#This Row],[Cenário]],SEARCH("(",Tabela4[[#This Row],[Cenário]])+1,SEARCH(")",Tabela4[[#This Row],[Cenário]])-SEARCH("(",Tabela4[[#This Row],[Cenário]])-1),"")&amp;"_"&amp;ROW()</f>
        <v>OUT-Y073_269</v>
      </c>
      <c r="B269" t="s">
        <v>358</v>
      </c>
      <c r="C269" t="s">
        <v>525</v>
      </c>
      <c r="D269" t="s">
        <v>368</v>
      </c>
      <c r="E269">
        <v>4</v>
      </c>
      <c r="F269" t="s">
        <v>368</v>
      </c>
      <c r="G269" t="s">
        <v>369</v>
      </c>
      <c r="H269" s="13" t="s">
        <v>528</v>
      </c>
      <c r="K269" s="9" t="s">
        <v>271</v>
      </c>
      <c r="L269" s="78">
        <v>45951</v>
      </c>
      <c r="N269" s="78">
        <v>45951</v>
      </c>
      <c r="O269" s="31"/>
      <c r="P269" s="9"/>
      <c r="Q269" s="9">
        <f>COUNTIF(Tabela4[[#All],[Cenário]],Tabela4[[#This Row],[Cenário]])</f>
        <v>8</v>
      </c>
      <c r="R269">
        <f>COUNTIFS(Tabela4[[#All],[Cenário]],Tabela4[[#This Row],[Cenário]],Tabela4[[#All],[Status]],"Keyuser - Concluído ")</f>
        <v>7</v>
      </c>
      <c r="S269" t="str">
        <f>IF(Tabela4[[#This Row],[Tarefas por Cenário]]-Tabela4[[#This Row],[Tarefas Concluídas]]&gt;0,"Não","Sim")</f>
        <v>Não</v>
      </c>
      <c r="T269">
        <f>COUNTIFS(Tabela4[[#All],[Cenário]],Tabela4[[#This Row],[Cenário]],Tabela4[[#All],[Status]],Tabela4[[#Headers],[Elo - Em correção ]])</f>
        <v>0</v>
      </c>
      <c r="U269">
        <f>COUNTIFS(Tabela4[[#All],[Cenário]],Tabela4[[#This Row],[Cenário]],Tabela4[[#All],[Status]],Tabela4[[#Headers],[Keyuser - Aguardando tarefa precedente]])</f>
        <v>0</v>
      </c>
      <c r="V269">
        <f>COUNTIFS(Tabela4[[#All],[Cenário]],Tabela4[[#This Row],[Cenário]],Tabela4[[#All],[Status]],Tabela4[[#Headers],[Não liberado  para testes]])</f>
        <v>1</v>
      </c>
      <c r="W269" t="str">
        <f>IF(Tabela4[[#This Row],[Elo - Em correção ]]&gt;0,"Sim","Não")</f>
        <v>Não</v>
      </c>
      <c r="X269" t="str">
        <f>IF(Tabela4[[#This Row],[Keyuser - Aguardando tarefa precedente]]&gt;0,"Sim","Não")</f>
        <v>Não</v>
      </c>
      <c r="Y269" t="str">
        <f>IF(Tabela4[[#This Row],[Não liberado  para testes]]&gt;0,"Sim","Não")</f>
        <v>Sim</v>
      </c>
      <c r="Z269" t="str">
        <f ca="1">IF(Tabela4[[#This Row],[Status]]="Keyuser - Pendente",NETWORKDAYS(Tabela4[[#This Row],[Dt Inicial]],TODAY()),"")</f>
        <v/>
      </c>
      <c r="AA269" t="b">
        <f>AND(Tabela4[[#This Row],[Status]]="Keyuser - Aguardando tarefa precedente",K268="Keyuser - Concluído ")</f>
        <v>0</v>
      </c>
    </row>
    <row r="270" spans="1:27" x14ac:dyDescent="0.25">
      <c r="A270" t="str">
        <f>"OUT-"&amp;IFERROR(MID(Tabela4[[#This Row],[Cenário]],SEARCH("(",Tabela4[[#This Row],[Cenário]])+1,SEARCH(")",Tabela4[[#This Row],[Cenário]])-SEARCH("(",Tabela4[[#This Row],[Cenário]])-1),"")&amp;"_"&amp;ROW()</f>
        <v>OUT-Y073_270</v>
      </c>
      <c r="B270" t="s">
        <v>358</v>
      </c>
      <c r="C270" t="s">
        <v>525</v>
      </c>
      <c r="D270" t="s">
        <v>371</v>
      </c>
      <c r="E270">
        <v>5</v>
      </c>
      <c r="F270" t="s">
        <v>435</v>
      </c>
      <c r="G270" t="s">
        <v>287</v>
      </c>
      <c r="H270" s="13" t="s">
        <v>528</v>
      </c>
      <c r="K270" s="9" t="s">
        <v>271</v>
      </c>
      <c r="L270" s="78">
        <v>45952</v>
      </c>
      <c r="N270" s="78">
        <v>45952</v>
      </c>
      <c r="O270" s="31"/>
      <c r="P270" s="9"/>
      <c r="Q270" s="9">
        <f>COUNTIF(Tabela4[[#All],[Cenário]],Tabela4[[#This Row],[Cenário]])</f>
        <v>8</v>
      </c>
      <c r="R270">
        <f>COUNTIFS(Tabela4[[#All],[Cenário]],Tabela4[[#This Row],[Cenário]],Tabela4[[#All],[Status]],"Keyuser - Concluído ")</f>
        <v>7</v>
      </c>
      <c r="S270" t="str">
        <f>IF(Tabela4[[#This Row],[Tarefas por Cenário]]-Tabela4[[#This Row],[Tarefas Concluídas]]&gt;0,"Não","Sim")</f>
        <v>Não</v>
      </c>
      <c r="T270">
        <f>COUNTIFS(Tabela4[[#All],[Cenário]],Tabela4[[#This Row],[Cenário]],Tabela4[[#All],[Status]],Tabela4[[#Headers],[Elo - Em correção ]])</f>
        <v>0</v>
      </c>
      <c r="U270">
        <f>COUNTIFS(Tabela4[[#All],[Cenário]],Tabela4[[#This Row],[Cenário]],Tabela4[[#All],[Status]],Tabela4[[#Headers],[Keyuser - Aguardando tarefa precedente]])</f>
        <v>0</v>
      </c>
      <c r="V270">
        <f>COUNTIFS(Tabela4[[#All],[Cenário]],Tabela4[[#This Row],[Cenário]],Tabela4[[#All],[Status]],Tabela4[[#Headers],[Não liberado  para testes]])</f>
        <v>1</v>
      </c>
      <c r="W270" t="str">
        <f>IF(Tabela4[[#This Row],[Elo - Em correção ]]&gt;0,"Sim","Não")</f>
        <v>Não</v>
      </c>
      <c r="X270" t="str">
        <f>IF(Tabela4[[#This Row],[Keyuser - Aguardando tarefa precedente]]&gt;0,"Sim","Não")</f>
        <v>Não</v>
      </c>
      <c r="Y270" t="str">
        <f>IF(Tabela4[[#This Row],[Não liberado  para testes]]&gt;0,"Sim","Não")</f>
        <v>Sim</v>
      </c>
      <c r="Z270" t="str">
        <f ca="1">IF(Tabela4[[#This Row],[Status]]="Keyuser - Pendente",NETWORKDAYS(Tabela4[[#This Row],[Dt Inicial]],TODAY()),"")</f>
        <v/>
      </c>
      <c r="AA270" t="b">
        <f>AND(Tabela4[[#This Row],[Status]]="Keyuser - Aguardando tarefa precedente",K269="Keyuser - Concluído ")</f>
        <v>0</v>
      </c>
    </row>
    <row r="271" spans="1:27" x14ac:dyDescent="0.25">
      <c r="A271" t="str">
        <f>"OUT-"&amp;IFERROR(MID(Tabela4[[#This Row],[Cenário]],SEARCH("(",Tabela4[[#This Row],[Cenário]])+1,SEARCH(")",Tabela4[[#This Row],[Cenário]])-SEARCH("(",Tabela4[[#This Row],[Cenário]])-1),"")&amp;"_"&amp;ROW()</f>
        <v>OUT-Y073_271</v>
      </c>
      <c r="B271" t="s">
        <v>358</v>
      </c>
      <c r="C271" t="s">
        <v>525</v>
      </c>
      <c r="D271" t="s">
        <v>373</v>
      </c>
      <c r="E271">
        <v>6</v>
      </c>
      <c r="F271" t="s">
        <v>373</v>
      </c>
      <c r="G271" t="s">
        <v>283</v>
      </c>
      <c r="H271" s="13" t="s">
        <v>529</v>
      </c>
      <c r="I271" s="15"/>
      <c r="J271" s="15"/>
      <c r="K271" s="9" t="s">
        <v>271</v>
      </c>
      <c r="L271" s="78">
        <v>45952</v>
      </c>
      <c r="N271" s="78">
        <v>45952</v>
      </c>
      <c r="O271" s="31"/>
      <c r="P271" s="9"/>
      <c r="Q271" s="9">
        <f>COUNTIF(Tabela4[[#All],[Cenário]],Tabela4[[#This Row],[Cenário]])</f>
        <v>8</v>
      </c>
      <c r="R271">
        <f>COUNTIFS(Tabela4[[#All],[Cenário]],Tabela4[[#This Row],[Cenário]],Tabela4[[#All],[Status]],"Keyuser - Concluído ")</f>
        <v>7</v>
      </c>
      <c r="S271" t="str">
        <f>IF(Tabela4[[#This Row],[Tarefas por Cenário]]-Tabela4[[#This Row],[Tarefas Concluídas]]&gt;0,"Não","Sim")</f>
        <v>Não</v>
      </c>
      <c r="T271">
        <f>COUNTIFS(Tabela4[[#All],[Cenário]],Tabela4[[#This Row],[Cenário]],Tabela4[[#All],[Status]],Tabela4[[#Headers],[Elo - Em correção ]])</f>
        <v>0</v>
      </c>
      <c r="U271">
        <f>COUNTIFS(Tabela4[[#All],[Cenário]],Tabela4[[#This Row],[Cenário]],Tabela4[[#All],[Status]],Tabela4[[#Headers],[Keyuser - Aguardando tarefa precedente]])</f>
        <v>0</v>
      </c>
      <c r="V271">
        <f>COUNTIFS(Tabela4[[#All],[Cenário]],Tabela4[[#This Row],[Cenário]],Tabela4[[#All],[Status]],Tabela4[[#Headers],[Não liberado  para testes]])</f>
        <v>1</v>
      </c>
      <c r="W271" t="str">
        <f>IF(Tabela4[[#This Row],[Elo - Em correção ]]&gt;0,"Sim","Não")</f>
        <v>Não</v>
      </c>
      <c r="X271" t="str">
        <f>IF(Tabela4[[#This Row],[Keyuser - Aguardando tarefa precedente]]&gt;0,"Sim","Não")</f>
        <v>Não</v>
      </c>
      <c r="Y271" t="str">
        <f>IF(Tabela4[[#This Row],[Não liberado  para testes]]&gt;0,"Sim","Não")</f>
        <v>Sim</v>
      </c>
      <c r="Z271" t="str">
        <f ca="1">IF(Tabela4[[#This Row],[Status]]="Keyuser - Pendente",NETWORKDAYS(Tabela4[[#This Row],[Dt Inicial]],TODAY()),"")</f>
        <v/>
      </c>
      <c r="AA271" t="b">
        <f>AND(Tabela4[[#This Row],[Status]]="Keyuser - Aguardando tarefa precedente",K270="Keyuser - Concluído ")</f>
        <v>0</v>
      </c>
    </row>
    <row r="272" spans="1:27" x14ac:dyDescent="0.25">
      <c r="A272" t="str">
        <f>"OUT-"&amp;IFERROR(MID(Tabela4[[#This Row],[Cenário]],SEARCH("(",Tabela4[[#This Row],[Cenário]])+1,SEARCH(")",Tabela4[[#This Row],[Cenário]])-SEARCH("(",Tabela4[[#This Row],[Cenário]])-1),"")&amp;"_"&amp;ROW()</f>
        <v>OUT-Y073_272</v>
      </c>
      <c r="B272" t="s">
        <v>374</v>
      </c>
      <c r="C272" t="s">
        <v>525</v>
      </c>
      <c r="D272" t="s">
        <v>286</v>
      </c>
      <c r="E272">
        <v>7</v>
      </c>
      <c r="F272" t="s">
        <v>286</v>
      </c>
      <c r="G272" t="s">
        <v>287</v>
      </c>
      <c r="H272" s="13"/>
      <c r="I272" s="13"/>
      <c r="J272" s="13"/>
      <c r="K272" s="9" t="s">
        <v>262</v>
      </c>
      <c r="N272" s="78"/>
      <c r="O272" s="31"/>
      <c r="P272" s="9"/>
      <c r="Q272" s="9">
        <f>COUNTIF(Tabela4[[#All],[Cenário]],Tabela4[[#This Row],[Cenário]])</f>
        <v>8</v>
      </c>
      <c r="R272">
        <f>COUNTIFS(Tabela4[[#All],[Cenário]],Tabela4[[#This Row],[Cenário]],Tabela4[[#All],[Status]],"Keyuser - Concluído ")</f>
        <v>7</v>
      </c>
      <c r="S272" t="str">
        <f>IF(Tabela4[[#This Row],[Tarefas por Cenário]]-Tabela4[[#This Row],[Tarefas Concluídas]]&gt;0,"Não","Sim")</f>
        <v>Não</v>
      </c>
      <c r="T272">
        <f>COUNTIFS(Tabela4[[#All],[Cenário]],Tabela4[[#This Row],[Cenário]],Tabela4[[#All],[Status]],Tabela4[[#Headers],[Elo - Em correção ]])</f>
        <v>0</v>
      </c>
      <c r="U272">
        <f>COUNTIFS(Tabela4[[#All],[Cenário]],Tabela4[[#This Row],[Cenário]],Tabela4[[#All],[Status]],Tabela4[[#Headers],[Keyuser - Aguardando tarefa precedente]])</f>
        <v>0</v>
      </c>
      <c r="V272">
        <f>COUNTIFS(Tabela4[[#All],[Cenário]],Tabela4[[#This Row],[Cenário]],Tabela4[[#All],[Status]],Tabela4[[#Headers],[Não liberado  para testes]])</f>
        <v>1</v>
      </c>
      <c r="W272" t="str">
        <f>IF(Tabela4[[#This Row],[Elo - Em correção ]]&gt;0,"Sim","Não")</f>
        <v>Não</v>
      </c>
      <c r="X272" t="str">
        <f>IF(Tabela4[[#This Row],[Keyuser - Aguardando tarefa precedente]]&gt;0,"Sim","Não")</f>
        <v>Não</v>
      </c>
      <c r="Y272" t="str">
        <f>IF(Tabela4[[#This Row],[Não liberado  para testes]]&gt;0,"Sim","Não")</f>
        <v>Sim</v>
      </c>
      <c r="Z272" t="str">
        <f ca="1">IF(Tabela4[[#This Row],[Status]]="Keyuser - Pendente",NETWORKDAYS(Tabela4[[#This Row],[Dt Inicial]],TODAY()),"")</f>
        <v/>
      </c>
      <c r="AA272" t="b">
        <f>AND(Tabela4[[#This Row],[Status]]="Keyuser - Aguardando tarefa precedente",K271="Keyuser - Concluído ")</f>
        <v>0</v>
      </c>
    </row>
    <row r="273" spans="1:27" x14ac:dyDescent="0.25">
      <c r="A273" t="str">
        <f>"OUT-"&amp;IFERROR(MID(Tabela4[[#This Row],[Cenário]],SEARCH("(",Tabela4[[#This Row],[Cenário]])+1,SEARCH(")",Tabela4[[#This Row],[Cenário]])-SEARCH("(",Tabela4[[#This Row],[Cenário]])-1),"")&amp;"_"&amp;ROW()</f>
        <v>OUT-Y073_273</v>
      </c>
      <c r="B273" t="s">
        <v>358</v>
      </c>
      <c r="C273" t="s">
        <v>525</v>
      </c>
      <c r="D273" t="s">
        <v>375</v>
      </c>
      <c r="E273">
        <v>8</v>
      </c>
      <c r="F273" t="s">
        <v>375</v>
      </c>
      <c r="G273" t="s">
        <v>367</v>
      </c>
      <c r="H273" s="18" t="s">
        <v>526</v>
      </c>
      <c r="I273" s="9" t="s">
        <v>527</v>
      </c>
      <c r="J273" s="9" t="s">
        <v>364</v>
      </c>
      <c r="K273" s="9" t="s">
        <v>271</v>
      </c>
      <c r="L273" s="78">
        <v>45952</v>
      </c>
      <c r="N273" s="78">
        <v>45952</v>
      </c>
      <c r="O273" s="31"/>
      <c r="P273" s="9"/>
      <c r="Q273" s="9">
        <f>COUNTIF(Tabela4[[#All],[Cenário]],Tabela4[[#This Row],[Cenário]])</f>
        <v>8</v>
      </c>
      <c r="R273">
        <f>COUNTIFS(Tabela4[[#All],[Cenário]],Tabela4[[#This Row],[Cenário]],Tabela4[[#All],[Status]],"Keyuser - Concluído ")</f>
        <v>7</v>
      </c>
      <c r="S273" t="str">
        <f>IF(Tabela4[[#This Row],[Tarefas por Cenário]]-Tabela4[[#This Row],[Tarefas Concluídas]]&gt;0,"Não","Sim")</f>
        <v>Não</v>
      </c>
      <c r="T273">
        <f>COUNTIFS(Tabela4[[#All],[Cenário]],Tabela4[[#This Row],[Cenário]],Tabela4[[#All],[Status]],Tabela4[[#Headers],[Elo - Em correção ]])</f>
        <v>0</v>
      </c>
      <c r="U273">
        <f>COUNTIFS(Tabela4[[#All],[Cenário]],Tabela4[[#This Row],[Cenário]],Tabela4[[#All],[Status]],Tabela4[[#Headers],[Keyuser - Aguardando tarefa precedente]])</f>
        <v>0</v>
      </c>
      <c r="V273">
        <f>COUNTIFS(Tabela4[[#All],[Cenário]],Tabela4[[#This Row],[Cenário]],Tabela4[[#All],[Status]],Tabela4[[#Headers],[Não liberado  para testes]])</f>
        <v>1</v>
      </c>
      <c r="W273" t="str">
        <f>IF(Tabela4[[#This Row],[Elo - Em correção ]]&gt;0,"Sim","Não")</f>
        <v>Não</v>
      </c>
      <c r="X273" t="str">
        <f>IF(Tabela4[[#This Row],[Keyuser - Aguardando tarefa precedente]]&gt;0,"Sim","Não")</f>
        <v>Não</v>
      </c>
      <c r="Y273" t="str">
        <f>IF(Tabela4[[#This Row],[Não liberado  para testes]]&gt;0,"Sim","Não")</f>
        <v>Sim</v>
      </c>
      <c r="Z273" t="str">
        <f ca="1">IF(Tabela4[[#This Row],[Status]]="Keyuser - Pendente",NETWORKDAYS(Tabela4[[#This Row],[Dt Inicial]],TODAY()),"")</f>
        <v/>
      </c>
      <c r="AA273" t="b">
        <f>AND(Tabela4[[#This Row],[Status]]="Keyuser - Aguardando tarefa precedente",K272="Keyuser - Concluído ")</f>
        <v>0</v>
      </c>
    </row>
    <row r="274" spans="1:27" x14ac:dyDescent="0.25">
      <c r="A274" t="str">
        <f>"OUT-"&amp;IFERROR(MID(Tabela4[[#This Row],[Cenário]],SEARCH("(",Tabela4[[#This Row],[Cenário]])+1,SEARCH(")",Tabela4[[#This Row],[Cenário]])-SEARCH("(",Tabela4[[#This Row],[Cenário]])-1),"")&amp;"_"&amp;ROW()</f>
        <v>OUT-YDEV_274</v>
      </c>
      <c r="B274" t="s">
        <v>358</v>
      </c>
      <c r="C274" t="s">
        <v>519</v>
      </c>
      <c r="D274" t="s">
        <v>360</v>
      </c>
      <c r="E274">
        <v>1</v>
      </c>
      <c r="F274" t="s">
        <v>360</v>
      </c>
      <c r="G274" t="s">
        <v>377</v>
      </c>
      <c r="H274" s="13">
        <v>60668329</v>
      </c>
      <c r="K274" s="9" t="s">
        <v>271</v>
      </c>
      <c r="L274" s="78">
        <v>45958</v>
      </c>
      <c r="N274" s="78">
        <v>45958</v>
      </c>
      <c r="O274" s="31"/>
      <c r="P274" s="9"/>
      <c r="Q274" s="9">
        <f>COUNTIF(Tabela4[[#All],[Cenário]],Tabela4[[#This Row],[Cenário]])</f>
        <v>12</v>
      </c>
      <c r="R274">
        <f>COUNTIFS(Tabela4[[#All],[Cenário]],Tabela4[[#This Row],[Cenário]],Tabela4[[#All],[Status]],"Keyuser - Concluído ")</f>
        <v>10</v>
      </c>
      <c r="S274" t="str">
        <f>IF(Tabela4[[#This Row],[Tarefas por Cenário]]-Tabela4[[#This Row],[Tarefas Concluídas]]&gt;0,"Não","Sim")</f>
        <v>Não</v>
      </c>
      <c r="T274">
        <f>COUNTIFS(Tabela4[[#All],[Cenário]],Tabela4[[#This Row],[Cenário]],Tabela4[[#All],[Status]],Tabela4[[#Headers],[Elo - Em correção ]])</f>
        <v>0</v>
      </c>
      <c r="U274">
        <f>COUNTIFS(Tabela4[[#All],[Cenário]],Tabela4[[#This Row],[Cenário]],Tabela4[[#All],[Status]],Tabela4[[#Headers],[Keyuser - Aguardando tarefa precedente]])</f>
        <v>0</v>
      </c>
      <c r="V274">
        <f>COUNTIFS(Tabela4[[#All],[Cenário]],Tabela4[[#This Row],[Cenário]],Tabela4[[#All],[Status]],Tabela4[[#Headers],[Não liberado  para testes]])</f>
        <v>2</v>
      </c>
      <c r="W274" t="str">
        <f>IF(Tabela4[[#This Row],[Elo - Em correção ]]&gt;0,"Sim","Não")</f>
        <v>Não</v>
      </c>
      <c r="X274" t="str">
        <f>IF(Tabela4[[#This Row],[Keyuser - Aguardando tarefa precedente]]&gt;0,"Sim","Não")</f>
        <v>Não</v>
      </c>
      <c r="Y274" t="str">
        <f>IF(Tabela4[[#This Row],[Não liberado  para testes]]&gt;0,"Sim","Não")</f>
        <v>Sim</v>
      </c>
      <c r="Z274" t="str">
        <f ca="1">IF(Tabela4[[#This Row],[Status]]="Keyuser - Pendente",NETWORKDAYS(Tabela4[[#This Row],[Dt Inicial]],TODAY()),"")</f>
        <v/>
      </c>
      <c r="AA274" t="b">
        <f>AND(Tabela4[[#This Row],[Status]]="Keyuser - Aguardando tarefa precedente",K273="Keyuser - Concluído ")</f>
        <v>0</v>
      </c>
    </row>
    <row r="275" spans="1:27" x14ac:dyDescent="0.25">
      <c r="A275" t="str">
        <f>"OUT-"&amp;IFERROR(MID(Tabela4[[#This Row],[Cenário]],SEARCH("(",Tabela4[[#This Row],[Cenário]])+1,SEARCH(")",Tabela4[[#This Row],[Cenário]])-SEARCH("(",Tabela4[[#This Row],[Cenário]])-1),"")&amp;"_"&amp;ROW()</f>
        <v>OUT-YDEV_275</v>
      </c>
      <c r="B275" t="s">
        <v>358</v>
      </c>
      <c r="C275" t="s">
        <v>519</v>
      </c>
      <c r="D275" t="s">
        <v>365</v>
      </c>
      <c r="E275">
        <v>2</v>
      </c>
      <c r="F275" t="s">
        <v>365</v>
      </c>
      <c r="G275" t="s">
        <v>310</v>
      </c>
      <c r="H275" s="13">
        <v>60668329</v>
      </c>
      <c r="K275" s="9" t="s">
        <v>271</v>
      </c>
      <c r="L275" s="78">
        <v>45958</v>
      </c>
      <c r="N275" s="78">
        <v>45958</v>
      </c>
      <c r="O275" s="31"/>
      <c r="P275" s="9"/>
      <c r="Q275" s="9">
        <f>COUNTIF(Tabela4[[#All],[Cenário]],Tabela4[[#This Row],[Cenário]])</f>
        <v>12</v>
      </c>
      <c r="R275">
        <f>COUNTIFS(Tabela4[[#All],[Cenário]],Tabela4[[#This Row],[Cenário]],Tabela4[[#All],[Status]],"Keyuser - Concluído ")</f>
        <v>10</v>
      </c>
      <c r="S275" t="str">
        <f>IF(Tabela4[[#This Row],[Tarefas por Cenário]]-Tabela4[[#This Row],[Tarefas Concluídas]]&gt;0,"Não","Sim")</f>
        <v>Não</v>
      </c>
      <c r="T275">
        <f>COUNTIFS(Tabela4[[#All],[Cenário]],Tabela4[[#This Row],[Cenário]],Tabela4[[#All],[Status]],Tabela4[[#Headers],[Elo - Em correção ]])</f>
        <v>0</v>
      </c>
      <c r="U275">
        <f>COUNTIFS(Tabela4[[#All],[Cenário]],Tabela4[[#This Row],[Cenário]],Tabela4[[#All],[Status]],Tabela4[[#Headers],[Keyuser - Aguardando tarefa precedente]])</f>
        <v>0</v>
      </c>
      <c r="V275">
        <f>COUNTIFS(Tabela4[[#All],[Cenário]],Tabela4[[#This Row],[Cenário]],Tabela4[[#All],[Status]],Tabela4[[#Headers],[Não liberado  para testes]])</f>
        <v>2</v>
      </c>
      <c r="W275" t="str">
        <f>IF(Tabela4[[#This Row],[Elo - Em correção ]]&gt;0,"Sim","Não")</f>
        <v>Não</v>
      </c>
      <c r="X275" t="str">
        <f>IF(Tabela4[[#This Row],[Keyuser - Aguardando tarefa precedente]]&gt;0,"Sim","Não")</f>
        <v>Não</v>
      </c>
      <c r="Y275" t="str">
        <f>IF(Tabela4[[#This Row],[Não liberado  para testes]]&gt;0,"Sim","Não")</f>
        <v>Sim</v>
      </c>
      <c r="Z275" t="str">
        <f ca="1">IF(Tabela4[[#This Row],[Status]]="Keyuser - Pendente",NETWORKDAYS(Tabela4[[#This Row],[Dt Inicial]],TODAY()),"")</f>
        <v/>
      </c>
      <c r="AA275" t="b">
        <f>AND(Tabela4[[#This Row],[Status]]="Keyuser - Aguardando tarefa precedente",K274="Keyuser - Concluído ")</f>
        <v>0</v>
      </c>
    </row>
    <row r="276" spans="1:27" x14ac:dyDescent="0.25">
      <c r="A276" t="str">
        <f>"OUT-"&amp;IFERROR(MID(Tabela4[[#This Row],[Cenário]],SEARCH("(",Tabela4[[#This Row],[Cenário]])+1,SEARCH(")",Tabela4[[#This Row],[Cenário]])-SEARCH("(",Tabela4[[#This Row],[Cenário]])-1),"")&amp;"_"&amp;ROW()</f>
        <v>OUT-YDEV_276</v>
      </c>
      <c r="B276" t="s">
        <v>358</v>
      </c>
      <c r="C276" t="s">
        <v>519</v>
      </c>
      <c r="D276" t="s">
        <v>368</v>
      </c>
      <c r="E276">
        <v>3</v>
      </c>
      <c r="F276" t="s">
        <v>368</v>
      </c>
      <c r="G276" t="s">
        <v>377</v>
      </c>
      <c r="H276" s="13" t="s">
        <v>530</v>
      </c>
      <c r="K276" s="9" t="s">
        <v>271</v>
      </c>
      <c r="L276" s="78">
        <v>45958</v>
      </c>
      <c r="N276" s="78">
        <v>45958</v>
      </c>
      <c r="O276" s="31" t="s">
        <v>531</v>
      </c>
      <c r="P276" s="9"/>
      <c r="Q276" s="9">
        <f>COUNTIF(Tabela4[[#All],[Cenário]],Tabela4[[#This Row],[Cenário]])</f>
        <v>12</v>
      </c>
      <c r="R276">
        <f>COUNTIFS(Tabela4[[#All],[Cenário]],Tabela4[[#This Row],[Cenário]],Tabela4[[#All],[Status]],"Keyuser - Concluído ")</f>
        <v>10</v>
      </c>
      <c r="S276" t="str">
        <f>IF(Tabela4[[#This Row],[Tarefas por Cenário]]-Tabela4[[#This Row],[Tarefas Concluídas]]&gt;0,"Não","Sim")</f>
        <v>Não</v>
      </c>
      <c r="T276">
        <f>COUNTIFS(Tabela4[[#All],[Cenário]],Tabela4[[#This Row],[Cenário]],Tabela4[[#All],[Status]],Tabela4[[#Headers],[Elo - Em correção ]])</f>
        <v>0</v>
      </c>
      <c r="U276">
        <f>COUNTIFS(Tabela4[[#All],[Cenário]],Tabela4[[#This Row],[Cenário]],Tabela4[[#All],[Status]],Tabela4[[#Headers],[Keyuser - Aguardando tarefa precedente]])</f>
        <v>0</v>
      </c>
      <c r="V276">
        <f>COUNTIFS(Tabela4[[#All],[Cenário]],Tabela4[[#This Row],[Cenário]],Tabela4[[#All],[Status]],Tabela4[[#Headers],[Não liberado  para testes]])</f>
        <v>2</v>
      </c>
      <c r="W276" t="str">
        <f>IF(Tabela4[[#This Row],[Elo - Em correção ]]&gt;0,"Sim","Não")</f>
        <v>Não</v>
      </c>
      <c r="X276" t="str">
        <f>IF(Tabela4[[#This Row],[Keyuser - Aguardando tarefa precedente]]&gt;0,"Sim","Não")</f>
        <v>Não</v>
      </c>
      <c r="Y276" t="str">
        <f>IF(Tabela4[[#This Row],[Não liberado  para testes]]&gt;0,"Sim","Não")</f>
        <v>Sim</v>
      </c>
      <c r="Z276" t="str">
        <f ca="1">IF(Tabela4[[#This Row],[Status]]="Keyuser - Pendente",NETWORKDAYS(Tabela4[[#This Row],[Dt Inicial]],TODAY()),"")</f>
        <v/>
      </c>
      <c r="AA276" t="b">
        <f>AND(Tabela4[[#This Row],[Status]]="Keyuser - Aguardando tarefa precedente",K275="Keyuser - Concluído ")</f>
        <v>0</v>
      </c>
    </row>
    <row r="277" spans="1:27" x14ac:dyDescent="0.25">
      <c r="A277" t="str">
        <f>"OUT-"&amp;IFERROR(MID(Tabela4[[#This Row],[Cenário]],SEARCH("(",Tabela4[[#This Row],[Cenário]])+1,SEARCH(")",Tabela4[[#This Row],[Cenário]])-SEARCH("(",Tabela4[[#This Row],[Cenário]])-1),"")&amp;"_"&amp;ROW()</f>
        <v>OUT-YDEV_277</v>
      </c>
      <c r="B277" t="s">
        <v>358</v>
      </c>
      <c r="C277" t="s">
        <v>519</v>
      </c>
      <c r="D277" t="s">
        <v>371</v>
      </c>
      <c r="E277">
        <v>4</v>
      </c>
      <c r="F277" t="s">
        <v>372</v>
      </c>
      <c r="G277" t="s">
        <v>287</v>
      </c>
      <c r="H277" s="13" t="s">
        <v>530</v>
      </c>
      <c r="K277" s="9" t="s">
        <v>271</v>
      </c>
      <c r="L277" s="78" t="s">
        <v>532</v>
      </c>
      <c r="N277" s="78">
        <v>45959</v>
      </c>
      <c r="O277" s="31"/>
      <c r="P277" s="9"/>
      <c r="Q277" s="9">
        <f>COUNTIF(Tabela4[[#All],[Cenário]],Tabela4[[#This Row],[Cenário]])</f>
        <v>12</v>
      </c>
      <c r="R277">
        <f>COUNTIFS(Tabela4[[#All],[Cenário]],Tabela4[[#This Row],[Cenário]],Tabela4[[#All],[Status]],"Keyuser - Concluído ")</f>
        <v>10</v>
      </c>
      <c r="S277" t="str">
        <f>IF(Tabela4[[#This Row],[Tarefas por Cenário]]-Tabela4[[#This Row],[Tarefas Concluídas]]&gt;0,"Não","Sim")</f>
        <v>Não</v>
      </c>
      <c r="T277">
        <f>COUNTIFS(Tabela4[[#All],[Cenário]],Tabela4[[#This Row],[Cenário]],Tabela4[[#All],[Status]],Tabela4[[#Headers],[Elo - Em correção ]])</f>
        <v>0</v>
      </c>
      <c r="U277">
        <f>COUNTIFS(Tabela4[[#All],[Cenário]],Tabela4[[#This Row],[Cenário]],Tabela4[[#All],[Status]],Tabela4[[#Headers],[Keyuser - Aguardando tarefa precedente]])</f>
        <v>0</v>
      </c>
      <c r="V277">
        <f>COUNTIFS(Tabela4[[#All],[Cenário]],Tabela4[[#This Row],[Cenário]],Tabela4[[#All],[Status]],Tabela4[[#Headers],[Não liberado  para testes]])</f>
        <v>2</v>
      </c>
      <c r="W277" t="str">
        <f>IF(Tabela4[[#This Row],[Elo - Em correção ]]&gt;0,"Sim","Não")</f>
        <v>Não</v>
      </c>
      <c r="X277" t="str">
        <f>IF(Tabela4[[#This Row],[Keyuser - Aguardando tarefa precedente]]&gt;0,"Sim","Não")</f>
        <v>Não</v>
      </c>
      <c r="Y277" t="str">
        <f>IF(Tabela4[[#This Row],[Não liberado  para testes]]&gt;0,"Sim","Não")</f>
        <v>Sim</v>
      </c>
      <c r="Z277" t="str">
        <f ca="1">IF(Tabela4[[#This Row],[Status]]="Keyuser - Pendente",NETWORKDAYS(Tabela4[[#This Row],[Dt Inicial]],TODAY()),"")</f>
        <v/>
      </c>
      <c r="AA277" t="b">
        <f>AND(Tabela4[[#This Row],[Status]]="Keyuser - Aguardando tarefa precedente",K276="Keyuser - Concluído ")</f>
        <v>0</v>
      </c>
    </row>
    <row r="278" spans="1:27" x14ac:dyDescent="0.25">
      <c r="A278" t="str">
        <f>"OUT-"&amp;IFERROR(MID(Tabela4[[#This Row],[Cenário]],SEARCH("(",Tabela4[[#This Row],[Cenário]])+1,SEARCH(")",Tabela4[[#This Row],[Cenário]])-SEARCH("(",Tabela4[[#This Row],[Cenário]])-1),"")&amp;"_"&amp;ROW()</f>
        <v>OUT-YDEV_278</v>
      </c>
      <c r="B278" t="s">
        <v>358</v>
      </c>
      <c r="C278" t="s">
        <v>519</v>
      </c>
      <c r="D278" t="s">
        <v>373</v>
      </c>
      <c r="E278">
        <v>5</v>
      </c>
      <c r="F278" t="s">
        <v>373</v>
      </c>
      <c r="G278" t="s">
        <v>283</v>
      </c>
      <c r="H278" s="13" t="s">
        <v>530</v>
      </c>
      <c r="K278" s="9" t="s">
        <v>271</v>
      </c>
      <c r="L278" s="78" t="s">
        <v>533</v>
      </c>
      <c r="N278" s="78">
        <v>45960</v>
      </c>
      <c r="O278" s="31"/>
      <c r="P278" s="9"/>
      <c r="Q278" s="9">
        <f>COUNTIF(Tabela4[[#All],[Cenário]],Tabela4[[#This Row],[Cenário]])</f>
        <v>12</v>
      </c>
      <c r="R278">
        <f>COUNTIFS(Tabela4[[#All],[Cenário]],Tabela4[[#This Row],[Cenário]],Tabela4[[#All],[Status]],"Keyuser - Concluído ")</f>
        <v>10</v>
      </c>
      <c r="S278" t="str">
        <f>IF(Tabela4[[#This Row],[Tarefas por Cenário]]-Tabela4[[#This Row],[Tarefas Concluídas]]&gt;0,"Não","Sim")</f>
        <v>Não</v>
      </c>
      <c r="T278">
        <f>COUNTIFS(Tabela4[[#All],[Cenário]],Tabela4[[#This Row],[Cenário]],Tabela4[[#All],[Status]],Tabela4[[#Headers],[Elo - Em correção ]])</f>
        <v>0</v>
      </c>
      <c r="U278">
        <f>COUNTIFS(Tabela4[[#All],[Cenário]],Tabela4[[#This Row],[Cenário]],Tabela4[[#All],[Status]],Tabela4[[#Headers],[Keyuser - Aguardando tarefa precedente]])</f>
        <v>0</v>
      </c>
      <c r="V278">
        <f>COUNTIFS(Tabela4[[#All],[Cenário]],Tabela4[[#This Row],[Cenário]],Tabela4[[#All],[Status]],Tabela4[[#Headers],[Não liberado  para testes]])</f>
        <v>2</v>
      </c>
      <c r="W278" t="str">
        <f>IF(Tabela4[[#This Row],[Elo - Em correção ]]&gt;0,"Sim","Não")</f>
        <v>Não</v>
      </c>
      <c r="X278" t="str">
        <f>IF(Tabela4[[#This Row],[Keyuser - Aguardando tarefa precedente]]&gt;0,"Sim","Não")</f>
        <v>Não</v>
      </c>
      <c r="Y278" t="str">
        <f>IF(Tabela4[[#This Row],[Não liberado  para testes]]&gt;0,"Sim","Não")</f>
        <v>Sim</v>
      </c>
      <c r="Z278" t="str">
        <f ca="1">IF(Tabela4[[#This Row],[Status]]="Keyuser - Pendente",NETWORKDAYS(Tabela4[[#This Row],[Dt Inicial]],TODAY()),"")</f>
        <v/>
      </c>
      <c r="AA278" t="b">
        <f>AND(Tabela4[[#This Row],[Status]]="Keyuser - Aguardando tarefa precedente",K277="Keyuser - Concluído ")</f>
        <v>0</v>
      </c>
    </row>
    <row r="279" spans="1:27" x14ac:dyDescent="0.25">
      <c r="A279" t="str">
        <f>"OUT-"&amp;IFERROR(MID(Tabela4[[#This Row],[Cenário]],SEARCH("(",Tabela4[[#This Row],[Cenário]])+1,SEARCH(")",Tabela4[[#This Row],[Cenário]])-SEARCH("(",Tabela4[[#This Row],[Cenário]])-1),"")&amp;"_"&amp;ROW()</f>
        <v>OUT-YDEV_279</v>
      </c>
      <c r="B279" t="s">
        <v>374</v>
      </c>
      <c r="C279" t="s">
        <v>519</v>
      </c>
      <c r="D279" t="s">
        <v>286</v>
      </c>
      <c r="E279">
        <v>6</v>
      </c>
      <c r="F279" t="s">
        <v>286</v>
      </c>
      <c r="G279" t="s">
        <v>287</v>
      </c>
      <c r="H279" s="13"/>
      <c r="K279" s="9" t="s">
        <v>262</v>
      </c>
      <c r="N279" s="78"/>
      <c r="O279" s="31"/>
      <c r="P279" s="9"/>
      <c r="Q279" s="9">
        <f>COUNTIF(Tabela4[[#All],[Cenário]],Tabela4[[#This Row],[Cenário]])</f>
        <v>12</v>
      </c>
      <c r="R279">
        <f>COUNTIFS(Tabela4[[#All],[Cenário]],Tabela4[[#This Row],[Cenário]],Tabela4[[#All],[Status]],"Keyuser - Concluído ")</f>
        <v>10</v>
      </c>
      <c r="S279" t="str">
        <f>IF(Tabela4[[#This Row],[Tarefas por Cenário]]-Tabela4[[#This Row],[Tarefas Concluídas]]&gt;0,"Não","Sim")</f>
        <v>Não</v>
      </c>
      <c r="T279">
        <f>COUNTIFS(Tabela4[[#All],[Cenário]],Tabela4[[#This Row],[Cenário]],Tabela4[[#All],[Status]],Tabela4[[#Headers],[Elo - Em correção ]])</f>
        <v>0</v>
      </c>
      <c r="U279">
        <f>COUNTIFS(Tabela4[[#All],[Cenário]],Tabela4[[#This Row],[Cenário]],Tabela4[[#All],[Status]],Tabela4[[#Headers],[Keyuser - Aguardando tarefa precedente]])</f>
        <v>0</v>
      </c>
      <c r="V279">
        <f>COUNTIFS(Tabela4[[#All],[Cenário]],Tabela4[[#This Row],[Cenário]],Tabela4[[#All],[Status]],Tabela4[[#Headers],[Não liberado  para testes]])</f>
        <v>2</v>
      </c>
      <c r="W279" t="str">
        <f>IF(Tabela4[[#This Row],[Elo - Em correção ]]&gt;0,"Sim","Não")</f>
        <v>Não</v>
      </c>
      <c r="X279" t="str">
        <f>IF(Tabela4[[#This Row],[Keyuser - Aguardando tarefa precedente]]&gt;0,"Sim","Não")</f>
        <v>Não</v>
      </c>
      <c r="Y279" t="str">
        <f>IF(Tabela4[[#This Row],[Não liberado  para testes]]&gt;0,"Sim","Não")</f>
        <v>Sim</v>
      </c>
      <c r="Z279" t="str">
        <f ca="1">IF(Tabela4[[#This Row],[Status]]="Keyuser - Pendente",NETWORKDAYS(Tabela4[[#This Row],[Dt Inicial]],TODAY()),"")</f>
        <v/>
      </c>
      <c r="AA279" t="b">
        <f>AND(Tabela4[[#This Row],[Status]]="Keyuser - Aguardando tarefa precedente",K278="Keyuser - Concluído ")</f>
        <v>0</v>
      </c>
    </row>
    <row r="280" spans="1:27" x14ac:dyDescent="0.25">
      <c r="A280" t="str">
        <f>"OUT-"&amp;IFERROR(MID(Tabela4[[#This Row],[Cenário]],SEARCH("(",Tabela4[[#This Row],[Cenário]])+1,SEARCH(")",Tabela4[[#This Row],[Cenário]])-SEARCH("(",Tabela4[[#This Row],[Cenário]])-1),"")&amp;"_"&amp;ROW()</f>
        <v>OUT-YRET_280</v>
      </c>
      <c r="B280" t="s">
        <v>358</v>
      </c>
      <c r="C280" t="s">
        <v>522</v>
      </c>
      <c r="D280" t="s">
        <v>360</v>
      </c>
      <c r="E280">
        <v>1</v>
      </c>
      <c r="F280" t="s">
        <v>360</v>
      </c>
      <c r="G280" t="s">
        <v>377</v>
      </c>
      <c r="H280" s="13">
        <v>60668336</v>
      </c>
      <c r="K280" s="9" t="s">
        <v>271</v>
      </c>
      <c r="L280" s="78">
        <v>45958</v>
      </c>
      <c r="N280" s="78">
        <v>45958</v>
      </c>
      <c r="O280" s="31"/>
      <c r="P280" s="9"/>
      <c r="Q280" s="9">
        <f>COUNTIF(Tabela4[[#All],[Cenário]],Tabela4[[#This Row],[Cenário]])</f>
        <v>12</v>
      </c>
      <c r="R280">
        <f>COUNTIFS(Tabela4[[#All],[Cenário]],Tabela4[[#This Row],[Cenário]],Tabela4[[#All],[Status]],"Keyuser - Concluído ")</f>
        <v>10</v>
      </c>
      <c r="S280" t="str">
        <f>IF(Tabela4[[#This Row],[Tarefas por Cenário]]-Tabela4[[#This Row],[Tarefas Concluídas]]&gt;0,"Não","Sim")</f>
        <v>Não</v>
      </c>
      <c r="T280">
        <f>COUNTIFS(Tabela4[[#All],[Cenário]],Tabela4[[#This Row],[Cenário]],Tabela4[[#All],[Status]],Tabela4[[#Headers],[Elo - Em correção ]])</f>
        <v>0</v>
      </c>
      <c r="U280">
        <f>COUNTIFS(Tabela4[[#All],[Cenário]],Tabela4[[#This Row],[Cenário]],Tabela4[[#All],[Status]],Tabela4[[#Headers],[Keyuser - Aguardando tarefa precedente]])</f>
        <v>0</v>
      </c>
      <c r="V280">
        <f>COUNTIFS(Tabela4[[#All],[Cenário]],Tabela4[[#This Row],[Cenário]],Tabela4[[#All],[Status]],Tabela4[[#Headers],[Não liberado  para testes]])</f>
        <v>2</v>
      </c>
      <c r="W280" t="str">
        <f>IF(Tabela4[[#This Row],[Elo - Em correção ]]&gt;0,"Sim","Não")</f>
        <v>Não</v>
      </c>
      <c r="X280" t="str">
        <f>IF(Tabela4[[#This Row],[Keyuser - Aguardando tarefa precedente]]&gt;0,"Sim","Não")</f>
        <v>Não</v>
      </c>
      <c r="Y280" t="str">
        <f>IF(Tabela4[[#This Row],[Não liberado  para testes]]&gt;0,"Sim","Não")</f>
        <v>Sim</v>
      </c>
      <c r="Z280" t="str">
        <f ca="1">IF(Tabela4[[#This Row],[Status]]="Keyuser - Pendente",NETWORKDAYS(Tabela4[[#This Row],[Dt Inicial]],TODAY()),"")</f>
        <v/>
      </c>
      <c r="AA280" t="b">
        <f>AND(Tabela4[[#This Row],[Status]]="Keyuser - Aguardando tarefa precedente",K279="Keyuser - Concluído ")</f>
        <v>0</v>
      </c>
    </row>
    <row r="281" spans="1:27" x14ac:dyDescent="0.25">
      <c r="A281" t="str">
        <f>"OUT-"&amp;IFERROR(MID(Tabela4[[#This Row],[Cenário]],SEARCH("(",Tabela4[[#This Row],[Cenário]])+1,SEARCH(")",Tabela4[[#This Row],[Cenário]])-SEARCH("(",Tabela4[[#This Row],[Cenário]])-1),"")&amp;"_"&amp;ROW()</f>
        <v>OUT-YRET_281</v>
      </c>
      <c r="B281" t="s">
        <v>358</v>
      </c>
      <c r="C281" t="s">
        <v>522</v>
      </c>
      <c r="D281" t="s">
        <v>365</v>
      </c>
      <c r="E281">
        <v>2</v>
      </c>
      <c r="F281" t="s">
        <v>365</v>
      </c>
      <c r="G281" t="s">
        <v>310</v>
      </c>
      <c r="H281" s="13">
        <v>60668336</v>
      </c>
      <c r="K281" s="9" t="s">
        <v>271</v>
      </c>
      <c r="L281" s="78">
        <v>45958</v>
      </c>
      <c r="N281" s="78">
        <v>45958</v>
      </c>
      <c r="O281" s="31"/>
      <c r="P281" s="9"/>
      <c r="Q281" s="9">
        <f>COUNTIF(Tabela4[[#All],[Cenário]],Tabela4[[#This Row],[Cenário]])</f>
        <v>12</v>
      </c>
      <c r="R281">
        <f>COUNTIFS(Tabela4[[#All],[Cenário]],Tabela4[[#This Row],[Cenário]],Tabela4[[#All],[Status]],"Keyuser - Concluído ")</f>
        <v>10</v>
      </c>
      <c r="S281" t="str">
        <f>IF(Tabela4[[#This Row],[Tarefas por Cenário]]-Tabela4[[#This Row],[Tarefas Concluídas]]&gt;0,"Não","Sim")</f>
        <v>Não</v>
      </c>
      <c r="T281">
        <f>COUNTIFS(Tabela4[[#All],[Cenário]],Tabela4[[#This Row],[Cenário]],Tabela4[[#All],[Status]],Tabela4[[#Headers],[Elo - Em correção ]])</f>
        <v>0</v>
      </c>
      <c r="U281">
        <f>COUNTIFS(Tabela4[[#All],[Cenário]],Tabela4[[#This Row],[Cenário]],Tabela4[[#All],[Status]],Tabela4[[#Headers],[Keyuser - Aguardando tarefa precedente]])</f>
        <v>0</v>
      </c>
      <c r="V281">
        <f>COUNTIFS(Tabela4[[#All],[Cenário]],Tabela4[[#This Row],[Cenário]],Tabela4[[#All],[Status]],Tabela4[[#Headers],[Não liberado  para testes]])</f>
        <v>2</v>
      </c>
      <c r="W281" t="str">
        <f>IF(Tabela4[[#This Row],[Elo - Em correção ]]&gt;0,"Sim","Não")</f>
        <v>Não</v>
      </c>
      <c r="X281" t="str">
        <f>IF(Tabela4[[#This Row],[Keyuser - Aguardando tarefa precedente]]&gt;0,"Sim","Não")</f>
        <v>Não</v>
      </c>
      <c r="Y281" t="str">
        <f>IF(Tabela4[[#This Row],[Não liberado  para testes]]&gt;0,"Sim","Não")</f>
        <v>Sim</v>
      </c>
      <c r="Z281" t="str">
        <f ca="1">IF(Tabela4[[#This Row],[Status]]="Keyuser - Pendente",NETWORKDAYS(Tabela4[[#This Row],[Dt Inicial]],TODAY()),"")</f>
        <v/>
      </c>
      <c r="AA281" t="b">
        <f>AND(Tabela4[[#This Row],[Status]]="Keyuser - Aguardando tarefa precedente",K280="Keyuser - Concluído ")</f>
        <v>0</v>
      </c>
    </row>
    <row r="282" spans="1:27" x14ac:dyDescent="0.25">
      <c r="A282" t="str">
        <f>"OUT-"&amp;IFERROR(MID(Tabela4[[#This Row],[Cenário]],SEARCH("(",Tabela4[[#This Row],[Cenário]])+1,SEARCH(")",Tabela4[[#This Row],[Cenário]])-SEARCH("(",Tabela4[[#This Row],[Cenário]])-1),"")&amp;"_"&amp;ROW()</f>
        <v>OUT-YRET_282</v>
      </c>
      <c r="B282" t="s">
        <v>358</v>
      </c>
      <c r="C282" t="s">
        <v>522</v>
      </c>
      <c r="D282" t="s">
        <v>368</v>
      </c>
      <c r="E282">
        <v>3</v>
      </c>
      <c r="F282" t="s">
        <v>368</v>
      </c>
      <c r="G282" t="s">
        <v>377</v>
      </c>
      <c r="H282" s="13" t="s">
        <v>534</v>
      </c>
      <c r="K282" s="9" t="s">
        <v>271</v>
      </c>
      <c r="L282" s="78">
        <v>45959</v>
      </c>
      <c r="N282" s="78">
        <v>45959</v>
      </c>
      <c r="O282" s="31" t="s">
        <v>535</v>
      </c>
      <c r="P282" s="9"/>
      <c r="Q282" s="9">
        <f>COUNTIF(Tabela4[[#All],[Cenário]],Tabela4[[#This Row],[Cenário]])</f>
        <v>12</v>
      </c>
      <c r="R282">
        <f>COUNTIFS(Tabela4[[#All],[Cenário]],Tabela4[[#This Row],[Cenário]],Tabela4[[#All],[Status]],"Keyuser - Concluído ")</f>
        <v>10</v>
      </c>
      <c r="S282" t="str">
        <f>IF(Tabela4[[#This Row],[Tarefas por Cenário]]-Tabela4[[#This Row],[Tarefas Concluídas]]&gt;0,"Não","Sim")</f>
        <v>Não</v>
      </c>
      <c r="T282">
        <f>COUNTIFS(Tabela4[[#All],[Cenário]],Tabela4[[#This Row],[Cenário]],Tabela4[[#All],[Status]],Tabela4[[#Headers],[Elo - Em correção ]])</f>
        <v>0</v>
      </c>
      <c r="U282">
        <f>COUNTIFS(Tabela4[[#All],[Cenário]],Tabela4[[#This Row],[Cenário]],Tabela4[[#All],[Status]],Tabela4[[#Headers],[Keyuser - Aguardando tarefa precedente]])</f>
        <v>0</v>
      </c>
      <c r="V282">
        <f>COUNTIFS(Tabela4[[#All],[Cenário]],Tabela4[[#This Row],[Cenário]],Tabela4[[#All],[Status]],Tabela4[[#Headers],[Não liberado  para testes]])</f>
        <v>2</v>
      </c>
      <c r="W282" t="str">
        <f>IF(Tabela4[[#This Row],[Elo - Em correção ]]&gt;0,"Sim","Não")</f>
        <v>Não</v>
      </c>
      <c r="X282" t="str">
        <f>IF(Tabela4[[#This Row],[Keyuser - Aguardando tarefa precedente]]&gt;0,"Sim","Não")</f>
        <v>Não</v>
      </c>
      <c r="Y282" t="str">
        <f>IF(Tabela4[[#This Row],[Não liberado  para testes]]&gt;0,"Sim","Não")</f>
        <v>Sim</v>
      </c>
      <c r="Z282" t="str">
        <f ca="1">IF(Tabela4[[#This Row],[Status]]="Keyuser - Pendente",NETWORKDAYS(Tabela4[[#This Row],[Dt Inicial]],TODAY()),"")</f>
        <v/>
      </c>
      <c r="AA282" t="b">
        <f>AND(Tabela4[[#This Row],[Status]]="Keyuser - Aguardando tarefa precedente",K281="Keyuser - Concluído ")</f>
        <v>0</v>
      </c>
    </row>
    <row r="283" spans="1:27" x14ac:dyDescent="0.25">
      <c r="A283" t="str">
        <f>"OUT-"&amp;IFERROR(MID(Tabela4[[#This Row],[Cenário]],SEARCH("(",Tabela4[[#This Row],[Cenário]])+1,SEARCH(")",Tabela4[[#This Row],[Cenário]])-SEARCH("(",Tabela4[[#This Row],[Cenário]])-1),"")&amp;"_"&amp;ROW()</f>
        <v>OUT-YRET_283</v>
      </c>
      <c r="B283" t="s">
        <v>358</v>
      </c>
      <c r="C283" t="s">
        <v>522</v>
      </c>
      <c r="D283" t="s">
        <v>371</v>
      </c>
      <c r="E283">
        <v>4</v>
      </c>
      <c r="F283" t="s">
        <v>372</v>
      </c>
      <c r="G283" t="s">
        <v>287</v>
      </c>
      <c r="H283" s="13" t="s">
        <v>534</v>
      </c>
      <c r="K283" s="9" t="s">
        <v>271</v>
      </c>
      <c r="L283" s="78" t="s">
        <v>533</v>
      </c>
      <c r="N283" s="78">
        <v>45960</v>
      </c>
      <c r="O283" s="31"/>
      <c r="P283" s="9"/>
      <c r="Q283" s="9">
        <f>COUNTIF(Tabela4[[#All],[Cenário]],Tabela4[[#This Row],[Cenário]])</f>
        <v>12</v>
      </c>
      <c r="R283">
        <f>COUNTIFS(Tabela4[[#All],[Cenário]],Tabela4[[#This Row],[Cenário]],Tabela4[[#All],[Status]],"Keyuser - Concluído ")</f>
        <v>10</v>
      </c>
      <c r="S283" t="str">
        <f>IF(Tabela4[[#This Row],[Tarefas por Cenário]]-Tabela4[[#This Row],[Tarefas Concluídas]]&gt;0,"Não","Sim")</f>
        <v>Não</v>
      </c>
      <c r="T283">
        <f>COUNTIFS(Tabela4[[#All],[Cenário]],Tabela4[[#This Row],[Cenário]],Tabela4[[#All],[Status]],Tabela4[[#Headers],[Elo - Em correção ]])</f>
        <v>0</v>
      </c>
      <c r="U283">
        <f>COUNTIFS(Tabela4[[#All],[Cenário]],Tabela4[[#This Row],[Cenário]],Tabela4[[#All],[Status]],Tabela4[[#Headers],[Keyuser - Aguardando tarefa precedente]])</f>
        <v>0</v>
      </c>
      <c r="V283">
        <f>COUNTIFS(Tabela4[[#All],[Cenário]],Tabela4[[#This Row],[Cenário]],Tabela4[[#All],[Status]],Tabela4[[#Headers],[Não liberado  para testes]])</f>
        <v>2</v>
      </c>
      <c r="W283" t="str">
        <f>IF(Tabela4[[#This Row],[Elo - Em correção ]]&gt;0,"Sim","Não")</f>
        <v>Não</v>
      </c>
      <c r="X283" t="str">
        <f>IF(Tabela4[[#This Row],[Keyuser - Aguardando tarefa precedente]]&gt;0,"Sim","Não")</f>
        <v>Não</v>
      </c>
      <c r="Y283" t="str">
        <f>IF(Tabela4[[#This Row],[Não liberado  para testes]]&gt;0,"Sim","Não")</f>
        <v>Sim</v>
      </c>
      <c r="Z283" t="str">
        <f ca="1">IF(Tabela4[[#This Row],[Status]]="Keyuser - Pendente",NETWORKDAYS(Tabela4[[#This Row],[Dt Inicial]],TODAY()),"")</f>
        <v/>
      </c>
      <c r="AA283" t="b">
        <f>AND(Tabela4[[#This Row],[Status]]="Keyuser - Aguardando tarefa precedente",K282="Keyuser - Concluído ")</f>
        <v>0</v>
      </c>
    </row>
    <row r="284" spans="1:27" x14ac:dyDescent="0.25">
      <c r="A284" t="str">
        <f>"OUT-"&amp;IFERROR(MID(Tabela4[[#This Row],[Cenário]],SEARCH("(",Tabela4[[#This Row],[Cenário]])+1,SEARCH(")",Tabela4[[#This Row],[Cenário]])-SEARCH("(",Tabela4[[#This Row],[Cenário]])-1),"")&amp;"_"&amp;ROW()</f>
        <v>OUT-YRET_284</v>
      </c>
      <c r="B284" t="s">
        <v>358</v>
      </c>
      <c r="C284" t="s">
        <v>522</v>
      </c>
      <c r="D284" t="s">
        <v>373</v>
      </c>
      <c r="E284">
        <v>5</v>
      </c>
      <c r="F284" t="s">
        <v>373</v>
      </c>
      <c r="G284" t="s">
        <v>283</v>
      </c>
      <c r="H284" s="13" t="s">
        <v>534</v>
      </c>
      <c r="K284" s="9" t="s">
        <v>271</v>
      </c>
      <c r="L284" s="78" t="s">
        <v>533</v>
      </c>
      <c r="N284" s="78">
        <v>45960</v>
      </c>
      <c r="O284" s="31"/>
      <c r="P284" s="9"/>
      <c r="Q284" s="9">
        <f>COUNTIF(Tabela4[[#All],[Cenário]],Tabela4[[#This Row],[Cenário]])</f>
        <v>12</v>
      </c>
      <c r="R284">
        <f>COUNTIFS(Tabela4[[#All],[Cenário]],Tabela4[[#This Row],[Cenário]],Tabela4[[#All],[Status]],"Keyuser - Concluído ")</f>
        <v>10</v>
      </c>
      <c r="S284" t="str">
        <f>IF(Tabela4[[#This Row],[Tarefas por Cenário]]-Tabela4[[#This Row],[Tarefas Concluídas]]&gt;0,"Não","Sim")</f>
        <v>Não</v>
      </c>
      <c r="T284">
        <f>COUNTIFS(Tabela4[[#All],[Cenário]],Tabela4[[#This Row],[Cenário]],Tabela4[[#All],[Status]],Tabela4[[#Headers],[Elo - Em correção ]])</f>
        <v>0</v>
      </c>
      <c r="U284">
        <f>COUNTIFS(Tabela4[[#All],[Cenário]],Tabela4[[#This Row],[Cenário]],Tabela4[[#All],[Status]],Tabela4[[#Headers],[Keyuser - Aguardando tarefa precedente]])</f>
        <v>0</v>
      </c>
      <c r="V284">
        <f>COUNTIFS(Tabela4[[#All],[Cenário]],Tabela4[[#This Row],[Cenário]],Tabela4[[#All],[Status]],Tabela4[[#Headers],[Não liberado  para testes]])</f>
        <v>2</v>
      </c>
      <c r="W284" t="str">
        <f>IF(Tabela4[[#This Row],[Elo - Em correção ]]&gt;0,"Sim","Não")</f>
        <v>Não</v>
      </c>
      <c r="X284" t="str">
        <f>IF(Tabela4[[#This Row],[Keyuser - Aguardando tarefa precedente]]&gt;0,"Sim","Não")</f>
        <v>Não</v>
      </c>
      <c r="Y284" t="str">
        <f>IF(Tabela4[[#This Row],[Não liberado  para testes]]&gt;0,"Sim","Não")</f>
        <v>Sim</v>
      </c>
      <c r="Z284" t="str">
        <f ca="1">IF(Tabela4[[#This Row],[Status]]="Keyuser - Pendente",NETWORKDAYS(Tabela4[[#This Row],[Dt Inicial]],TODAY()),"")</f>
        <v/>
      </c>
      <c r="AA284" t="b">
        <f>AND(Tabela4[[#This Row],[Status]]="Keyuser - Aguardando tarefa precedente",K283="Keyuser - Concluído ")</f>
        <v>0</v>
      </c>
    </row>
    <row r="285" spans="1:27" x14ac:dyDescent="0.25">
      <c r="A285" t="str">
        <f>"OUT-"&amp;IFERROR(MID(Tabela4[[#This Row],[Cenário]],SEARCH("(",Tabela4[[#This Row],[Cenário]])+1,SEARCH(")",Tabela4[[#This Row],[Cenário]])-SEARCH("(",Tabela4[[#This Row],[Cenário]])-1),"")&amp;"_"&amp;ROW()</f>
        <v>OUT-YRET_285</v>
      </c>
      <c r="B285" t="s">
        <v>374</v>
      </c>
      <c r="C285" t="s">
        <v>522</v>
      </c>
      <c r="D285" t="s">
        <v>286</v>
      </c>
      <c r="E285">
        <v>6</v>
      </c>
      <c r="F285" t="s">
        <v>286</v>
      </c>
      <c r="G285" t="s">
        <v>287</v>
      </c>
      <c r="H285" s="13"/>
      <c r="K285" s="9" t="s">
        <v>262</v>
      </c>
      <c r="N285" s="78"/>
      <c r="O285" s="31"/>
      <c r="P285" s="9"/>
      <c r="Q285" s="9">
        <f>COUNTIF(Tabela4[[#All],[Cenário]],Tabela4[[#This Row],[Cenário]])</f>
        <v>12</v>
      </c>
      <c r="R285">
        <f>COUNTIFS(Tabela4[[#All],[Cenário]],Tabela4[[#This Row],[Cenário]],Tabela4[[#All],[Status]],"Keyuser - Concluído ")</f>
        <v>10</v>
      </c>
      <c r="S285" t="str">
        <f>IF(Tabela4[[#This Row],[Tarefas por Cenário]]-Tabela4[[#This Row],[Tarefas Concluídas]]&gt;0,"Não","Sim")</f>
        <v>Não</v>
      </c>
      <c r="T285">
        <f>COUNTIFS(Tabela4[[#All],[Cenário]],Tabela4[[#This Row],[Cenário]],Tabela4[[#All],[Status]],Tabela4[[#Headers],[Elo - Em correção ]])</f>
        <v>0</v>
      </c>
      <c r="U285">
        <f>COUNTIFS(Tabela4[[#All],[Cenário]],Tabela4[[#This Row],[Cenário]],Tabela4[[#All],[Status]],Tabela4[[#Headers],[Keyuser - Aguardando tarefa precedente]])</f>
        <v>0</v>
      </c>
      <c r="V285">
        <f>COUNTIFS(Tabela4[[#All],[Cenário]],Tabela4[[#This Row],[Cenário]],Tabela4[[#All],[Status]],Tabela4[[#Headers],[Não liberado  para testes]])</f>
        <v>2</v>
      </c>
      <c r="W285" t="str">
        <f>IF(Tabela4[[#This Row],[Elo - Em correção ]]&gt;0,"Sim","Não")</f>
        <v>Não</v>
      </c>
      <c r="X285" t="str">
        <f>IF(Tabela4[[#This Row],[Keyuser - Aguardando tarefa precedente]]&gt;0,"Sim","Não")</f>
        <v>Não</v>
      </c>
      <c r="Y285" t="str">
        <f>IF(Tabela4[[#This Row],[Não liberado  para testes]]&gt;0,"Sim","Não")</f>
        <v>Sim</v>
      </c>
      <c r="Z285" t="str">
        <f ca="1">IF(Tabela4[[#This Row],[Status]]="Keyuser - Pendente",NETWORKDAYS(Tabela4[[#This Row],[Dt Inicial]],TODAY()),"")</f>
        <v/>
      </c>
      <c r="AA285" t="b">
        <f>AND(Tabela4[[#This Row],[Status]]="Keyuser - Aguardando tarefa precedente",K284="Keyuser - Concluído ")</f>
        <v>0</v>
      </c>
    </row>
    <row r="286" spans="1:27" x14ac:dyDescent="0.25">
      <c r="A286" t="str">
        <f>"OUT-"&amp;IFERROR(MID(Tabela4[[#This Row],[Cenário]],SEARCH("(",Tabela4[[#This Row],[Cenário]])+1,SEARCH(")",Tabela4[[#This Row],[Cenário]])-SEARCH("(",Tabela4[[#This Row],[Cenário]])-1),"")&amp;"_"&amp;ROW()</f>
        <v>OUT-YVFP_286</v>
      </c>
      <c r="B286" t="s">
        <v>358</v>
      </c>
      <c r="C286" t="s">
        <v>536</v>
      </c>
      <c r="D286" t="s">
        <v>360</v>
      </c>
      <c r="E286">
        <v>1</v>
      </c>
      <c r="F286" t="s">
        <v>360</v>
      </c>
      <c r="G286" t="s">
        <v>361</v>
      </c>
      <c r="H286" s="18">
        <v>70583978</v>
      </c>
      <c r="I286" s="9" t="s">
        <v>537</v>
      </c>
      <c r="K286" s="9" t="s">
        <v>271</v>
      </c>
      <c r="L286" s="78">
        <v>45979</v>
      </c>
      <c r="N286" s="78">
        <v>45979</v>
      </c>
      <c r="O286" s="31"/>
      <c r="P286" s="9"/>
      <c r="Q286" s="9">
        <f>COUNTIF(Tabela4[[#All],[Cenário]],Tabela4[[#This Row],[Cenário]])</f>
        <v>8</v>
      </c>
      <c r="R286">
        <f>COUNTIFS(Tabela4[[#All],[Cenário]],Tabela4[[#This Row],[Cenário]],Tabela4[[#All],[Status]],"Keyuser - Concluído ")</f>
        <v>7</v>
      </c>
      <c r="S286" t="str">
        <f>IF(Tabela4[[#This Row],[Tarefas por Cenário]]-Tabela4[[#This Row],[Tarefas Concluídas]]&gt;0,"Não","Sim")</f>
        <v>Não</v>
      </c>
      <c r="T286">
        <f>COUNTIFS(Tabela4[[#All],[Cenário]],Tabela4[[#This Row],[Cenário]],Tabela4[[#All],[Status]],Tabela4[[#Headers],[Elo - Em correção ]])</f>
        <v>0</v>
      </c>
      <c r="U286">
        <f>COUNTIFS(Tabela4[[#All],[Cenário]],Tabela4[[#This Row],[Cenário]],Tabela4[[#All],[Status]],Tabela4[[#Headers],[Keyuser - Aguardando tarefa precedente]])</f>
        <v>0</v>
      </c>
      <c r="V286">
        <f>COUNTIFS(Tabela4[[#All],[Cenário]],Tabela4[[#This Row],[Cenário]],Tabela4[[#All],[Status]],Tabela4[[#Headers],[Não liberado  para testes]])</f>
        <v>1</v>
      </c>
      <c r="W286" t="str">
        <f>IF(Tabela4[[#This Row],[Elo - Em correção ]]&gt;0,"Sim","Não")</f>
        <v>Não</v>
      </c>
      <c r="X286" t="str">
        <f>IF(Tabela4[[#This Row],[Keyuser - Aguardando tarefa precedente]]&gt;0,"Sim","Não")</f>
        <v>Não</v>
      </c>
      <c r="Y286" t="str">
        <f>IF(Tabela4[[#This Row],[Não liberado  para testes]]&gt;0,"Sim","Não")</f>
        <v>Sim</v>
      </c>
      <c r="Z286" t="str">
        <f ca="1">IF(Tabela4[[#This Row],[Status]]="Keyuser - Pendente",NETWORKDAYS(Tabela4[[#This Row],[Dt Inicial]],TODAY()),"")</f>
        <v/>
      </c>
      <c r="AA286" t="b">
        <f>AND(Tabela4[[#This Row],[Status]]="Keyuser - Aguardando tarefa precedente",K285="Keyuser - Concluído ")</f>
        <v>0</v>
      </c>
    </row>
    <row r="287" spans="1:27" x14ac:dyDescent="0.25">
      <c r="A287" t="str">
        <f>"OUT-"&amp;IFERROR(MID(Tabela4[[#This Row],[Cenário]],SEARCH("(",Tabela4[[#This Row],[Cenário]])+1,SEARCH(")",Tabela4[[#This Row],[Cenário]])-SEARCH("(",Tabela4[[#This Row],[Cenário]])-1),"")&amp;"_"&amp;ROW()</f>
        <v>OUT-YVFP_287</v>
      </c>
      <c r="B287" t="s">
        <v>358</v>
      </c>
      <c r="C287" t="s">
        <v>536</v>
      </c>
      <c r="D287" t="s">
        <v>365</v>
      </c>
      <c r="E287">
        <v>2</v>
      </c>
      <c r="F287" t="s">
        <v>365</v>
      </c>
      <c r="G287" t="s">
        <v>310</v>
      </c>
      <c r="H287" s="18">
        <v>70583978</v>
      </c>
      <c r="I287" s="9" t="s">
        <v>537</v>
      </c>
      <c r="K287" s="9" t="s">
        <v>271</v>
      </c>
      <c r="L287" s="78">
        <v>45979</v>
      </c>
      <c r="N287" s="78">
        <v>45979</v>
      </c>
      <c r="O287" s="31"/>
      <c r="P287" s="9"/>
      <c r="Q287" s="9">
        <f>COUNTIF(Tabela4[[#All],[Cenário]],Tabela4[[#This Row],[Cenário]])</f>
        <v>8</v>
      </c>
      <c r="R287">
        <f>COUNTIFS(Tabela4[[#All],[Cenário]],Tabela4[[#This Row],[Cenário]],Tabela4[[#All],[Status]],"Keyuser - Concluído ")</f>
        <v>7</v>
      </c>
      <c r="S287" t="str">
        <f>IF(Tabela4[[#This Row],[Tarefas por Cenário]]-Tabela4[[#This Row],[Tarefas Concluídas]]&gt;0,"Não","Sim")</f>
        <v>Não</v>
      </c>
      <c r="T287">
        <f>COUNTIFS(Tabela4[[#All],[Cenário]],Tabela4[[#This Row],[Cenário]],Tabela4[[#All],[Status]],Tabela4[[#Headers],[Elo - Em correção ]])</f>
        <v>0</v>
      </c>
      <c r="U287">
        <f>COUNTIFS(Tabela4[[#All],[Cenário]],Tabela4[[#This Row],[Cenário]],Tabela4[[#All],[Status]],Tabela4[[#Headers],[Keyuser - Aguardando tarefa precedente]])</f>
        <v>0</v>
      </c>
      <c r="V287">
        <f>COUNTIFS(Tabela4[[#All],[Cenário]],Tabela4[[#This Row],[Cenário]],Tabela4[[#All],[Status]],Tabela4[[#Headers],[Não liberado  para testes]])</f>
        <v>1</v>
      </c>
      <c r="W287" t="str">
        <f>IF(Tabela4[[#This Row],[Elo - Em correção ]]&gt;0,"Sim","Não")</f>
        <v>Não</v>
      </c>
      <c r="X287" t="str">
        <f>IF(Tabela4[[#This Row],[Keyuser - Aguardando tarefa precedente]]&gt;0,"Sim","Não")</f>
        <v>Não</v>
      </c>
      <c r="Y287" t="str">
        <f>IF(Tabela4[[#This Row],[Não liberado  para testes]]&gt;0,"Sim","Não")</f>
        <v>Sim</v>
      </c>
      <c r="Z287" t="str">
        <f ca="1">IF(Tabela4[[#This Row],[Status]]="Keyuser - Pendente",NETWORKDAYS(Tabela4[[#This Row],[Dt Inicial]],TODAY()),"")</f>
        <v/>
      </c>
      <c r="AA287" t="b">
        <f>AND(Tabela4[[#This Row],[Status]]="Keyuser - Aguardando tarefa precedente",K286="Keyuser - Concluído ")</f>
        <v>0</v>
      </c>
    </row>
    <row r="288" spans="1:27" x14ac:dyDescent="0.25">
      <c r="A288" t="str">
        <f>"OUT-"&amp;IFERROR(MID(Tabela4[[#This Row],[Cenário]],SEARCH("(",Tabela4[[#This Row],[Cenário]])+1,SEARCH(")",Tabela4[[#This Row],[Cenário]])-SEARCH("(",Tabela4[[#This Row],[Cenário]])-1),"")&amp;"_"&amp;ROW()</f>
        <v>OUT-YVFP_288</v>
      </c>
      <c r="B288" t="s">
        <v>358</v>
      </c>
      <c r="C288" t="s">
        <v>536</v>
      </c>
      <c r="D288" t="s">
        <v>366</v>
      </c>
      <c r="E288">
        <v>3</v>
      </c>
      <c r="F288" t="s">
        <v>366</v>
      </c>
      <c r="G288" t="s">
        <v>367</v>
      </c>
      <c r="H288" s="18">
        <v>70583978</v>
      </c>
      <c r="I288" s="9" t="s">
        <v>537</v>
      </c>
      <c r="K288" s="9" t="s">
        <v>271</v>
      </c>
      <c r="L288" s="78">
        <v>45979</v>
      </c>
      <c r="N288" s="78">
        <v>45979</v>
      </c>
      <c r="O288" s="31"/>
      <c r="P288" s="9"/>
      <c r="Q288" s="9">
        <f>COUNTIF(Tabela4[[#All],[Cenário]],Tabela4[[#This Row],[Cenário]])</f>
        <v>8</v>
      </c>
      <c r="R288">
        <f>COUNTIFS(Tabela4[[#All],[Cenário]],Tabela4[[#This Row],[Cenário]],Tabela4[[#All],[Status]],"Keyuser - Concluído ")</f>
        <v>7</v>
      </c>
      <c r="S288" t="str">
        <f>IF(Tabela4[[#This Row],[Tarefas por Cenário]]-Tabela4[[#This Row],[Tarefas Concluídas]]&gt;0,"Não","Sim")</f>
        <v>Não</v>
      </c>
      <c r="T288">
        <f>COUNTIFS(Tabela4[[#All],[Cenário]],Tabela4[[#This Row],[Cenário]],Tabela4[[#All],[Status]],Tabela4[[#Headers],[Elo - Em correção ]])</f>
        <v>0</v>
      </c>
      <c r="U288">
        <f>COUNTIFS(Tabela4[[#All],[Cenário]],Tabela4[[#This Row],[Cenário]],Tabela4[[#All],[Status]],Tabela4[[#Headers],[Keyuser - Aguardando tarefa precedente]])</f>
        <v>0</v>
      </c>
      <c r="V288">
        <f>COUNTIFS(Tabela4[[#All],[Cenário]],Tabela4[[#This Row],[Cenário]],Tabela4[[#All],[Status]],Tabela4[[#Headers],[Não liberado  para testes]])</f>
        <v>1</v>
      </c>
      <c r="W288" t="str">
        <f>IF(Tabela4[[#This Row],[Elo - Em correção ]]&gt;0,"Sim","Não")</f>
        <v>Não</v>
      </c>
      <c r="X288" t="str">
        <f>IF(Tabela4[[#This Row],[Keyuser - Aguardando tarefa precedente]]&gt;0,"Sim","Não")</f>
        <v>Não</v>
      </c>
      <c r="Y288" t="str">
        <f>IF(Tabela4[[#This Row],[Não liberado  para testes]]&gt;0,"Sim","Não")</f>
        <v>Sim</v>
      </c>
      <c r="Z288" t="str">
        <f ca="1">IF(Tabela4[[#This Row],[Status]]="Keyuser - Pendente",NETWORKDAYS(Tabela4[[#This Row],[Dt Inicial]],TODAY()),"")</f>
        <v/>
      </c>
      <c r="AA288" t="b">
        <f>AND(Tabela4[[#This Row],[Status]]="Keyuser - Aguardando tarefa precedente",K287="Keyuser - Concluído ")</f>
        <v>0</v>
      </c>
    </row>
    <row r="289" spans="1:27" x14ac:dyDescent="0.25">
      <c r="A289" t="str">
        <f>"OUT-"&amp;IFERROR(MID(Tabela4[[#This Row],[Cenário]],SEARCH("(",Tabela4[[#This Row],[Cenário]])+1,SEARCH(")",Tabela4[[#This Row],[Cenário]])-SEARCH("(",Tabela4[[#This Row],[Cenário]])-1),"")&amp;"_"&amp;ROW()</f>
        <v>OUT-YVFP_289</v>
      </c>
      <c r="B289" t="s">
        <v>358</v>
      </c>
      <c r="C289" t="s">
        <v>536</v>
      </c>
      <c r="D289" t="s">
        <v>368</v>
      </c>
      <c r="E289">
        <v>4</v>
      </c>
      <c r="F289" t="s">
        <v>368</v>
      </c>
      <c r="G289" t="s">
        <v>369</v>
      </c>
      <c r="H289" s="13" t="s">
        <v>538</v>
      </c>
      <c r="K289" s="9" t="s">
        <v>271</v>
      </c>
      <c r="L289" s="78">
        <v>45979</v>
      </c>
      <c r="N289" s="78">
        <v>45979</v>
      </c>
      <c r="O289" s="60"/>
      <c r="P289" s="9"/>
      <c r="Q289" s="9">
        <f>COUNTIF(Tabela4[[#All],[Cenário]],Tabela4[[#This Row],[Cenário]])</f>
        <v>8</v>
      </c>
      <c r="R289">
        <f>COUNTIFS(Tabela4[[#All],[Cenário]],Tabela4[[#This Row],[Cenário]],Tabela4[[#All],[Status]],"Keyuser - Concluído ")</f>
        <v>7</v>
      </c>
      <c r="S289" t="str">
        <f>IF(Tabela4[[#This Row],[Tarefas por Cenário]]-Tabela4[[#This Row],[Tarefas Concluídas]]&gt;0,"Não","Sim")</f>
        <v>Não</v>
      </c>
      <c r="T289">
        <f>COUNTIFS(Tabela4[[#All],[Cenário]],Tabela4[[#This Row],[Cenário]],Tabela4[[#All],[Status]],Tabela4[[#Headers],[Elo - Em correção ]])</f>
        <v>0</v>
      </c>
      <c r="U289">
        <f>COUNTIFS(Tabela4[[#All],[Cenário]],Tabela4[[#This Row],[Cenário]],Tabela4[[#All],[Status]],Tabela4[[#Headers],[Keyuser - Aguardando tarefa precedente]])</f>
        <v>0</v>
      </c>
      <c r="V289">
        <f>COUNTIFS(Tabela4[[#All],[Cenário]],Tabela4[[#This Row],[Cenário]],Tabela4[[#All],[Status]],Tabela4[[#Headers],[Não liberado  para testes]])</f>
        <v>1</v>
      </c>
      <c r="W289" t="str">
        <f>IF(Tabela4[[#This Row],[Elo - Em correção ]]&gt;0,"Sim","Não")</f>
        <v>Não</v>
      </c>
      <c r="X289" t="str">
        <f>IF(Tabela4[[#This Row],[Keyuser - Aguardando tarefa precedente]]&gt;0,"Sim","Não")</f>
        <v>Não</v>
      </c>
      <c r="Y289" t="str">
        <f>IF(Tabela4[[#This Row],[Não liberado  para testes]]&gt;0,"Sim","Não")</f>
        <v>Sim</v>
      </c>
      <c r="Z289" t="str">
        <f ca="1">IF(Tabela4[[#This Row],[Status]]="Keyuser - Pendente",NETWORKDAYS(Tabela4[[#This Row],[Dt Inicial]],TODAY()),"")</f>
        <v/>
      </c>
      <c r="AA289" t="b">
        <f>AND(Tabela4[[#This Row],[Status]]="Keyuser - Aguardando tarefa precedente",K288="Keyuser - Concluído ")</f>
        <v>0</v>
      </c>
    </row>
    <row r="290" spans="1:27" x14ac:dyDescent="0.25">
      <c r="A290" t="str">
        <f>"OUT-"&amp;IFERROR(MID(Tabela4[[#This Row],[Cenário]],SEARCH("(",Tabela4[[#This Row],[Cenário]])+1,SEARCH(")",Tabela4[[#This Row],[Cenário]])-SEARCH("(",Tabela4[[#This Row],[Cenário]])-1),"")&amp;"_"&amp;ROW()</f>
        <v>OUT-YVFP_290</v>
      </c>
      <c r="B290" t="s">
        <v>358</v>
      </c>
      <c r="C290" t="s">
        <v>536</v>
      </c>
      <c r="D290" t="s">
        <v>371</v>
      </c>
      <c r="E290">
        <v>5</v>
      </c>
      <c r="F290" t="s">
        <v>435</v>
      </c>
      <c r="G290" t="s">
        <v>287</v>
      </c>
      <c r="H290" s="13" t="s">
        <v>538</v>
      </c>
      <c r="K290" s="9" t="s">
        <v>271</v>
      </c>
      <c r="L290" s="78" t="s">
        <v>539</v>
      </c>
      <c r="N290" s="78">
        <v>45986</v>
      </c>
      <c r="O290" s="31"/>
      <c r="P290" s="9"/>
      <c r="Q290" s="9">
        <f>COUNTIF(Tabela4[[#All],[Cenário]],Tabela4[[#This Row],[Cenário]])</f>
        <v>8</v>
      </c>
      <c r="R290">
        <f>COUNTIFS(Tabela4[[#All],[Cenário]],Tabela4[[#This Row],[Cenário]],Tabela4[[#All],[Status]],"Keyuser - Concluído ")</f>
        <v>7</v>
      </c>
      <c r="S290" t="str">
        <f>IF(Tabela4[[#This Row],[Tarefas por Cenário]]-Tabela4[[#This Row],[Tarefas Concluídas]]&gt;0,"Não","Sim")</f>
        <v>Não</v>
      </c>
      <c r="T290">
        <f>COUNTIFS(Tabela4[[#All],[Cenário]],Tabela4[[#This Row],[Cenário]],Tabela4[[#All],[Status]],Tabela4[[#Headers],[Elo - Em correção ]])</f>
        <v>0</v>
      </c>
      <c r="U290">
        <f>COUNTIFS(Tabela4[[#All],[Cenário]],Tabela4[[#This Row],[Cenário]],Tabela4[[#All],[Status]],Tabela4[[#Headers],[Keyuser - Aguardando tarefa precedente]])</f>
        <v>0</v>
      </c>
      <c r="V290">
        <f>COUNTIFS(Tabela4[[#All],[Cenário]],Tabela4[[#This Row],[Cenário]],Tabela4[[#All],[Status]],Tabela4[[#Headers],[Não liberado  para testes]])</f>
        <v>1</v>
      </c>
      <c r="W290" t="str">
        <f>IF(Tabela4[[#This Row],[Elo - Em correção ]]&gt;0,"Sim","Não")</f>
        <v>Não</v>
      </c>
      <c r="X290" t="str">
        <f>IF(Tabela4[[#This Row],[Keyuser - Aguardando tarefa precedente]]&gt;0,"Sim","Não")</f>
        <v>Não</v>
      </c>
      <c r="Y290" t="str">
        <f>IF(Tabela4[[#This Row],[Não liberado  para testes]]&gt;0,"Sim","Não")</f>
        <v>Sim</v>
      </c>
      <c r="Z290" t="str">
        <f ca="1">IF(Tabela4[[#This Row],[Status]]="Keyuser - Pendente",NETWORKDAYS(Tabela4[[#This Row],[Dt Inicial]],TODAY()),"")</f>
        <v/>
      </c>
      <c r="AA290" t="b">
        <f>AND(Tabela4[[#This Row],[Status]]="Keyuser - Aguardando tarefa precedente",K289="Keyuser - Concluído ")</f>
        <v>0</v>
      </c>
    </row>
    <row r="291" spans="1:27" x14ac:dyDescent="0.25">
      <c r="A291" t="str">
        <f>"OUT-"&amp;IFERROR(MID(Tabela4[[#This Row],[Cenário]],SEARCH("(",Tabela4[[#This Row],[Cenário]])+1,SEARCH(")",Tabela4[[#This Row],[Cenário]])-SEARCH("(",Tabela4[[#This Row],[Cenário]])-1),"")&amp;"_"&amp;ROW()</f>
        <v>OUT-YVFP_291</v>
      </c>
      <c r="B291" t="s">
        <v>358</v>
      </c>
      <c r="C291" t="s">
        <v>536</v>
      </c>
      <c r="D291" t="s">
        <v>373</v>
      </c>
      <c r="E291">
        <v>6</v>
      </c>
      <c r="F291" t="s">
        <v>373</v>
      </c>
      <c r="G291" t="s">
        <v>283</v>
      </c>
      <c r="H291" s="13" t="s">
        <v>538</v>
      </c>
      <c r="K291" s="9" t="s">
        <v>271</v>
      </c>
      <c r="L291" s="78" t="s">
        <v>539</v>
      </c>
      <c r="N291" s="78">
        <v>45986</v>
      </c>
      <c r="O291" s="31"/>
      <c r="P291" s="9"/>
      <c r="Q291" s="9">
        <f>COUNTIF(Tabela4[[#All],[Cenário]],Tabela4[[#This Row],[Cenário]])</f>
        <v>8</v>
      </c>
      <c r="R291">
        <f>COUNTIFS(Tabela4[[#All],[Cenário]],Tabela4[[#This Row],[Cenário]],Tabela4[[#All],[Status]],"Keyuser - Concluído ")</f>
        <v>7</v>
      </c>
      <c r="S291" t="str">
        <f>IF(Tabela4[[#This Row],[Tarefas por Cenário]]-Tabela4[[#This Row],[Tarefas Concluídas]]&gt;0,"Não","Sim")</f>
        <v>Não</v>
      </c>
      <c r="T291">
        <f>COUNTIFS(Tabela4[[#All],[Cenário]],Tabela4[[#This Row],[Cenário]],Tabela4[[#All],[Status]],Tabela4[[#Headers],[Elo - Em correção ]])</f>
        <v>0</v>
      </c>
      <c r="U291">
        <f>COUNTIFS(Tabela4[[#All],[Cenário]],Tabela4[[#This Row],[Cenário]],Tabela4[[#All],[Status]],Tabela4[[#Headers],[Keyuser - Aguardando tarefa precedente]])</f>
        <v>0</v>
      </c>
      <c r="V291">
        <f>COUNTIFS(Tabela4[[#All],[Cenário]],Tabela4[[#This Row],[Cenário]],Tabela4[[#All],[Status]],Tabela4[[#Headers],[Não liberado  para testes]])</f>
        <v>1</v>
      </c>
      <c r="W291" t="str">
        <f>IF(Tabela4[[#This Row],[Elo - Em correção ]]&gt;0,"Sim","Não")</f>
        <v>Não</v>
      </c>
      <c r="X291" t="str">
        <f>IF(Tabela4[[#This Row],[Keyuser - Aguardando tarefa precedente]]&gt;0,"Sim","Não")</f>
        <v>Não</v>
      </c>
      <c r="Y291" t="str">
        <f>IF(Tabela4[[#This Row],[Não liberado  para testes]]&gt;0,"Sim","Não")</f>
        <v>Sim</v>
      </c>
      <c r="Z291" t="str">
        <f ca="1">IF(Tabela4[[#This Row],[Status]]="Keyuser - Pendente",NETWORKDAYS(Tabela4[[#This Row],[Dt Inicial]],TODAY()),"")</f>
        <v/>
      </c>
      <c r="AA291" t="b">
        <f>AND(Tabela4[[#This Row],[Status]]="Keyuser - Aguardando tarefa precedente",K290="Keyuser - Concluído ")</f>
        <v>0</v>
      </c>
    </row>
    <row r="292" spans="1:27" x14ac:dyDescent="0.25">
      <c r="A292" t="str">
        <f>"OUT-"&amp;IFERROR(MID(Tabela4[[#This Row],[Cenário]],SEARCH("(",Tabela4[[#This Row],[Cenário]])+1,SEARCH(")",Tabela4[[#This Row],[Cenário]])-SEARCH("(",Tabela4[[#This Row],[Cenário]])-1),"")&amp;"_"&amp;ROW()</f>
        <v>OUT-YVFP_292</v>
      </c>
      <c r="B292" t="s">
        <v>374</v>
      </c>
      <c r="C292" t="s">
        <v>536</v>
      </c>
      <c r="D292" t="s">
        <v>286</v>
      </c>
      <c r="E292">
        <v>7</v>
      </c>
      <c r="F292" t="s">
        <v>286</v>
      </c>
      <c r="G292" t="s">
        <v>287</v>
      </c>
      <c r="H292" s="13"/>
      <c r="K292" s="9" t="s">
        <v>262</v>
      </c>
      <c r="N292" s="78"/>
      <c r="O292" s="31"/>
      <c r="P292" s="9"/>
      <c r="Q292" s="9">
        <f>COUNTIF(Tabela4[[#All],[Cenário]],Tabela4[[#This Row],[Cenário]])</f>
        <v>8</v>
      </c>
      <c r="R292">
        <f>COUNTIFS(Tabela4[[#All],[Cenário]],Tabela4[[#This Row],[Cenário]],Tabela4[[#All],[Status]],"Keyuser - Concluído ")</f>
        <v>7</v>
      </c>
      <c r="S292" t="str">
        <f>IF(Tabela4[[#This Row],[Tarefas por Cenário]]-Tabela4[[#This Row],[Tarefas Concluídas]]&gt;0,"Não","Sim")</f>
        <v>Não</v>
      </c>
      <c r="T292">
        <f>COUNTIFS(Tabela4[[#All],[Cenário]],Tabela4[[#This Row],[Cenário]],Tabela4[[#All],[Status]],Tabela4[[#Headers],[Elo - Em correção ]])</f>
        <v>0</v>
      </c>
      <c r="U292">
        <f>COUNTIFS(Tabela4[[#All],[Cenário]],Tabela4[[#This Row],[Cenário]],Tabela4[[#All],[Status]],Tabela4[[#Headers],[Keyuser - Aguardando tarefa precedente]])</f>
        <v>0</v>
      </c>
      <c r="V292">
        <f>COUNTIFS(Tabela4[[#All],[Cenário]],Tabela4[[#This Row],[Cenário]],Tabela4[[#All],[Status]],Tabela4[[#Headers],[Não liberado  para testes]])</f>
        <v>1</v>
      </c>
      <c r="W292" t="str">
        <f>IF(Tabela4[[#This Row],[Elo - Em correção ]]&gt;0,"Sim","Não")</f>
        <v>Não</v>
      </c>
      <c r="X292" t="str">
        <f>IF(Tabela4[[#This Row],[Keyuser - Aguardando tarefa precedente]]&gt;0,"Sim","Não")</f>
        <v>Não</v>
      </c>
      <c r="Y292" t="str">
        <f>IF(Tabela4[[#This Row],[Não liberado  para testes]]&gt;0,"Sim","Não")</f>
        <v>Sim</v>
      </c>
      <c r="Z292" t="str">
        <f ca="1">IF(Tabela4[[#This Row],[Status]]="Keyuser - Pendente",NETWORKDAYS(Tabela4[[#This Row],[Dt Inicial]],TODAY()),"")</f>
        <v/>
      </c>
      <c r="AA292" t="b">
        <f>AND(Tabela4[[#This Row],[Status]]="Keyuser - Aguardando tarefa precedente",K291="Keyuser - Concluído ")</f>
        <v>0</v>
      </c>
    </row>
    <row r="293" spans="1:27" x14ac:dyDescent="0.25">
      <c r="A293" t="str">
        <f>"OUT-"&amp;IFERROR(MID(Tabela4[[#This Row],[Cenário]],SEARCH("(",Tabela4[[#This Row],[Cenário]])+1,SEARCH(")",Tabela4[[#This Row],[Cenário]])-SEARCH("(",Tabela4[[#This Row],[Cenário]])-1),"")&amp;"_"&amp;ROW()</f>
        <v>OUT-YVFP_293</v>
      </c>
      <c r="B293" t="s">
        <v>358</v>
      </c>
      <c r="C293" t="s">
        <v>536</v>
      </c>
      <c r="D293" t="s">
        <v>375</v>
      </c>
      <c r="E293">
        <v>8</v>
      </c>
      <c r="F293" t="s">
        <v>375</v>
      </c>
      <c r="G293" t="s">
        <v>367</v>
      </c>
      <c r="H293" s="18">
        <v>70583978</v>
      </c>
      <c r="I293" s="9" t="s">
        <v>537</v>
      </c>
      <c r="K293" s="9" t="s">
        <v>271</v>
      </c>
      <c r="L293" s="78">
        <v>45986</v>
      </c>
      <c r="N293" s="78">
        <v>45986</v>
      </c>
      <c r="O293" s="31"/>
      <c r="P293" s="9"/>
      <c r="Q293" s="9">
        <f>COUNTIF(Tabela4[[#All],[Cenário]],Tabela4[[#This Row],[Cenário]])</f>
        <v>8</v>
      </c>
      <c r="R293">
        <f>COUNTIFS(Tabela4[[#All],[Cenário]],Tabela4[[#This Row],[Cenário]],Tabela4[[#All],[Status]],"Keyuser - Concluído ")</f>
        <v>7</v>
      </c>
      <c r="S293" t="str">
        <f>IF(Tabela4[[#This Row],[Tarefas por Cenário]]-Tabela4[[#This Row],[Tarefas Concluídas]]&gt;0,"Não","Sim")</f>
        <v>Não</v>
      </c>
      <c r="T293">
        <f>COUNTIFS(Tabela4[[#All],[Cenário]],Tabela4[[#This Row],[Cenário]],Tabela4[[#All],[Status]],Tabela4[[#Headers],[Elo - Em correção ]])</f>
        <v>0</v>
      </c>
      <c r="U293">
        <f>COUNTIFS(Tabela4[[#All],[Cenário]],Tabela4[[#This Row],[Cenário]],Tabela4[[#All],[Status]],Tabela4[[#Headers],[Keyuser - Aguardando tarefa precedente]])</f>
        <v>0</v>
      </c>
      <c r="V293">
        <f>COUNTIFS(Tabela4[[#All],[Cenário]],Tabela4[[#This Row],[Cenário]],Tabela4[[#All],[Status]],Tabela4[[#Headers],[Não liberado  para testes]])</f>
        <v>1</v>
      </c>
      <c r="W293" t="str">
        <f>IF(Tabela4[[#This Row],[Elo - Em correção ]]&gt;0,"Sim","Não")</f>
        <v>Não</v>
      </c>
      <c r="X293" t="str">
        <f>IF(Tabela4[[#This Row],[Keyuser - Aguardando tarefa precedente]]&gt;0,"Sim","Não")</f>
        <v>Não</v>
      </c>
      <c r="Y293" t="str">
        <f>IF(Tabela4[[#This Row],[Não liberado  para testes]]&gt;0,"Sim","Não")</f>
        <v>Sim</v>
      </c>
      <c r="Z293" t="str">
        <f ca="1">IF(Tabela4[[#This Row],[Status]]="Keyuser - Pendente",NETWORKDAYS(Tabela4[[#This Row],[Dt Inicial]],TODAY()),"")</f>
        <v/>
      </c>
      <c r="AA293" t="b">
        <f>AND(Tabela4[[#This Row],[Status]]="Keyuser - Aguardando tarefa precedente",K292="Keyuser - Concluído ")</f>
        <v>0</v>
      </c>
    </row>
    <row r="294" spans="1:27" x14ac:dyDescent="0.25">
      <c r="A294" t="str">
        <f>"OUT-"&amp;IFERROR(MID(Tabela4[[#This Row],[Cenário]],SEARCH("(",Tabela4[[#This Row],[Cenário]])+1,SEARCH(")",Tabela4[[#This Row],[Cenário]])-SEARCH("(",Tabela4[[#This Row],[Cenário]])-1),"")&amp;"_"&amp;ROW()</f>
        <v>OUT-YRFP_294</v>
      </c>
      <c r="B294" t="s">
        <v>358</v>
      </c>
      <c r="C294" t="s">
        <v>540</v>
      </c>
      <c r="D294" t="s">
        <v>360</v>
      </c>
      <c r="E294">
        <v>1</v>
      </c>
      <c r="F294" t="s">
        <v>360</v>
      </c>
      <c r="G294" t="s">
        <v>361</v>
      </c>
      <c r="H294" s="18">
        <v>70583979</v>
      </c>
      <c r="I294" s="13" t="s">
        <v>541</v>
      </c>
      <c r="J294" s="13" t="s">
        <v>364</v>
      </c>
      <c r="K294" s="9" t="s">
        <v>271</v>
      </c>
      <c r="L294" s="78">
        <v>45979</v>
      </c>
      <c r="N294" s="78">
        <v>45979</v>
      </c>
      <c r="O294" s="31"/>
      <c r="P294" s="9"/>
      <c r="Q294" s="9">
        <f>COUNTIF(Tabela4[[#All],[Cenário]],Tabela4[[#This Row],[Cenário]])</f>
        <v>8</v>
      </c>
      <c r="R294">
        <f>COUNTIFS(Tabela4[[#All],[Cenário]],Tabela4[[#This Row],[Cenário]],Tabela4[[#All],[Status]],"Keyuser - Concluído ")</f>
        <v>6</v>
      </c>
      <c r="S294" t="str">
        <f>IF(Tabela4[[#This Row],[Tarefas por Cenário]]-Tabela4[[#This Row],[Tarefas Concluídas]]&gt;0,"Não","Sim")</f>
        <v>Não</v>
      </c>
      <c r="T294">
        <f>COUNTIFS(Tabela4[[#All],[Cenário]],Tabela4[[#This Row],[Cenário]],Tabela4[[#All],[Status]],Tabela4[[#Headers],[Elo - Em correção ]])</f>
        <v>0</v>
      </c>
      <c r="U294">
        <f>COUNTIFS(Tabela4[[#All],[Cenário]],Tabela4[[#This Row],[Cenário]],Tabela4[[#All],[Status]],Tabela4[[#Headers],[Keyuser - Aguardando tarefa precedente]])</f>
        <v>0</v>
      </c>
      <c r="V294">
        <f>COUNTIFS(Tabela4[[#All],[Cenário]],Tabela4[[#This Row],[Cenário]],Tabela4[[#All],[Status]],Tabela4[[#Headers],[Não liberado  para testes]])</f>
        <v>1</v>
      </c>
      <c r="W294" t="str">
        <f>IF(Tabela4[[#This Row],[Elo - Em correção ]]&gt;0,"Sim","Não")</f>
        <v>Não</v>
      </c>
      <c r="X294" t="str">
        <f>IF(Tabela4[[#This Row],[Keyuser - Aguardando tarefa precedente]]&gt;0,"Sim","Não")</f>
        <v>Não</v>
      </c>
      <c r="Y294" t="str">
        <f>IF(Tabela4[[#This Row],[Não liberado  para testes]]&gt;0,"Sim","Não")</f>
        <v>Sim</v>
      </c>
      <c r="Z294" t="str">
        <f ca="1">IF(Tabela4[[#This Row],[Status]]="Keyuser - Pendente",NETWORKDAYS(Tabela4[[#This Row],[Dt Inicial]],TODAY()),"")</f>
        <v/>
      </c>
      <c r="AA294" t="b">
        <f>AND(Tabela4[[#This Row],[Status]]="Keyuser - Aguardando tarefa precedente",K293="Keyuser - Concluído ")</f>
        <v>0</v>
      </c>
    </row>
    <row r="295" spans="1:27" x14ac:dyDescent="0.25">
      <c r="A295" t="str">
        <f>"OUT-"&amp;IFERROR(MID(Tabela4[[#This Row],[Cenário]],SEARCH("(",Tabela4[[#This Row],[Cenário]])+1,SEARCH(")",Tabela4[[#This Row],[Cenário]])-SEARCH("(",Tabela4[[#This Row],[Cenário]])-1),"")&amp;"_"&amp;ROW()</f>
        <v>OUT-YRFP_295</v>
      </c>
      <c r="B295" t="s">
        <v>358</v>
      </c>
      <c r="C295" t="s">
        <v>540</v>
      </c>
      <c r="D295" t="s">
        <v>365</v>
      </c>
      <c r="E295">
        <v>2</v>
      </c>
      <c r="F295" t="s">
        <v>365</v>
      </c>
      <c r="G295" t="s">
        <v>310</v>
      </c>
      <c r="H295" s="18">
        <v>70583979</v>
      </c>
      <c r="I295" s="13"/>
      <c r="J295" s="13" t="s">
        <v>364</v>
      </c>
      <c r="K295" s="9" t="s">
        <v>271</v>
      </c>
      <c r="L295" s="78">
        <v>45979</v>
      </c>
      <c r="N295" s="78">
        <v>45979</v>
      </c>
      <c r="O295" s="31"/>
      <c r="P295" s="9"/>
      <c r="Q295" s="9">
        <f>COUNTIF(Tabela4[[#All],[Cenário]],Tabela4[[#This Row],[Cenário]])</f>
        <v>8</v>
      </c>
      <c r="R295">
        <f>COUNTIFS(Tabela4[[#All],[Cenário]],Tabela4[[#This Row],[Cenário]],Tabela4[[#All],[Status]],"Keyuser - Concluído ")</f>
        <v>6</v>
      </c>
      <c r="S295" t="str">
        <f>IF(Tabela4[[#This Row],[Tarefas por Cenário]]-Tabela4[[#This Row],[Tarefas Concluídas]]&gt;0,"Não","Sim")</f>
        <v>Não</v>
      </c>
      <c r="T295">
        <f>COUNTIFS(Tabela4[[#All],[Cenário]],Tabela4[[#This Row],[Cenário]],Tabela4[[#All],[Status]],Tabela4[[#Headers],[Elo - Em correção ]])</f>
        <v>0</v>
      </c>
      <c r="U295">
        <f>COUNTIFS(Tabela4[[#All],[Cenário]],Tabela4[[#This Row],[Cenário]],Tabela4[[#All],[Status]],Tabela4[[#Headers],[Keyuser - Aguardando tarefa precedente]])</f>
        <v>0</v>
      </c>
      <c r="V295">
        <f>COUNTIFS(Tabela4[[#All],[Cenário]],Tabela4[[#This Row],[Cenário]],Tabela4[[#All],[Status]],Tabela4[[#Headers],[Não liberado  para testes]])</f>
        <v>1</v>
      </c>
      <c r="W295" t="str">
        <f>IF(Tabela4[[#This Row],[Elo - Em correção ]]&gt;0,"Sim","Não")</f>
        <v>Não</v>
      </c>
      <c r="X295" t="str">
        <f>IF(Tabela4[[#This Row],[Keyuser - Aguardando tarefa precedente]]&gt;0,"Sim","Não")</f>
        <v>Não</v>
      </c>
      <c r="Y295" t="str">
        <f>IF(Tabela4[[#This Row],[Não liberado  para testes]]&gt;0,"Sim","Não")</f>
        <v>Sim</v>
      </c>
      <c r="Z295" t="str">
        <f ca="1">IF(Tabela4[[#This Row],[Status]]="Keyuser - Pendente",NETWORKDAYS(Tabela4[[#This Row],[Dt Inicial]],TODAY()),"")</f>
        <v/>
      </c>
      <c r="AA295" t="b">
        <f>AND(Tabela4[[#This Row],[Status]]="Keyuser - Aguardando tarefa precedente",K294="Keyuser - Concluído ")</f>
        <v>0</v>
      </c>
    </row>
    <row r="296" spans="1:27" x14ac:dyDescent="0.25">
      <c r="A296" t="str">
        <f>"OUT-"&amp;IFERROR(MID(Tabela4[[#This Row],[Cenário]],SEARCH("(",Tabela4[[#This Row],[Cenário]])+1,SEARCH(")",Tabela4[[#This Row],[Cenário]])-SEARCH("(",Tabela4[[#This Row],[Cenário]])-1),"")&amp;"_"&amp;ROW()</f>
        <v>OUT-YRFP_296</v>
      </c>
      <c r="B296" t="s">
        <v>358</v>
      </c>
      <c r="C296" t="s">
        <v>540</v>
      </c>
      <c r="D296" t="s">
        <v>366</v>
      </c>
      <c r="E296">
        <v>3</v>
      </c>
      <c r="F296" t="s">
        <v>366</v>
      </c>
      <c r="G296" t="s">
        <v>367</v>
      </c>
      <c r="H296" s="18">
        <v>70583979</v>
      </c>
      <c r="I296" s="13"/>
      <c r="J296" s="13" t="s">
        <v>364</v>
      </c>
      <c r="K296" s="9" t="s">
        <v>271</v>
      </c>
      <c r="L296" s="78">
        <v>45979</v>
      </c>
      <c r="N296" s="78">
        <v>45979</v>
      </c>
      <c r="O296" s="31"/>
      <c r="P296" s="9"/>
      <c r="Q296" s="9">
        <f>COUNTIF(Tabela4[[#All],[Cenário]],Tabela4[[#This Row],[Cenário]])</f>
        <v>8</v>
      </c>
      <c r="R296">
        <f>COUNTIFS(Tabela4[[#All],[Cenário]],Tabela4[[#This Row],[Cenário]],Tabela4[[#All],[Status]],"Keyuser - Concluído ")</f>
        <v>6</v>
      </c>
      <c r="S296" t="str">
        <f>IF(Tabela4[[#This Row],[Tarefas por Cenário]]-Tabela4[[#This Row],[Tarefas Concluídas]]&gt;0,"Não","Sim")</f>
        <v>Não</v>
      </c>
      <c r="T296">
        <f>COUNTIFS(Tabela4[[#All],[Cenário]],Tabela4[[#This Row],[Cenário]],Tabela4[[#All],[Status]],Tabela4[[#Headers],[Elo - Em correção ]])</f>
        <v>0</v>
      </c>
      <c r="U296">
        <f>COUNTIFS(Tabela4[[#All],[Cenário]],Tabela4[[#This Row],[Cenário]],Tabela4[[#All],[Status]],Tabela4[[#Headers],[Keyuser - Aguardando tarefa precedente]])</f>
        <v>0</v>
      </c>
      <c r="V296">
        <f>COUNTIFS(Tabela4[[#All],[Cenário]],Tabela4[[#This Row],[Cenário]],Tabela4[[#All],[Status]],Tabela4[[#Headers],[Não liberado  para testes]])</f>
        <v>1</v>
      </c>
      <c r="W296" t="str">
        <f>IF(Tabela4[[#This Row],[Elo - Em correção ]]&gt;0,"Sim","Não")</f>
        <v>Não</v>
      </c>
      <c r="X296" t="str">
        <f>IF(Tabela4[[#This Row],[Keyuser - Aguardando tarefa precedente]]&gt;0,"Sim","Não")</f>
        <v>Não</v>
      </c>
      <c r="Y296" t="str">
        <f>IF(Tabela4[[#This Row],[Não liberado  para testes]]&gt;0,"Sim","Não")</f>
        <v>Sim</v>
      </c>
      <c r="Z296" t="str">
        <f ca="1">IF(Tabela4[[#This Row],[Status]]="Keyuser - Pendente",NETWORKDAYS(Tabela4[[#This Row],[Dt Inicial]],TODAY()),"")</f>
        <v/>
      </c>
      <c r="AA296" t="b">
        <f>AND(Tabela4[[#This Row],[Status]]="Keyuser - Aguardando tarefa precedente",K295="Keyuser - Concluído ")</f>
        <v>0</v>
      </c>
    </row>
    <row r="297" spans="1:27" x14ac:dyDescent="0.25">
      <c r="A297" t="str">
        <f>"OUT-"&amp;IFERROR(MID(Tabela4[[#This Row],[Cenário]],SEARCH("(",Tabela4[[#This Row],[Cenário]])+1,SEARCH(")",Tabela4[[#This Row],[Cenário]])-SEARCH("(",Tabela4[[#This Row],[Cenário]])-1),"")&amp;"_"&amp;ROW()</f>
        <v>OUT-YRFP_297</v>
      </c>
      <c r="B297" t="s">
        <v>358</v>
      </c>
      <c r="C297" t="s">
        <v>540</v>
      </c>
      <c r="D297" t="s">
        <v>368</v>
      </c>
      <c r="E297">
        <v>4</v>
      </c>
      <c r="F297" t="s">
        <v>368</v>
      </c>
      <c r="G297" t="s">
        <v>369</v>
      </c>
      <c r="H297" s="13" t="s">
        <v>542</v>
      </c>
      <c r="I297" s="13"/>
      <c r="J297" s="13" t="s">
        <v>364</v>
      </c>
      <c r="K297" s="9" t="s">
        <v>271</v>
      </c>
      <c r="L297" s="78">
        <v>45993</v>
      </c>
      <c r="N297" s="78">
        <v>45993</v>
      </c>
      <c r="O297" s="48"/>
      <c r="P297" s="9"/>
      <c r="Q297" s="9">
        <f>COUNTIF(Tabela4[[#All],[Cenário]],Tabela4[[#This Row],[Cenário]])</f>
        <v>8</v>
      </c>
      <c r="R297">
        <f>COUNTIFS(Tabela4[[#All],[Cenário]],Tabela4[[#This Row],[Cenário]],Tabela4[[#All],[Status]],"Keyuser - Concluído ")</f>
        <v>6</v>
      </c>
      <c r="S297" t="str">
        <f>IF(Tabela4[[#This Row],[Tarefas por Cenário]]-Tabela4[[#This Row],[Tarefas Concluídas]]&gt;0,"Não","Sim")</f>
        <v>Não</v>
      </c>
      <c r="T297">
        <f>COUNTIFS(Tabela4[[#All],[Cenário]],Tabela4[[#This Row],[Cenário]],Tabela4[[#All],[Status]],Tabela4[[#Headers],[Elo - Em correção ]])</f>
        <v>0</v>
      </c>
      <c r="U297">
        <f>COUNTIFS(Tabela4[[#All],[Cenário]],Tabela4[[#This Row],[Cenário]],Tabela4[[#All],[Status]],Tabela4[[#Headers],[Keyuser - Aguardando tarefa precedente]])</f>
        <v>0</v>
      </c>
      <c r="V297">
        <f>COUNTIFS(Tabela4[[#All],[Cenário]],Tabela4[[#This Row],[Cenário]],Tabela4[[#All],[Status]],Tabela4[[#Headers],[Não liberado  para testes]])</f>
        <v>1</v>
      </c>
      <c r="W297" t="str">
        <f>IF(Tabela4[[#This Row],[Elo - Em correção ]]&gt;0,"Sim","Não")</f>
        <v>Não</v>
      </c>
      <c r="X297" t="str">
        <f>IF(Tabela4[[#This Row],[Keyuser - Aguardando tarefa precedente]]&gt;0,"Sim","Não")</f>
        <v>Não</v>
      </c>
      <c r="Y297" t="str">
        <f>IF(Tabela4[[#This Row],[Não liberado  para testes]]&gt;0,"Sim","Não")</f>
        <v>Sim</v>
      </c>
      <c r="Z297" t="str">
        <f ca="1">IF(Tabela4[[#This Row],[Status]]="Keyuser - Pendente",NETWORKDAYS(Tabela4[[#This Row],[Dt Inicial]],TODAY()),"")</f>
        <v/>
      </c>
      <c r="AA297" t="b">
        <f>AND(Tabela4[[#This Row],[Status]]="Keyuser - Aguardando tarefa precedente",K296="Keyuser - Concluído ")</f>
        <v>0</v>
      </c>
    </row>
    <row r="298" spans="1:27" x14ac:dyDescent="0.25">
      <c r="A298" t="str">
        <f>"OUT-"&amp;IFERROR(MID(Tabela4[[#This Row],[Cenário]],SEARCH("(",Tabela4[[#This Row],[Cenário]])+1,SEARCH(")",Tabela4[[#This Row],[Cenário]])-SEARCH("(",Tabela4[[#This Row],[Cenário]])-1),"")&amp;"_"&amp;ROW()</f>
        <v>OUT-YRFP_298</v>
      </c>
      <c r="B298" t="s">
        <v>358</v>
      </c>
      <c r="C298" t="s">
        <v>540</v>
      </c>
      <c r="D298" t="s">
        <v>371</v>
      </c>
      <c r="E298">
        <v>5</v>
      </c>
      <c r="F298" t="s">
        <v>435</v>
      </c>
      <c r="G298" t="s">
        <v>287</v>
      </c>
      <c r="H298" s="13" t="s">
        <v>542</v>
      </c>
      <c r="I298" s="13"/>
      <c r="J298" s="13"/>
      <c r="K298" s="9" t="s">
        <v>271</v>
      </c>
      <c r="L298" s="78">
        <v>45994</v>
      </c>
      <c r="N298" s="78">
        <v>45994</v>
      </c>
      <c r="O298" s="31"/>
      <c r="P298" s="9"/>
      <c r="Q298" s="9">
        <f>COUNTIF(Tabela4[[#All],[Cenário]],Tabela4[[#This Row],[Cenário]])</f>
        <v>8</v>
      </c>
      <c r="R298">
        <f>COUNTIFS(Tabela4[[#All],[Cenário]],Tabela4[[#This Row],[Cenário]],Tabela4[[#All],[Status]],"Keyuser - Concluído ")</f>
        <v>6</v>
      </c>
      <c r="S298" t="str">
        <f>IF(Tabela4[[#This Row],[Tarefas por Cenário]]-Tabela4[[#This Row],[Tarefas Concluídas]]&gt;0,"Não","Sim")</f>
        <v>Não</v>
      </c>
      <c r="T298">
        <f>COUNTIFS(Tabela4[[#All],[Cenário]],Tabela4[[#This Row],[Cenário]],Tabela4[[#All],[Status]],Tabela4[[#Headers],[Elo - Em correção ]])</f>
        <v>0</v>
      </c>
      <c r="U298">
        <f>COUNTIFS(Tabela4[[#All],[Cenário]],Tabela4[[#This Row],[Cenário]],Tabela4[[#All],[Status]],Tabela4[[#Headers],[Keyuser - Aguardando tarefa precedente]])</f>
        <v>0</v>
      </c>
      <c r="V298">
        <f>COUNTIFS(Tabela4[[#All],[Cenário]],Tabela4[[#This Row],[Cenário]],Tabela4[[#All],[Status]],Tabela4[[#Headers],[Não liberado  para testes]])</f>
        <v>1</v>
      </c>
      <c r="W298" t="str">
        <f>IF(Tabela4[[#This Row],[Elo - Em correção ]]&gt;0,"Sim","Não")</f>
        <v>Não</v>
      </c>
      <c r="X298" t="str">
        <f>IF(Tabela4[[#This Row],[Keyuser - Aguardando tarefa precedente]]&gt;0,"Sim","Não")</f>
        <v>Não</v>
      </c>
      <c r="Y298" t="str">
        <f>IF(Tabela4[[#This Row],[Não liberado  para testes]]&gt;0,"Sim","Não")</f>
        <v>Sim</v>
      </c>
      <c r="Z298" t="str">
        <f ca="1">IF(Tabela4[[#This Row],[Status]]="Keyuser - Pendente",NETWORKDAYS(Tabela4[[#This Row],[Dt Inicial]],TODAY()),"")</f>
        <v/>
      </c>
      <c r="AA298" t="b">
        <f>AND(Tabela4[[#This Row],[Status]]="Keyuser - Aguardando tarefa precedente",K297="Keyuser - Concluído ")</f>
        <v>0</v>
      </c>
    </row>
    <row r="299" spans="1:27" x14ac:dyDescent="0.25">
      <c r="A299" t="str">
        <f>"OUT-"&amp;IFERROR(MID(Tabela4[[#This Row],[Cenário]],SEARCH("(",Tabela4[[#This Row],[Cenário]])+1,SEARCH(")",Tabela4[[#This Row],[Cenário]])-SEARCH("(",Tabela4[[#This Row],[Cenário]])-1),"")&amp;"_"&amp;ROW()</f>
        <v>OUT-YRFP_299</v>
      </c>
      <c r="B299" t="s">
        <v>358</v>
      </c>
      <c r="C299" t="s">
        <v>540</v>
      </c>
      <c r="D299" t="s">
        <v>373</v>
      </c>
      <c r="E299">
        <v>6</v>
      </c>
      <c r="F299" t="s">
        <v>373</v>
      </c>
      <c r="G299" t="s">
        <v>283</v>
      </c>
      <c r="H299" s="13" t="s">
        <v>542</v>
      </c>
      <c r="I299" s="13"/>
      <c r="J299" s="13"/>
      <c r="K299" s="9" t="s">
        <v>271</v>
      </c>
      <c r="L299" s="78">
        <v>45995</v>
      </c>
      <c r="N299" s="78">
        <v>45995</v>
      </c>
      <c r="O299" s="31" t="s">
        <v>543</v>
      </c>
      <c r="P299" s="9"/>
      <c r="Q299" s="9">
        <f>COUNTIF(Tabela4[[#All],[Cenário]],Tabela4[[#This Row],[Cenário]])</f>
        <v>8</v>
      </c>
      <c r="R299">
        <f>COUNTIFS(Tabela4[[#All],[Cenário]],Tabela4[[#This Row],[Cenário]],Tabela4[[#All],[Status]],"Keyuser - Concluído ")</f>
        <v>6</v>
      </c>
      <c r="S299" t="str">
        <f>IF(Tabela4[[#This Row],[Tarefas por Cenário]]-Tabela4[[#This Row],[Tarefas Concluídas]]&gt;0,"Não","Sim")</f>
        <v>Não</v>
      </c>
      <c r="T299">
        <f>COUNTIFS(Tabela4[[#All],[Cenário]],Tabela4[[#This Row],[Cenário]],Tabela4[[#All],[Status]],Tabela4[[#Headers],[Elo - Em correção ]])</f>
        <v>0</v>
      </c>
      <c r="U299">
        <f>COUNTIFS(Tabela4[[#All],[Cenário]],Tabela4[[#This Row],[Cenário]],Tabela4[[#All],[Status]],Tabela4[[#Headers],[Keyuser - Aguardando tarefa precedente]])</f>
        <v>0</v>
      </c>
      <c r="V299">
        <f>COUNTIFS(Tabela4[[#All],[Cenário]],Tabela4[[#This Row],[Cenário]],Tabela4[[#All],[Status]],Tabela4[[#Headers],[Não liberado  para testes]])</f>
        <v>1</v>
      </c>
      <c r="W299" t="str">
        <f>IF(Tabela4[[#This Row],[Elo - Em correção ]]&gt;0,"Sim","Não")</f>
        <v>Não</v>
      </c>
      <c r="X299" t="str">
        <f>IF(Tabela4[[#This Row],[Keyuser - Aguardando tarefa precedente]]&gt;0,"Sim","Não")</f>
        <v>Não</v>
      </c>
      <c r="Y299" t="str">
        <f>IF(Tabela4[[#This Row],[Não liberado  para testes]]&gt;0,"Sim","Não")</f>
        <v>Sim</v>
      </c>
      <c r="Z299" t="str">
        <f ca="1">IF(Tabela4[[#This Row],[Status]]="Keyuser - Pendente",NETWORKDAYS(Tabela4[[#This Row],[Dt Inicial]],TODAY()),"")</f>
        <v/>
      </c>
      <c r="AA299" t="b">
        <f>AND(Tabela4[[#This Row],[Status]]="Keyuser - Aguardando tarefa precedente",K298="Keyuser - Concluído ")</f>
        <v>0</v>
      </c>
    </row>
    <row r="300" spans="1:27" x14ac:dyDescent="0.25">
      <c r="A300" t="str">
        <f>"OUT-"&amp;IFERROR(MID(Tabela4[[#This Row],[Cenário]],SEARCH("(",Tabela4[[#This Row],[Cenário]])+1,SEARCH(")",Tabela4[[#This Row],[Cenário]])-SEARCH("(",Tabela4[[#This Row],[Cenário]])-1),"")&amp;"_"&amp;ROW()</f>
        <v>OUT-YRFP_300</v>
      </c>
      <c r="B300" t="s">
        <v>374</v>
      </c>
      <c r="C300" t="s">
        <v>540</v>
      </c>
      <c r="D300" t="s">
        <v>286</v>
      </c>
      <c r="E300">
        <v>7</v>
      </c>
      <c r="F300" t="s">
        <v>286</v>
      </c>
      <c r="G300" t="s">
        <v>287</v>
      </c>
      <c r="H300" s="13"/>
      <c r="I300" s="13"/>
      <c r="J300" s="13"/>
      <c r="K300" s="9" t="s">
        <v>262</v>
      </c>
      <c r="N300" s="78"/>
      <c r="O300" s="31"/>
      <c r="P300" s="9"/>
      <c r="Q300" s="9">
        <f>COUNTIF(Tabela4[[#All],[Cenário]],Tabela4[[#This Row],[Cenário]])</f>
        <v>8</v>
      </c>
      <c r="R300">
        <f>COUNTIFS(Tabela4[[#All],[Cenário]],Tabela4[[#This Row],[Cenário]],Tabela4[[#All],[Status]],"Keyuser - Concluído ")</f>
        <v>6</v>
      </c>
      <c r="S300" t="str">
        <f>IF(Tabela4[[#This Row],[Tarefas por Cenário]]-Tabela4[[#This Row],[Tarefas Concluídas]]&gt;0,"Não","Sim")</f>
        <v>Não</v>
      </c>
      <c r="T300">
        <f>COUNTIFS(Tabela4[[#All],[Cenário]],Tabela4[[#This Row],[Cenário]],Tabela4[[#All],[Status]],Tabela4[[#Headers],[Elo - Em correção ]])</f>
        <v>0</v>
      </c>
      <c r="U300">
        <f>COUNTIFS(Tabela4[[#All],[Cenário]],Tabela4[[#This Row],[Cenário]],Tabela4[[#All],[Status]],Tabela4[[#Headers],[Keyuser - Aguardando tarefa precedente]])</f>
        <v>0</v>
      </c>
      <c r="V300">
        <f>COUNTIFS(Tabela4[[#All],[Cenário]],Tabela4[[#This Row],[Cenário]],Tabela4[[#All],[Status]],Tabela4[[#Headers],[Não liberado  para testes]])</f>
        <v>1</v>
      </c>
      <c r="W300" t="str">
        <f>IF(Tabela4[[#This Row],[Elo - Em correção ]]&gt;0,"Sim","Não")</f>
        <v>Não</v>
      </c>
      <c r="X300" t="str">
        <f>IF(Tabela4[[#This Row],[Keyuser - Aguardando tarefa precedente]]&gt;0,"Sim","Não")</f>
        <v>Não</v>
      </c>
      <c r="Y300" t="str">
        <f>IF(Tabela4[[#This Row],[Não liberado  para testes]]&gt;0,"Sim","Não")</f>
        <v>Sim</v>
      </c>
      <c r="Z300" t="str">
        <f ca="1">IF(Tabela4[[#This Row],[Status]]="Keyuser - Pendente",NETWORKDAYS(Tabela4[[#This Row],[Dt Inicial]],TODAY()),"")</f>
        <v/>
      </c>
      <c r="AA300" t="b">
        <f>AND(Tabela4[[#This Row],[Status]]="Keyuser - Aguardando tarefa precedente",K299="Keyuser - Concluído ")</f>
        <v>0</v>
      </c>
    </row>
    <row r="301" spans="1:27" x14ac:dyDescent="0.25">
      <c r="A301" t="str">
        <f>"OUT-"&amp;IFERROR(MID(Tabela4[[#This Row],[Cenário]],SEARCH("(",Tabela4[[#This Row],[Cenário]])+1,SEARCH(")",Tabela4[[#This Row],[Cenário]])-SEARCH("(",Tabela4[[#This Row],[Cenário]])-1),"")&amp;"_"&amp;ROW()</f>
        <v>OUT-YRFP_301</v>
      </c>
      <c r="B301" t="s">
        <v>358</v>
      </c>
      <c r="C301" t="s">
        <v>540</v>
      </c>
      <c r="D301" t="s">
        <v>375</v>
      </c>
      <c r="E301">
        <v>8</v>
      </c>
      <c r="F301" t="s">
        <v>375</v>
      </c>
      <c r="G301" t="s">
        <v>367</v>
      </c>
      <c r="H301" s="13"/>
      <c r="I301" s="13"/>
      <c r="J301" s="13"/>
      <c r="K301" s="9" t="s">
        <v>294</v>
      </c>
      <c r="L301" s="78">
        <v>46000</v>
      </c>
      <c r="N301" s="78">
        <v>46000</v>
      </c>
      <c r="O301" s="31"/>
      <c r="P301" s="9"/>
      <c r="Q301" s="9">
        <f>COUNTIF(Tabela4[[#All],[Cenário]],Tabela4[[#This Row],[Cenário]])</f>
        <v>8</v>
      </c>
      <c r="R301">
        <f>COUNTIFS(Tabela4[[#All],[Cenário]],Tabela4[[#This Row],[Cenário]],Tabela4[[#All],[Status]],"Keyuser - Concluído ")</f>
        <v>6</v>
      </c>
      <c r="S301" t="str">
        <f>IF(Tabela4[[#This Row],[Tarefas por Cenário]]-Tabela4[[#This Row],[Tarefas Concluídas]]&gt;0,"Não","Sim")</f>
        <v>Não</v>
      </c>
      <c r="T301">
        <f>COUNTIFS(Tabela4[[#All],[Cenário]],Tabela4[[#This Row],[Cenário]],Tabela4[[#All],[Status]],Tabela4[[#Headers],[Elo - Em correção ]])</f>
        <v>0</v>
      </c>
      <c r="U301">
        <f>COUNTIFS(Tabela4[[#All],[Cenário]],Tabela4[[#This Row],[Cenário]],Tabela4[[#All],[Status]],Tabela4[[#Headers],[Keyuser - Aguardando tarefa precedente]])</f>
        <v>0</v>
      </c>
      <c r="V301">
        <f>COUNTIFS(Tabela4[[#All],[Cenário]],Tabela4[[#This Row],[Cenário]],Tabela4[[#All],[Status]],Tabela4[[#Headers],[Não liberado  para testes]])</f>
        <v>1</v>
      </c>
      <c r="W301" t="str">
        <f>IF(Tabela4[[#This Row],[Elo - Em correção ]]&gt;0,"Sim","Não")</f>
        <v>Não</v>
      </c>
      <c r="X301" t="str">
        <f>IF(Tabela4[[#This Row],[Keyuser - Aguardando tarefa precedente]]&gt;0,"Sim","Não")</f>
        <v>Não</v>
      </c>
      <c r="Y301" t="str">
        <f>IF(Tabela4[[#This Row],[Não liberado  para testes]]&gt;0,"Sim","Não")</f>
        <v>Sim</v>
      </c>
      <c r="Z301" t="str">
        <f ca="1">IF(Tabela4[[#This Row],[Status]]="Keyuser - Pendente",NETWORKDAYS(Tabela4[[#This Row],[Dt Inicial]],TODAY()),"")</f>
        <v/>
      </c>
      <c r="AA301" t="b">
        <f>AND(Tabela4[[#This Row],[Status]]="Keyuser - Aguardando tarefa precedente",K300="Keyuser - Concluído ")</f>
        <v>0</v>
      </c>
    </row>
    <row r="302" spans="1:27" x14ac:dyDescent="0.25">
      <c r="A302" t="str">
        <f>"OUT-"&amp;IFERROR(MID(Tabela4[[#This Row],[Cenário]],SEARCH("(",Tabela4[[#This Row],[Cenário]])+1,SEARCH(")",Tabela4[[#This Row],[Cenário]])-SEARCH("(",Tabela4[[#This Row],[Cenário]])-1),"")&amp;"_"&amp;ROW()</f>
        <v>OUT-YVRC_302</v>
      </c>
      <c r="B302" t="s">
        <v>358</v>
      </c>
      <c r="C302" t="s">
        <v>544</v>
      </c>
      <c r="D302" t="s">
        <v>360</v>
      </c>
      <c r="E302">
        <v>1</v>
      </c>
      <c r="F302" t="s">
        <v>360</v>
      </c>
      <c r="G302" t="s">
        <v>377</v>
      </c>
      <c r="H302" s="13">
        <v>60668368</v>
      </c>
      <c r="I302" s="13"/>
      <c r="J302" s="13"/>
      <c r="K302" s="9" t="s">
        <v>271</v>
      </c>
      <c r="L302" s="78">
        <v>45996</v>
      </c>
      <c r="N302" s="78">
        <v>45996</v>
      </c>
      <c r="O302" s="31"/>
      <c r="P302" s="9"/>
      <c r="Q302" s="9">
        <f>COUNTIF(Tabela4[[#All],[Cenário]],Tabela4[[#This Row],[Cenário]])</f>
        <v>6</v>
      </c>
      <c r="R302">
        <f>COUNTIFS(Tabela4[[#All],[Cenário]],Tabela4[[#This Row],[Cenário]],Tabela4[[#All],[Status]],"Keyuser - Concluído ")</f>
        <v>5</v>
      </c>
      <c r="S302" t="str">
        <f>IF(Tabela4[[#This Row],[Tarefas por Cenário]]-Tabela4[[#This Row],[Tarefas Concluídas]]&gt;0,"Não","Sim")</f>
        <v>Não</v>
      </c>
      <c r="T302">
        <f>COUNTIFS(Tabela4[[#All],[Cenário]],Tabela4[[#This Row],[Cenário]],Tabela4[[#All],[Status]],Tabela4[[#Headers],[Elo - Em correção ]])</f>
        <v>0</v>
      </c>
      <c r="U302">
        <f>COUNTIFS(Tabela4[[#All],[Cenário]],Tabela4[[#This Row],[Cenário]],Tabela4[[#All],[Status]],Tabela4[[#Headers],[Keyuser - Aguardando tarefa precedente]])</f>
        <v>0</v>
      </c>
      <c r="V302">
        <f>COUNTIFS(Tabela4[[#All],[Cenário]],Tabela4[[#This Row],[Cenário]],Tabela4[[#All],[Status]],Tabela4[[#Headers],[Não liberado  para testes]])</f>
        <v>1</v>
      </c>
      <c r="W302" t="str">
        <f>IF(Tabela4[[#This Row],[Elo - Em correção ]]&gt;0,"Sim","Não")</f>
        <v>Não</v>
      </c>
      <c r="X302" t="str">
        <f>IF(Tabela4[[#This Row],[Keyuser - Aguardando tarefa precedente]]&gt;0,"Sim","Não")</f>
        <v>Não</v>
      </c>
      <c r="Y302" t="str">
        <f>IF(Tabela4[[#This Row],[Não liberado  para testes]]&gt;0,"Sim","Não")</f>
        <v>Sim</v>
      </c>
      <c r="Z302" t="str">
        <f ca="1">IF(Tabela4[[#This Row],[Status]]="Keyuser - Pendente",NETWORKDAYS(Tabela4[[#This Row],[Dt Inicial]],TODAY()),"")</f>
        <v/>
      </c>
      <c r="AA302" t="b">
        <f>AND(Tabela4[[#This Row],[Status]]="Keyuser - Aguardando tarefa precedente",K301="Keyuser - Concluído ")</f>
        <v>0</v>
      </c>
    </row>
    <row r="303" spans="1:27" x14ac:dyDescent="0.25">
      <c r="A303" t="str">
        <f>"OUT-"&amp;IFERROR(MID(Tabela4[[#This Row],[Cenário]],SEARCH("(",Tabela4[[#This Row],[Cenário]])+1,SEARCH(")",Tabela4[[#This Row],[Cenário]])-SEARCH("(",Tabela4[[#This Row],[Cenário]])-1),"")&amp;"_"&amp;ROW()</f>
        <v>OUT-YVRC_303</v>
      </c>
      <c r="B303" t="s">
        <v>358</v>
      </c>
      <c r="C303" t="s">
        <v>544</v>
      </c>
      <c r="D303" t="s">
        <v>365</v>
      </c>
      <c r="E303">
        <v>2</v>
      </c>
      <c r="F303" t="s">
        <v>365</v>
      </c>
      <c r="G303" t="s">
        <v>310</v>
      </c>
      <c r="H303" s="13">
        <v>60668368</v>
      </c>
      <c r="I303" s="13"/>
      <c r="J303" s="13"/>
      <c r="K303" s="9" t="s">
        <v>271</v>
      </c>
      <c r="L303" s="78">
        <v>45996</v>
      </c>
      <c r="N303" s="78">
        <v>45996</v>
      </c>
      <c r="O303" s="31"/>
      <c r="P303" s="9"/>
      <c r="Q303" s="9">
        <f>COUNTIF(Tabela4[[#All],[Cenário]],Tabela4[[#This Row],[Cenário]])</f>
        <v>6</v>
      </c>
      <c r="R303">
        <f>COUNTIFS(Tabela4[[#All],[Cenário]],Tabela4[[#This Row],[Cenário]],Tabela4[[#All],[Status]],"Keyuser - Concluído ")</f>
        <v>5</v>
      </c>
      <c r="S303" t="str">
        <f>IF(Tabela4[[#This Row],[Tarefas por Cenário]]-Tabela4[[#This Row],[Tarefas Concluídas]]&gt;0,"Não","Sim")</f>
        <v>Não</v>
      </c>
      <c r="T303">
        <f>COUNTIFS(Tabela4[[#All],[Cenário]],Tabela4[[#This Row],[Cenário]],Tabela4[[#All],[Status]],Tabela4[[#Headers],[Elo - Em correção ]])</f>
        <v>0</v>
      </c>
      <c r="U303">
        <f>COUNTIFS(Tabela4[[#All],[Cenário]],Tabela4[[#This Row],[Cenário]],Tabela4[[#All],[Status]],Tabela4[[#Headers],[Keyuser - Aguardando tarefa precedente]])</f>
        <v>0</v>
      </c>
      <c r="V303">
        <f>COUNTIFS(Tabela4[[#All],[Cenário]],Tabela4[[#This Row],[Cenário]],Tabela4[[#All],[Status]],Tabela4[[#Headers],[Não liberado  para testes]])</f>
        <v>1</v>
      </c>
      <c r="W303" t="str">
        <f>IF(Tabela4[[#This Row],[Elo - Em correção ]]&gt;0,"Sim","Não")</f>
        <v>Não</v>
      </c>
      <c r="X303" t="str">
        <f>IF(Tabela4[[#This Row],[Keyuser - Aguardando tarefa precedente]]&gt;0,"Sim","Não")</f>
        <v>Não</v>
      </c>
      <c r="Y303" t="str">
        <f>IF(Tabela4[[#This Row],[Não liberado  para testes]]&gt;0,"Sim","Não")</f>
        <v>Sim</v>
      </c>
      <c r="Z303" t="str">
        <f ca="1">IF(Tabela4[[#This Row],[Status]]="Keyuser - Pendente",NETWORKDAYS(Tabela4[[#This Row],[Dt Inicial]],TODAY()),"")</f>
        <v/>
      </c>
      <c r="AA303" t="b">
        <f>AND(Tabela4[[#This Row],[Status]]="Keyuser - Aguardando tarefa precedente",K302="Keyuser - Concluído ")</f>
        <v>0</v>
      </c>
    </row>
    <row r="304" spans="1:27" x14ac:dyDescent="0.25">
      <c r="A304" t="str">
        <f>"OUT-"&amp;IFERROR(MID(Tabela4[[#This Row],[Cenário]],SEARCH("(",Tabela4[[#This Row],[Cenário]])+1,SEARCH(")",Tabela4[[#This Row],[Cenário]])-SEARCH("(",Tabela4[[#This Row],[Cenário]])-1),"")&amp;"_"&amp;ROW()</f>
        <v>OUT-YVRC_304</v>
      </c>
      <c r="B304" t="s">
        <v>358</v>
      </c>
      <c r="C304" t="s">
        <v>544</v>
      </c>
      <c r="D304" t="s">
        <v>368</v>
      </c>
      <c r="E304">
        <v>3</v>
      </c>
      <c r="F304" t="s">
        <v>368</v>
      </c>
      <c r="G304" t="s">
        <v>377</v>
      </c>
      <c r="H304" s="13" t="s">
        <v>545</v>
      </c>
      <c r="I304" s="13"/>
      <c r="J304" s="13"/>
      <c r="K304" s="9" t="s">
        <v>271</v>
      </c>
      <c r="L304" s="78">
        <v>45996</v>
      </c>
      <c r="N304" s="78">
        <v>45996</v>
      </c>
      <c r="O304" s="31" t="s">
        <v>546</v>
      </c>
      <c r="P304" s="9"/>
      <c r="Q304" s="9">
        <f>COUNTIF(Tabela4[[#All],[Cenário]],Tabela4[[#This Row],[Cenário]])</f>
        <v>6</v>
      </c>
      <c r="R304">
        <f>COUNTIFS(Tabela4[[#All],[Cenário]],Tabela4[[#This Row],[Cenário]],Tabela4[[#All],[Status]],"Keyuser - Concluído ")</f>
        <v>5</v>
      </c>
      <c r="S304" t="str">
        <f>IF(Tabela4[[#This Row],[Tarefas por Cenário]]-Tabela4[[#This Row],[Tarefas Concluídas]]&gt;0,"Não","Sim")</f>
        <v>Não</v>
      </c>
      <c r="T304">
        <f>COUNTIFS(Tabela4[[#All],[Cenário]],Tabela4[[#This Row],[Cenário]],Tabela4[[#All],[Status]],Tabela4[[#Headers],[Elo - Em correção ]])</f>
        <v>0</v>
      </c>
      <c r="U304">
        <f>COUNTIFS(Tabela4[[#All],[Cenário]],Tabela4[[#This Row],[Cenário]],Tabela4[[#All],[Status]],Tabela4[[#Headers],[Keyuser - Aguardando tarefa precedente]])</f>
        <v>0</v>
      </c>
      <c r="V304">
        <f>COUNTIFS(Tabela4[[#All],[Cenário]],Tabela4[[#This Row],[Cenário]],Tabela4[[#All],[Status]],Tabela4[[#Headers],[Não liberado  para testes]])</f>
        <v>1</v>
      </c>
      <c r="W304" t="str">
        <f>IF(Tabela4[[#This Row],[Elo - Em correção ]]&gt;0,"Sim","Não")</f>
        <v>Não</v>
      </c>
      <c r="X304" t="str">
        <f>IF(Tabela4[[#This Row],[Keyuser - Aguardando tarefa precedente]]&gt;0,"Sim","Não")</f>
        <v>Não</v>
      </c>
      <c r="Y304" t="str">
        <f>IF(Tabela4[[#This Row],[Não liberado  para testes]]&gt;0,"Sim","Não")</f>
        <v>Sim</v>
      </c>
      <c r="Z304" t="str">
        <f ca="1">IF(Tabela4[[#This Row],[Status]]="Keyuser - Pendente",NETWORKDAYS(Tabela4[[#This Row],[Dt Inicial]],TODAY()),"")</f>
        <v/>
      </c>
      <c r="AA304" t="b">
        <f>AND(Tabela4[[#This Row],[Status]]="Keyuser - Aguardando tarefa precedente",K303="Keyuser - Concluído ")</f>
        <v>0</v>
      </c>
    </row>
    <row r="305" spans="1:27" x14ac:dyDescent="0.25">
      <c r="A305" t="str">
        <f>"OUT-"&amp;IFERROR(MID(Tabela4[[#This Row],[Cenário]],SEARCH("(",Tabela4[[#This Row],[Cenário]])+1,SEARCH(")",Tabela4[[#This Row],[Cenário]])-SEARCH("(",Tabela4[[#This Row],[Cenário]])-1),"")&amp;"_"&amp;ROW()</f>
        <v>OUT-YVRC_305</v>
      </c>
      <c r="B305" t="s">
        <v>358</v>
      </c>
      <c r="C305" t="s">
        <v>544</v>
      </c>
      <c r="D305" t="s">
        <v>371</v>
      </c>
      <c r="E305">
        <v>4</v>
      </c>
      <c r="F305" t="s">
        <v>372</v>
      </c>
      <c r="G305" t="s">
        <v>287</v>
      </c>
      <c r="H305" s="13" t="s">
        <v>545</v>
      </c>
      <c r="I305" s="13"/>
      <c r="J305" s="13"/>
      <c r="K305" s="9" t="s">
        <v>271</v>
      </c>
      <c r="L305" s="78">
        <v>45789</v>
      </c>
      <c r="N305" s="78">
        <v>45789</v>
      </c>
      <c r="O305" s="31"/>
      <c r="P305" s="9"/>
      <c r="Q305" s="9">
        <f>COUNTIF(Tabela4[[#All],[Cenário]],Tabela4[[#This Row],[Cenário]])</f>
        <v>6</v>
      </c>
      <c r="R305">
        <f>COUNTIFS(Tabela4[[#All],[Cenário]],Tabela4[[#This Row],[Cenário]],Tabela4[[#All],[Status]],"Keyuser - Concluído ")</f>
        <v>5</v>
      </c>
      <c r="S305" t="str">
        <f>IF(Tabela4[[#This Row],[Tarefas por Cenário]]-Tabela4[[#This Row],[Tarefas Concluídas]]&gt;0,"Não","Sim")</f>
        <v>Não</v>
      </c>
      <c r="T305">
        <f>COUNTIFS(Tabela4[[#All],[Cenário]],Tabela4[[#This Row],[Cenário]],Tabela4[[#All],[Status]],Tabela4[[#Headers],[Elo - Em correção ]])</f>
        <v>0</v>
      </c>
      <c r="U305">
        <f>COUNTIFS(Tabela4[[#All],[Cenário]],Tabela4[[#This Row],[Cenário]],Tabela4[[#All],[Status]],Tabela4[[#Headers],[Keyuser - Aguardando tarefa precedente]])</f>
        <v>0</v>
      </c>
      <c r="V305">
        <f>COUNTIFS(Tabela4[[#All],[Cenário]],Tabela4[[#This Row],[Cenário]],Tabela4[[#All],[Status]],Tabela4[[#Headers],[Não liberado  para testes]])</f>
        <v>1</v>
      </c>
      <c r="W305" t="str">
        <f>IF(Tabela4[[#This Row],[Elo - Em correção ]]&gt;0,"Sim","Não")</f>
        <v>Não</v>
      </c>
      <c r="X305" t="str">
        <f>IF(Tabela4[[#This Row],[Keyuser - Aguardando tarefa precedente]]&gt;0,"Sim","Não")</f>
        <v>Não</v>
      </c>
      <c r="Y305" t="str">
        <f>IF(Tabela4[[#This Row],[Não liberado  para testes]]&gt;0,"Sim","Não")</f>
        <v>Sim</v>
      </c>
      <c r="Z305" t="str">
        <f ca="1">IF(Tabela4[[#This Row],[Status]]="Keyuser - Pendente",NETWORKDAYS(Tabela4[[#This Row],[Dt Inicial]],TODAY()),"")</f>
        <v/>
      </c>
      <c r="AA305" t="b">
        <f>AND(Tabela4[[#This Row],[Status]]="Keyuser - Aguardando tarefa precedente",K304="Keyuser - Concluído ")</f>
        <v>0</v>
      </c>
    </row>
    <row r="306" spans="1:27" x14ac:dyDescent="0.25">
      <c r="A306" t="str">
        <f>"OUT-"&amp;IFERROR(MID(Tabela4[[#This Row],[Cenário]],SEARCH("(",Tabela4[[#This Row],[Cenário]])+1,SEARCH(")",Tabela4[[#This Row],[Cenário]])-SEARCH("(",Tabela4[[#This Row],[Cenário]])-1),"")&amp;"_"&amp;ROW()</f>
        <v>OUT-YVRC_306</v>
      </c>
      <c r="B306" t="s">
        <v>358</v>
      </c>
      <c r="C306" t="s">
        <v>544</v>
      </c>
      <c r="D306" t="s">
        <v>373</v>
      </c>
      <c r="E306">
        <v>5</v>
      </c>
      <c r="F306" t="s">
        <v>373</v>
      </c>
      <c r="G306" t="s">
        <v>283</v>
      </c>
      <c r="H306" s="13" t="s">
        <v>545</v>
      </c>
      <c r="I306" s="13"/>
      <c r="J306" s="13"/>
      <c r="K306" s="9" t="s">
        <v>271</v>
      </c>
      <c r="L306" s="78">
        <v>45912</v>
      </c>
      <c r="N306" s="78">
        <v>45912</v>
      </c>
      <c r="O306" s="31"/>
      <c r="P306" s="9"/>
      <c r="Q306" s="9">
        <f>COUNTIF(Tabela4[[#All],[Cenário]],Tabela4[[#This Row],[Cenário]])</f>
        <v>6</v>
      </c>
      <c r="R306">
        <f>COUNTIFS(Tabela4[[#All],[Cenário]],Tabela4[[#This Row],[Cenário]],Tabela4[[#All],[Status]],"Keyuser - Concluído ")</f>
        <v>5</v>
      </c>
      <c r="S306" t="str">
        <f>IF(Tabela4[[#This Row],[Tarefas por Cenário]]-Tabela4[[#This Row],[Tarefas Concluídas]]&gt;0,"Não","Sim")</f>
        <v>Não</v>
      </c>
      <c r="T306">
        <f>COUNTIFS(Tabela4[[#All],[Cenário]],Tabela4[[#This Row],[Cenário]],Tabela4[[#All],[Status]],Tabela4[[#Headers],[Elo - Em correção ]])</f>
        <v>0</v>
      </c>
      <c r="U306">
        <f>COUNTIFS(Tabela4[[#All],[Cenário]],Tabela4[[#This Row],[Cenário]],Tabela4[[#All],[Status]],Tabela4[[#Headers],[Keyuser - Aguardando tarefa precedente]])</f>
        <v>0</v>
      </c>
      <c r="V306">
        <f>COUNTIFS(Tabela4[[#All],[Cenário]],Tabela4[[#This Row],[Cenário]],Tabela4[[#All],[Status]],Tabela4[[#Headers],[Não liberado  para testes]])</f>
        <v>1</v>
      </c>
      <c r="W306" t="str">
        <f>IF(Tabela4[[#This Row],[Elo - Em correção ]]&gt;0,"Sim","Não")</f>
        <v>Não</v>
      </c>
      <c r="X306" t="str">
        <f>IF(Tabela4[[#This Row],[Keyuser - Aguardando tarefa precedente]]&gt;0,"Sim","Não")</f>
        <v>Não</v>
      </c>
      <c r="Y306" t="str">
        <f>IF(Tabela4[[#This Row],[Não liberado  para testes]]&gt;0,"Sim","Não")</f>
        <v>Sim</v>
      </c>
      <c r="Z306" t="str">
        <f ca="1">IF(Tabela4[[#This Row],[Status]]="Keyuser - Pendente",NETWORKDAYS(Tabela4[[#This Row],[Dt Inicial]],TODAY()),"")</f>
        <v/>
      </c>
      <c r="AA306" t="b">
        <f>AND(Tabela4[[#This Row],[Status]]="Keyuser - Aguardando tarefa precedente",K305="Keyuser - Concluído ")</f>
        <v>0</v>
      </c>
    </row>
    <row r="307" spans="1:27" x14ac:dyDescent="0.25">
      <c r="A307" t="str">
        <f>"OUT-"&amp;IFERROR(MID(Tabela4[[#This Row],[Cenário]],SEARCH("(",Tabela4[[#This Row],[Cenário]])+1,SEARCH(")",Tabela4[[#This Row],[Cenário]])-SEARCH("(",Tabela4[[#This Row],[Cenário]])-1),"")&amp;"_"&amp;ROW()</f>
        <v>OUT-YVRC_307</v>
      </c>
      <c r="B307" t="s">
        <v>374</v>
      </c>
      <c r="C307" t="s">
        <v>544</v>
      </c>
      <c r="D307" t="s">
        <v>286</v>
      </c>
      <c r="E307">
        <v>6</v>
      </c>
      <c r="F307" t="s">
        <v>286</v>
      </c>
      <c r="G307" t="s">
        <v>287</v>
      </c>
      <c r="H307" s="13"/>
      <c r="I307" s="13"/>
      <c r="J307" s="13"/>
      <c r="K307" s="9" t="s">
        <v>262</v>
      </c>
      <c r="N307" s="78"/>
      <c r="O307" s="31"/>
      <c r="P307" s="9"/>
      <c r="Q307" s="9">
        <f>COUNTIF(Tabela4[[#All],[Cenário]],Tabela4[[#This Row],[Cenário]])</f>
        <v>6</v>
      </c>
      <c r="R307">
        <f>COUNTIFS(Tabela4[[#All],[Cenário]],Tabela4[[#This Row],[Cenário]],Tabela4[[#All],[Status]],"Keyuser - Concluído ")</f>
        <v>5</v>
      </c>
      <c r="S307" t="str">
        <f>IF(Tabela4[[#This Row],[Tarefas por Cenário]]-Tabela4[[#This Row],[Tarefas Concluídas]]&gt;0,"Não","Sim")</f>
        <v>Não</v>
      </c>
      <c r="T307">
        <f>COUNTIFS(Tabela4[[#All],[Cenário]],Tabela4[[#This Row],[Cenário]],Tabela4[[#All],[Status]],Tabela4[[#Headers],[Elo - Em correção ]])</f>
        <v>0</v>
      </c>
      <c r="U307">
        <f>COUNTIFS(Tabela4[[#All],[Cenário]],Tabela4[[#This Row],[Cenário]],Tabela4[[#All],[Status]],Tabela4[[#Headers],[Keyuser - Aguardando tarefa precedente]])</f>
        <v>0</v>
      </c>
      <c r="V307">
        <f>COUNTIFS(Tabela4[[#All],[Cenário]],Tabela4[[#This Row],[Cenário]],Tabela4[[#All],[Status]],Tabela4[[#Headers],[Não liberado  para testes]])</f>
        <v>1</v>
      </c>
      <c r="W307" t="str">
        <f>IF(Tabela4[[#This Row],[Elo - Em correção ]]&gt;0,"Sim","Não")</f>
        <v>Não</v>
      </c>
      <c r="X307" t="str">
        <f>IF(Tabela4[[#This Row],[Keyuser - Aguardando tarefa precedente]]&gt;0,"Sim","Não")</f>
        <v>Não</v>
      </c>
      <c r="Y307" t="str">
        <f>IF(Tabela4[[#This Row],[Não liberado  para testes]]&gt;0,"Sim","Não")</f>
        <v>Sim</v>
      </c>
      <c r="Z307" t="str">
        <f ca="1">IF(Tabela4[[#This Row],[Status]]="Keyuser - Pendente",NETWORKDAYS(Tabela4[[#This Row],[Dt Inicial]],TODAY()),"")</f>
        <v/>
      </c>
      <c r="AA307" t="b">
        <f>AND(Tabela4[[#This Row],[Status]]="Keyuser - Aguardando tarefa precedente",K306="Keyuser - Concluído ")</f>
        <v>0</v>
      </c>
    </row>
    <row r="308" spans="1:27" x14ac:dyDescent="0.25">
      <c r="A308" t="str">
        <f>"OUT-"&amp;IFERROR(MID(Tabela4[[#This Row],[Cenário]],SEARCH("(",Tabela4[[#This Row],[Cenário]])+1,SEARCH(")",Tabela4[[#This Row],[Cenário]])-SEARCH("(",Tabela4[[#This Row],[Cenário]])-1),"")&amp;"_"&amp;ROW()</f>
        <v>OUT-YVRE_308</v>
      </c>
      <c r="B308" t="s">
        <v>358</v>
      </c>
      <c r="C308" t="s">
        <v>547</v>
      </c>
      <c r="D308" t="s">
        <v>360</v>
      </c>
      <c r="E308">
        <v>1</v>
      </c>
      <c r="F308" t="s">
        <v>360</v>
      </c>
      <c r="G308" t="s">
        <v>377</v>
      </c>
      <c r="H308" s="13">
        <v>60668369</v>
      </c>
      <c r="I308" s="13"/>
      <c r="J308" s="13"/>
      <c r="K308" s="9" t="s">
        <v>271</v>
      </c>
      <c r="L308" s="78">
        <v>45996</v>
      </c>
      <c r="N308" s="78">
        <v>45996</v>
      </c>
      <c r="O308" s="31"/>
      <c r="P308" s="9"/>
      <c r="Q308" s="9">
        <f>COUNTIF(Tabela4[[#All],[Cenário]],Tabela4[[#This Row],[Cenário]])</f>
        <v>6</v>
      </c>
      <c r="R308">
        <f>COUNTIFS(Tabela4[[#All],[Cenário]],Tabela4[[#This Row],[Cenário]],Tabela4[[#All],[Status]],"Keyuser - Concluído ")</f>
        <v>5</v>
      </c>
      <c r="S308" t="str">
        <f>IF(Tabela4[[#This Row],[Tarefas por Cenário]]-Tabela4[[#This Row],[Tarefas Concluídas]]&gt;0,"Não","Sim")</f>
        <v>Não</v>
      </c>
      <c r="T308">
        <f>COUNTIFS(Tabela4[[#All],[Cenário]],Tabela4[[#This Row],[Cenário]],Tabela4[[#All],[Status]],Tabela4[[#Headers],[Elo - Em correção ]])</f>
        <v>0</v>
      </c>
      <c r="U308">
        <f>COUNTIFS(Tabela4[[#All],[Cenário]],Tabela4[[#This Row],[Cenário]],Tabela4[[#All],[Status]],Tabela4[[#Headers],[Keyuser - Aguardando tarefa precedente]])</f>
        <v>0</v>
      </c>
      <c r="V308">
        <f>COUNTIFS(Tabela4[[#All],[Cenário]],Tabela4[[#This Row],[Cenário]],Tabela4[[#All],[Status]],Tabela4[[#Headers],[Não liberado  para testes]])</f>
        <v>1</v>
      </c>
      <c r="W308" t="str">
        <f>IF(Tabela4[[#This Row],[Elo - Em correção ]]&gt;0,"Sim","Não")</f>
        <v>Não</v>
      </c>
      <c r="X308" t="str">
        <f>IF(Tabela4[[#This Row],[Keyuser - Aguardando tarefa precedente]]&gt;0,"Sim","Não")</f>
        <v>Não</v>
      </c>
      <c r="Y308" t="str">
        <f>IF(Tabela4[[#This Row],[Não liberado  para testes]]&gt;0,"Sim","Não")</f>
        <v>Sim</v>
      </c>
      <c r="Z308" t="str">
        <f ca="1">IF(Tabela4[[#This Row],[Status]]="Keyuser - Pendente",NETWORKDAYS(Tabela4[[#This Row],[Dt Inicial]],TODAY()),"")</f>
        <v/>
      </c>
      <c r="AA308" t="b">
        <f>AND(Tabela4[[#This Row],[Status]]="Keyuser - Aguardando tarefa precedente",K307="Keyuser - Concluído ")</f>
        <v>0</v>
      </c>
    </row>
    <row r="309" spans="1:27" x14ac:dyDescent="0.25">
      <c r="A309" t="str">
        <f>"OUT-"&amp;IFERROR(MID(Tabela4[[#This Row],[Cenário]],SEARCH("(",Tabela4[[#This Row],[Cenário]])+1,SEARCH(")",Tabela4[[#This Row],[Cenário]])-SEARCH("(",Tabela4[[#This Row],[Cenário]])-1),"")&amp;"_"&amp;ROW()</f>
        <v>OUT-YVRE_309</v>
      </c>
      <c r="B309" t="s">
        <v>358</v>
      </c>
      <c r="C309" t="s">
        <v>547</v>
      </c>
      <c r="D309" t="s">
        <v>365</v>
      </c>
      <c r="E309">
        <v>2</v>
      </c>
      <c r="F309" t="s">
        <v>365</v>
      </c>
      <c r="G309" t="s">
        <v>310</v>
      </c>
      <c r="H309" s="13">
        <v>60668369</v>
      </c>
      <c r="I309" s="13"/>
      <c r="J309" s="13"/>
      <c r="K309" s="9" t="s">
        <v>271</v>
      </c>
      <c r="L309" s="78">
        <v>45996</v>
      </c>
      <c r="N309" s="78">
        <v>45996</v>
      </c>
      <c r="O309" s="31"/>
      <c r="P309" s="9"/>
      <c r="Q309" s="9">
        <f>COUNTIF(Tabela4[[#All],[Cenário]],Tabela4[[#This Row],[Cenário]])</f>
        <v>6</v>
      </c>
      <c r="R309">
        <f>COUNTIFS(Tabela4[[#All],[Cenário]],Tabela4[[#This Row],[Cenário]],Tabela4[[#All],[Status]],"Keyuser - Concluído ")</f>
        <v>5</v>
      </c>
      <c r="S309" t="str">
        <f>IF(Tabela4[[#This Row],[Tarefas por Cenário]]-Tabela4[[#This Row],[Tarefas Concluídas]]&gt;0,"Não","Sim")</f>
        <v>Não</v>
      </c>
      <c r="T309">
        <f>COUNTIFS(Tabela4[[#All],[Cenário]],Tabela4[[#This Row],[Cenário]],Tabela4[[#All],[Status]],Tabela4[[#Headers],[Elo - Em correção ]])</f>
        <v>0</v>
      </c>
      <c r="U309">
        <f>COUNTIFS(Tabela4[[#All],[Cenário]],Tabela4[[#This Row],[Cenário]],Tabela4[[#All],[Status]],Tabela4[[#Headers],[Keyuser - Aguardando tarefa precedente]])</f>
        <v>0</v>
      </c>
      <c r="V309">
        <f>COUNTIFS(Tabela4[[#All],[Cenário]],Tabela4[[#This Row],[Cenário]],Tabela4[[#All],[Status]],Tabela4[[#Headers],[Não liberado  para testes]])</f>
        <v>1</v>
      </c>
      <c r="W309" t="str">
        <f>IF(Tabela4[[#This Row],[Elo - Em correção ]]&gt;0,"Sim","Não")</f>
        <v>Não</v>
      </c>
      <c r="X309" t="str">
        <f>IF(Tabela4[[#This Row],[Keyuser - Aguardando tarefa precedente]]&gt;0,"Sim","Não")</f>
        <v>Não</v>
      </c>
      <c r="Y309" t="str">
        <f>IF(Tabela4[[#This Row],[Não liberado  para testes]]&gt;0,"Sim","Não")</f>
        <v>Sim</v>
      </c>
      <c r="Z309" t="str">
        <f ca="1">IF(Tabela4[[#This Row],[Status]]="Keyuser - Pendente",NETWORKDAYS(Tabela4[[#This Row],[Dt Inicial]],TODAY()),"")</f>
        <v/>
      </c>
      <c r="AA309" t="b">
        <f>AND(Tabela4[[#This Row],[Status]]="Keyuser - Aguardando tarefa precedente",K308="Keyuser - Concluído ")</f>
        <v>0</v>
      </c>
    </row>
    <row r="310" spans="1:27" x14ac:dyDescent="0.25">
      <c r="A310" t="str">
        <f>"OUT-"&amp;IFERROR(MID(Tabela4[[#This Row],[Cenário]],SEARCH("(",Tabela4[[#This Row],[Cenário]])+1,SEARCH(")",Tabela4[[#This Row],[Cenário]])-SEARCH("(",Tabela4[[#This Row],[Cenário]])-1),"")&amp;"_"&amp;ROW()</f>
        <v>OUT-YVRE_310</v>
      </c>
      <c r="B310" t="s">
        <v>358</v>
      </c>
      <c r="C310" t="s">
        <v>547</v>
      </c>
      <c r="D310" t="s">
        <v>368</v>
      </c>
      <c r="E310">
        <v>3</v>
      </c>
      <c r="F310" t="s">
        <v>368</v>
      </c>
      <c r="G310" t="s">
        <v>377</v>
      </c>
      <c r="H310" s="13" t="s">
        <v>548</v>
      </c>
      <c r="I310" s="13"/>
      <c r="J310" s="13"/>
      <c r="K310" s="9" t="s">
        <v>271</v>
      </c>
      <c r="L310" s="78">
        <v>45996</v>
      </c>
      <c r="N310" s="78">
        <v>45996</v>
      </c>
      <c r="O310" s="31" t="s">
        <v>549</v>
      </c>
      <c r="P310" s="9"/>
      <c r="Q310" s="9">
        <f>COUNTIF(Tabela4[[#All],[Cenário]],Tabela4[[#This Row],[Cenário]])</f>
        <v>6</v>
      </c>
      <c r="R310">
        <f>COUNTIFS(Tabela4[[#All],[Cenário]],Tabela4[[#This Row],[Cenário]],Tabela4[[#All],[Status]],"Keyuser - Concluído ")</f>
        <v>5</v>
      </c>
      <c r="S310" t="str">
        <f>IF(Tabela4[[#This Row],[Tarefas por Cenário]]-Tabela4[[#This Row],[Tarefas Concluídas]]&gt;0,"Não","Sim")</f>
        <v>Não</v>
      </c>
      <c r="T310">
        <f>COUNTIFS(Tabela4[[#All],[Cenário]],Tabela4[[#This Row],[Cenário]],Tabela4[[#All],[Status]],Tabela4[[#Headers],[Elo - Em correção ]])</f>
        <v>0</v>
      </c>
      <c r="U310">
        <f>COUNTIFS(Tabela4[[#All],[Cenário]],Tabela4[[#This Row],[Cenário]],Tabela4[[#All],[Status]],Tabela4[[#Headers],[Keyuser - Aguardando tarefa precedente]])</f>
        <v>0</v>
      </c>
      <c r="V310">
        <f>COUNTIFS(Tabela4[[#All],[Cenário]],Tabela4[[#This Row],[Cenário]],Tabela4[[#All],[Status]],Tabela4[[#Headers],[Não liberado  para testes]])</f>
        <v>1</v>
      </c>
      <c r="W310" t="str">
        <f>IF(Tabela4[[#This Row],[Elo - Em correção ]]&gt;0,"Sim","Não")</f>
        <v>Não</v>
      </c>
      <c r="X310" t="str">
        <f>IF(Tabela4[[#This Row],[Keyuser - Aguardando tarefa precedente]]&gt;0,"Sim","Não")</f>
        <v>Não</v>
      </c>
      <c r="Y310" t="str">
        <f>IF(Tabela4[[#This Row],[Não liberado  para testes]]&gt;0,"Sim","Não")</f>
        <v>Sim</v>
      </c>
      <c r="Z310" t="str">
        <f ca="1">IF(Tabela4[[#This Row],[Status]]="Keyuser - Pendente",NETWORKDAYS(Tabela4[[#This Row],[Dt Inicial]],TODAY()),"")</f>
        <v/>
      </c>
      <c r="AA310" t="b">
        <f>AND(Tabela4[[#This Row],[Status]]="Keyuser - Aguardando tarefa precedente",K309="Keyuser - Concluído ")</f>
        <v>0</v>
      </c>
    </row>
    <row r="311" spans="1:27" x14ac:dyDescent="0.25">
      <c r="A311" t="str">
        <f>"OUT-"&amp;IFERROR(MID(Tabela4[[#This Row],[Cenário]],SEARCH("(",Tabela4[[#This Row],[Cenário]])+1,SEARCH(")",Tabela4[[#This Row],[Cenário]])-SEARCH("(",Tabela4[[#This Row],[Cenário]])-1),"")&amp;"_"&amp;ROW()</f>
        <v>OUT-YVRE_311</v>
      </c>
      <c r="B311" t="s">
        <v>358</v>
      </c>
      <c r="C311" t="s">
        <v>547</v>
      </c>
      <c r="D311" t="s">
        <v>371</v>
      </c>
      <c r="E311">
        <v>4</v>
      </c>
      <c r="F311" t="s">
        <v>372</v>
      </c>
      <c r="G311" t="s">
        <v>287</v>
      </c>
      <c r="H311" s="13" t="s">
        <v>548</v>
      </c>
      <c r="I311" s="13"/>
      <c r="J311" s="13"/>
      <c r="K311" s="9" t="s">
        <v>271</v>
      </c>
      <c r="L311" s="78">
        <v>45789</v>
      </c>
      <c r="N311" s="78">
        <v>45789</v>
      </c>
      <c r="O311" s="31"/>
      <c r="P311" s="9"/>
      <c r="Q311" s="9">
        <f>COUNTIF(Tabela4[[#All],[Cenário]],Tabela4[[#This Row],[Cenário]])</f>
        <v>6</v>
      </c>
      <c r="R311">
        <f>COUNTIFS(Tabela4[[#All],[Cenário]],Tabela4[[#This Row],[Cenário]],Tabela4[[#All],[Status]],"Keyuser - Concluído ")</f>
        <v>5</v>
      </c>
      <c r="S311" t="str">
        <f>IF(Tabela4[[#This Row],[Tarefas por Cenário]]-Tabela4[[#This Row],[Tarefas Concluídas]]&gt;0,"Não","Sim")</f>
        <v>Não</v>
      </c>
      <c r="T311">
        <f>COUNTIFS(Tabela4[[#All],[Cenário]],Tabela4[[#This Row],[Cenário]],Tabela4[[#All],[Status]],Tabela4[[#Headers],[Elo - Em correção ]])</f>
        <v>0</v>
      </c>
      <c r="U311">
        <f>COUNTIFS(Tabela4[[#All],[Cenário]],Tabela4[[#This Row],[Cenário]],Tabela4[[#All],[Status]],Tabela4[[#Headers],[Keyuser - Aguardando tarefa precedente]])</f>
        <v>0</v>
      </c>
      <c r="V311">
        <f>COUNTIFS(Tabela4[[#All],[Cenário]],Tabela4[[#This Row],[Cenário]],Tabela4[[#All],[Status]],Tabela4[[#Headers],[Não liberado  para testes]])</f>
        <v>1</v>
      </c>
      <c r="W311" t="str">
        <f>IF(Tabela4[[#This Row],[Elo - Em correção ]]&gt;0,"Sim","Não")</f>
        <v>Não</v>
      </c>
      <c r="X311" t="str">
        <f>IF(Tabela4[[#This Row],[Keyuser - Aguardando tarefa precedente]]&gt;0,"Sim","Não")</f>
        <v>Não</v>
      </c>
      <c r="Y311" t="str">
        <f>IF(Tabela4[[#This Row],[Não liberado  para testes]]&gt;0,"Sim","Não")</f>
        <v>Sim</v>
      </c>
      <c r="Z311" t="str">
        <f ca="1">IF(Tabela4[[#This Row],[Status]]="Keyuser - Pendente",NETWORKDAYS(Tabela4[[#This Row],[Dt Inicial]],TODAY()),"")</f>
        <v/>
      </c>
      <c r="AA311" t="b">
        <f>AND(Tabela4[[#This Row],[Status]]="Keyuser - Aguardando tarefa precedente",K310="Keyuser - Concluído ")</f>
        <v>0</v>
      </c>
    </row>
    <row r="312" spans="1:27" x14ac:dyDescent="0.25">
      <c r="A312" t="str">
        <f>"OUT-"&amp;IFERROR(MID(Tabela4[[#This Row],[Cenário]],SEARCH("(",Tabela4[[#This Row],[Cenário]])+1,SEARCH(")",Tabela4[[#This Row],[Cenário]])-SEARCH("(",Tabela4[[#This Row],[Cenário]])-1),"")&amp;"_"&amp;ROW()</f>
        <v>OUT-YVRE_312</v>
      </c>
      <c r="B312" t="s">
        <v>358</v>
      </c>
      <c r="C312" t="s">
        <v>547</v>
      </c>
      <c r="D312" t="s">
        <v>373</v>
      </c>
      <c r="E312">
        <v>5</v>
      </c>
      <c r="F312" t="s">
        <v>373</v>
      </c>
      <c r="G312" t="s">
        <v>283</v>
      </c>
      <c r="H312" s="13"/>
      <c r="I312" s="13"/>
      <c r="J312" s="13"/>
      <c r="K312" s="9" t="s">
        <v>271</v>
      </c>
      <c r="L312" s="78">
        <v>45912</v>
      </c>
      <c r="N312" s="78">
        <v>45912</v>
      </c>
      <c r="O312" s="31"/>
      <c r="P312" s="9"/>
      <c r="Q312" s="9">
        <f>COUNTIF(Tabela4[[#All],[Cenário]],Tabela4[[#This Row],[Cenário]])</f>
        <v>6</v>
      </c>
      <c r="R312">
        <f>COUNTIFS(Tabela4[[#All],[Cenário]],Tabela4[[#This Row],[Cenário]],Tabela4[[#All],[Status]],"Keyuser - Concluído ")</f>
        <v>5</v>
      </c>
      <c r="S312" t="str">
        <f>IF(Tabela4[[#This Row],[Tarefas por Cenário]]-Tabela4[[#This Row],[Tarefas Concluídas]]&gt;0,"Não","Sim")</f>
        <v>Não</v>
      </c>
      <c r="T312">
        <f>COUNTIFS(Tabela4[[#All],[Cenário]],Tabela4[[#This Row],[Cenário]],Tabela4[[#All],[Status]],Tabela4[[#Headers],[Elo - Em correção ]])</f>
        <v>0</v>
      </c>
      <c r="U312">
        <f>COUNTIFS(Tabela4[[#All],[Cenário]],Tabela4[[#This Row],[Cenário]],Tabela4[[#All],[Status]],Tabela4[[#Headers],[Keyuser - Aguardando tarefa precedente]])</f>
        <v>0</v>
      </c>
      <c r="V312">
        <f>COUNTIFS(Tabela4[[#All],[Cenário]],Tabela4[[#This Row],[Cenário]],Tabela4[[#All],[Status]],Tabela4[[#Headers],[Não liberado  para testes]])</f>
        <v>1</v>
      </c>
      <c r="W312" t="str">
        <f>IF(Tabela4[[#This Row],[Elo - Em correção ]]&gt;0,"Sim","Não")</f>
        <v>Não</v>
      </c>
      <c r="X312" t="str">
        <f>IF(Tabela4[[#This Row],[Keyuser - Aguardando tarefa precedente]]&gt;0,"Sim","Não")</f>
        <v>Não</v>
      </c>
      <c r="Y312" t="str">
        <f>IF(Tabela4[[#This Row],[Não liberado  para testes]]&gt;0,"Sim","Não")</f>
        <v>Sim</v>
      </c>
      <c r="Z312" t="str">
        <f ca="1">IF(Tabela4[[#This Row],[Status]]="Keyuser - Pendente",NETWORKDAYS(Tabela4[[#This Row],[Dt Inicial]],TODAY()),"")</f>
        <v/>
      </c>
      <c r="AA312" t="b">
        <f>AND(Tabela4[[#This Row],[Status]]="Keyuser - Aguardando tarefa precedente",K311="Keyuser - Concluído ")</f>
        <v>0</v>
      </c>
    </row>
    <row r="313" spans="1:27" x14ac:dyDescent="0.25">
      <c r="A313" t="str">
        <f>"OUT-"&amp;IFERROR(MID(Tabela4[[#This Row],[Cenário]],SEARCH("(",Tabela4[[#This Row],[Cenário]])+1,SEARCH(")",Tabela4[[#This Row],[Cenário]])-SEARCH("(",Tabela4[[#This Row],[Cenário]])-1),"")&amp;"_"&amp;ROW()</f>
        <v>OUT-YVRE_313</v>
      </c>
      <c r="B313" t="s">
        <v>374</v>
      </c>
      <c r="C313" t="s">
        <v>547</v>
      </c>
      <c r="D313" t="s">
        <v>286</v>
      </c>
      <c r="E313">
        <v>6</v>
      </c>
      <c r="F313" t="s">
        <v>286</v>
      </c>
      <c r="G313" t="s">
        <v>287</v>
      </c>
      <c r="H313" s="13"/>
      <c r="I313" s="13"/>
      <c r="J313" s="13"/>
      <c r="K313" s="9" t="s">
        <v>262</v>
      </c>
      <c r="N313" s="78"/>
      <c r="O313" s="31"/>
      <c r="P313" s="9"/>
      <c r="Q313" s="9">
        <f>COUNTIF(Tabela4[[#All],[Cenário]],Tabela4[[#This Row],[Cenário]])</f>
        <v>6</v>
      </c>
      <c r="R313">
        <f>COUNTIFS(Tabela4[[#All],[Cenário]],Tabela4[[#This Row],[Cenário]],Tabela4[[#All],[Status]],"Keyuser - Concluído ")</f>
        <v>5</v>
      </c>
      <c r="S313" t="str">
        <f>IF(Tabela4[[#This Row],[Tarefas por Cenário]]-Tabela4[[#This Row],[Tarefas Concluídas]]&gt;0,"Não","Sim")</f>
        <v>Não</v>
      </c>
      <c r="T313">
        <f>COUNTIFS(Tabela4[[#All],[Cenário]],Tabela4[[#This Row],[Cenário]],Tabela4[[#All],[Status]],Tabela4[[#Headers],[Elo - Em correção ]])</f>
        <v>0</v>
      </c>
      <c r="U313">
        <f>COUNTIFS(Tabela4[[#All],[Cenário]],Tabela4[[#This Row],[Cenário]],Tabela4[[#All],[Status]],Tabela4[[#Headers],[Keyuser - Aguardando tarefa precedente]])</f>
        <v>0</v>
      </c>
      <c r="V313">
        <f>COUNTIFS(Tabela4[[#All],[Cenário]],Tabela4[[#This Row],[Cenário]],Tabela4[[#All],[Status]],Tabela4[[#Headers],[Não liberado  para testes]])</f>
        <v>1</v>
      </c>
      <c r="W313" t="str">
        <f>IF(Tabela4[[#This Row],[Elo - Em correção ]]&gt;0,"Sim","Não")</f>
        <v>Não</v>
      </c>
      <c r="X313" t="str">
        <f>IF(Tabela4[[#This Row],[Keyuser - Aguardando tarefa precedente]]&gt;0,"Sim","Não")</f>
        <v>Não</v>
      </c>
      <c r="Y313" t="str">
        <f>IF(Tabela4[[#This Row],[Não liberado  para testes]]&gt;0,"Sim","Não")</f>
        <v>Sim</v>
      </c>
      <c r="Z313" t="str">
        <f ca="1">IF(Tabela4[[#This Row],[Status]]="Keyuser - Pendente",NETWORKDAYS(Tabela4[[#This Row],[Dt Inicial]],TODAY()),"")</f>
        <v/>
      </c>
      <c r="AA313" t="b">
        <f>AND(Tabela4[[#This Row],[Status]]="Keyuser - Aguardando tarefa precedente",K312="Keyuser - Concluído ")</f>
        <v>0</v>
      </c>
    </row>
    <row r="314" spans="1:27" x14ac:dyDescent="0.25">
      <c r="A314" t="str">
        <f>"OUT-"&amp;IFERROR(MID(Tabela4[[#This Row],[Cenário]],SEARCH("(",Tabela4[[#This Row],[Cenário]])+1,SEARCH(")",Tabela4[[#This Row],[Cenário]])-SEARCH("(",Tabela4[[#This Row],[Cenário]])-1),"")&amp;"_"&amp;ROW()</f>
        <v>OUT-Y003_314</v>
      </c>
      <c r="B314" t="s">
        <v>358</v>
      </c>
      <c r="C314" t="s">
        <v>550</v>
      </c>
      <c r="D314" t="s">
        <v>360</v>
      </c>
      <c r="E314">
        <v>1</v>
      </c>
      <c r="F314" t="s">
        <v>360</v>
      </c>
      <c r="G314" t="s">
        <v>361</v>
      </c>
      <c r="H314" s="18">
        <v>70583987</v>
      </c>
      <c r="I314" s="9" t="s">
        <v>551</v>
      </c>
      <c r="J314" s="9" t="s">
        <v>364</v>
      </c>
      <c r="K314" s="9" t="s">
        <v>271</v>
      </c>
      <c r="L314" s="78">
        <v>45992</v>
      </c>
      <c r="N314" s="78">
        <v>45992</v>
      </c>
      <c r="O314" s="31"/>
      <c r="P314" s="9"/>
      <c r="Q314" s="9">
        <f>COUNTIF(Tabela4[[#All],[Cenário]],Tabela4[[#This Row],[Cenário]])</f>
        <v>8</v>
      </c>
      <c r="R314">
        <f>COUNTIFS(Tabela4[[#All],[Cenário]],Tabela4[[#This Row],[Cenário]],Tabela4[[#All],[Status]],"Keyuser - Concluído ")</f>
        <v>7</v>
      </c>
      <c r="S314" t="str">
        <f>IF(Tabela4[[#This Row],[Tarefas por Cenário]]-Tabela4[[#This Row],[Tarefas Concluídas]]&gt;0,"Não","Sim")</f>
        <v>Não</v>
      </c>
      <c r="T314">
        <f>COUNTIFS(Tabela4[[#All],[Cenário]],Tabela4[[#This Row],[Cenário]],Tabela4[[#All],[Status]],Tabela4[[#Headers],[Elo - Em correção ]])</f>
        <v>0</v>
      </c>
      <c r="U314">
        <f>COUNTIFS(Tabela4[[#All],[Cenário]],Tabela4[[#This Row],[Cenário]],Tabela4[[#All],[Status]],Tabela4[[#Headers],[Keyuser - Aguardando tarefa precedente]])</f>
        <v>0</v>
      </c>
      <c r="V314">
        <f>COUNTIFS(Tabela4[[#All],[Cenário]],Tabela4[[#This Row],[Cenário]],Tabela4[[#All],[Status]],Tabela4[[#Headers],[Não liberado  para testes]])</f>
        <v>1</v>
      </c>
      <c r="W314" t="str">
        <f>IF(Tabela4[[#This Row],[Elo - Em correção ]]&gt;0,"Sim","Não")</f>
        <v>Não</v>
      </c>
      <c r="X314" t="str">
        <f>IF(Tabela4[[#This Row],[Keyuser - Aguardando tarefa precedente]]&gt;0,"Sim","Não")</f>
        <v>Não</v>
      </c>
      <c r="Y314" t="str">
        <f>IF(Tabela4[[#This Row],[Não liberado  para testes]]&gt;0,"Sim","Não")</f>
        <v>Sim</v>
      </c>
      <c r="Z314" t="str">
        <f ca="1">IF(Tabela4[[#This Row],[Status]]="Keyuser - Pendente",NETWORKDAYS(Tabela4[[#This Row],[Dt Inicial]],TODAY()),"")</f>
        <v/>
      </c>
      <c r="AA314" t="b">
        <f>AND(Tabela4[[#This Row],[Status]]="Keyuser - Aguardando tarefa precedente",K313="Keyuser - Concluído ")</f>
        <v>0</v>
      </c>
    </row>
    <row r="315" spans="1:27" x14ac:dyDescent="0.25">
      <c r="A315" t="str">
        <f>"OUT-"&amp;IFERROR(MID(Tabela4[[#This Row],[Cenário]],SEARCH("(",Tabela4[[#This Row],[Cenário]])+1,SEARCH(")",Tabela4[[#This Row],[Cenário]])-SEARCH("(",Tabela4[[#This Row],[Cenário]])-1),"")&amp;"_"&amp;ROW()</f>
        <v>OUT-Y003_315</v>
      </c>
      <c r="B315" t="s">
        <v>358</v>
      </c>
      <c r="C315" t="s">
        <v>550</v>
      </c>
      <c r="D315" t="s">
        <v>365</v>
      </c>
      <c r="E315">
        <v>2</v>
      </c>
      <c r="F315" t="s">
        <v>365</v>
      </c>
      <c r="G315" t="s">
        <v>310</v>
      </c>
      <c r="H315" s="18">
        <v>70583987</v>
      </c>
      <c r="J315" s="9" t="s">
        <v>364</v>
      </c>
      <c r="K315" s="9" t="s">
        <v>271</v>
      </c>
      <c r="L315" s="78">
        <v>45992</v>
      </c>
      <c r="N315" s="78">
        <v>45992</v>
      </c>
      <c r="O315" s="31"/>
      <c r="P315" s="9"/>
      <c r="Q315" s="9">
        <f>COUNTIF(Tabela4[[#All],[Cenário]],Tabela4[[#This Row],[Cenário]])</f>
        <v>8</v>
      </c>
      <c r="R315">
        <f>COUNTIFS(Tabela4[[#All],[Cenário]],Tabela4[[#This Row],[Cenário]],Tabela4[[#All],[Status]],"Keyuser - Concluído ")</f>
        <v>7</v>
      </c>
      <c r="S315" t="str">
        <f>IF(Tabela4[[#This Row],[Tarefas por Cenário]]-Tabela4[[#This Row],[Tarefas Concluídas]]&gt;0,"Não","Sim")</f>
        <v>Não</v>
      </c>
      <c r="T315">
        <f>COUNTIFS(Tabela4[[#All],[Cenário]],Tabela4[[#This Row],[Cenário]],Tabela4[[#All],[Status]],Tabela4[[#Headers],[Elo - Em correção ]])</f>
        <v>0</v>
      </c>
      <c r="U315">
        <f>COUNTIFS(Tabela4[[#All],[Cenário]],Tabela4[[#This Row],[Cenário]],Tabela4[[#All],[Status]],Tabela4[[#Headers],[Keyuser - Aguardando tarefa precedente]])</f>
        <v>0</v>
      </c>
      <c r="V315">
        <f>COUNTIFS(Tabela4[[#All],[Cenário]],Tabela4[[#This Row],[Cenário]],Tabela4[[#All],[Status]],Tabela4[[#Headers],[Não liberado  para testes]])</f>
        <v>1</v>
      </c>
      <c r="W315" t="str">
        <f>IF(Tabela4[[#This Row],[Elo - Em correção ]]&gt;0,"Sim","Não")</f>
        <v>Não</v>
      </c>
      <c r="X315" t="str">
        <f>IF(Tabela4[[#This Row],[Keyuser - Aguardando tarefa precedente]]&gt;0,"Sim","Não")</f>
        <v>Não</v>
      </c>
      <c r="Y315" t="str">
        <f>IF(Tabela4[[#This Row],[Não liberado  para testes]]&gt;0,"Sim","Não")</f>
        <v>Sim</v>
      </c>
      <c r="Z315" t="str">
        <f ca="1">IF(Tabela4[[#This Row],[Status]]="Keyuser - Pendente",NETWORKDAYS(Tabela4[[#This Row],[Dt Inicial]],TODAY()),"")</f>
        <v/>
      </c>
      <c r="AA315" t="b">
        <f>AND(Tabela4[[#This Row],[Status]]="Keyuser - Aguardando tarefa precedente",K314="Keyuser - Concluído ")</f>
        <v>0</v>
      </c>
    </row>
    <row r="316" spans="1:27" x14ac:dyDescent="0.25">
      <c r="A316" t="str">
        <f>"OUT-"&amp;IFERROR(MID(Tabela4[[#This Row],[Cenário]],SEARCH("(",Tabela4[[#This Row],[Cenário]])+1,SEARCH(")",Tabela4[[#This Row],[Cenário]])-SEARCH("(",Tabela4[[#This Row],[Cenário]])-1),"")&amp;"_"&amp;ROW()</f>
        <v>OUT-Y003_316</v>
      </c>
      <c r="B316" t="s">
        <v>358</v>
      </c>
      <c r="C316" t="s">
        <v>550</v>
      </c>
      <c r="D316" t="s">
        <v>366</v>
      </c>
      <c r="E316">
        <v>3</v>
      </c>
      <c r="F316" t="s">
        <v>366</v>
      </c>
      <c r="G316" t="s">
        <v>367</v>
      </c>
      <c r="H316" s="18">
        <v>70583987</v>
      </c>
      <c r="J316" s="9" t="s">
        <v>552</v>
      </c>
      <c r="K316" s="9" t="s">
        <v>271</v>
      </c>
      <c r="L316" s="78">
        <v>45992</v>
      </c>
      <c r="N316" s="78">
        <v>45992</v>
      </c>
      <c r="O316" s="31"/>
      <c r="P316" s="9"/>
      <c r="Q316" s="9">
        <f>COUNTIF(Tabela4[[#All],[Cenário]],Tabela4[[#This Row],[Cenário]])</f>
        <v>8</v>
      </c>
      <c r="R316">
        <f>COUNTIFS(Tabela4[[#All],[Cenário]],Tabela4[[#This Row],[Cenário]],Tabela4[[#All],[Status]],"Keyuser - Concluído ")</f>
        <v>7</v>
      </c>
      <c r="S316" t="str">
        <f>IF(Tabela4[[#This Row],[Tarefas por Cenário]]-Tabela4[[#This Row],[Tarefas Concluídas]]&gt;0,"Não","Sim")</f>
        <v>Não</v>
      </c>
      <c r="T316">
        <f>COUNTIFS(Tabela4[[#All],[Cenário]],Tabela4[[#This Row],[Cenário]],Tabela4[[#All],[Status]],Tabela4[[#Headers],[Elo - Em correção ]])</f>
        <v>0</v>
      </c>
      <c r="U316">
        <f>COUNTIFS(Tabela4[[#All],[Cenário]],Tabela4[[#This Row],[Cenário]],Tabela4[[#All],[Status]],Tabela4[[#Headers],[Keyuser - Aguardando tarefa precedente]])</f>
        <v>0</v>
      </c>
      <c r="V316">
        <f>COUNTIFS(Tabela4[[#All],[Cenário]],Tabela4[[#This Row],[Cenário]],Tabela4[[#All],[Status]],Tabela4[[#Headers],[Não liberado  para testes]])</f>
        <v>1</v>
      </c>
      <c r="W316" t="str">
        <f>IF(Tabela4[[#This Row],[Elo - Em correção ]]&gt;0,"Sim","Não")</f>
        <v>Não</v>
      </c>
      <c r="X316" t="str">
        <f>IF(Tabela4[[#This Row],[Keyuser - Aguardando tarefa precedente]]&gt;0,"Sim","Não")</f>
        <v>Não</v>
      </c>
      <c r="Y316" t="str">
        <f>IF(Tabela4[[#This Row],[Não liberado  para testes]]&gt;0,"Sim","Não")</f>
        <v>Sim</v>
      </c>
      <c r="Z316" t="str">
        <f ca="1">IF(Tabela4[[#This Row],[Status]]="Keyuser - Pendente",NETWORKDAYS(Tabela4[[#This Row],[Dt Inicial]],TODAY()),"")</f>
        <v/>
      </c>
      <c r="AA316" t="b">
        <f>AND(Tabela4[[#This Row],[Status]]="Keyuser - Aguardando tarefa precedente",K315="Keyuser - Concluído ")</f>
        <v>0</v>
      </c>
    </row>
    <row r="317" spans="1:27" x14ac:dyDescent="0.25">
      <c r="A317" t="str">
        <f>"OUT-"&amp;IFERROR(MID(Tabela4[[#This Row],[Cenário]],SEARCH("(",Tabela4[[#This Row],[Cenário]])+1,SEARCH(")",Tabela4[[#This Row],[Cenário]])-SEARCH("(",Tabela4[[#This Row],[Cenário]])-1),"")&amp;"_"&amp;ROW()</f>
        <v>OUT-Y003_317</v>
      </c>
      <c r="B317" t="s">
        <v>358</v>
      </c>
      <c r="C317" t="s">
        <v>550</v>
      </c>
      <c r="D317" t="s">
        <v>368</v>
      </c>
      <c r="E317">
        <v>4</v>
      </c>
      <c r="F317" t="s">
        <v>368</v>
      </c>
      <c r="G317" t="s">
        <v>369</v>
      </c>
      <c r="H317" s="13" t="s">
        <v>553</v>
      </c>
      <c r="J317" s="9" t="s">
        <v>364</v>
      </c>
      <c r="K317" s="9" t="s">
        <v>271</v>
      </c>
      <c r="L317" s="78">
        <v>45993</v>
      </c>
      <c r="N317" s="78">
        <v>45993</v>
      </c>
      <c r="O317" s="31"/>
      <c r="P317" s="9"/>
      <c r="Q317" s="9">
        <f>COUNTIF(Tabela4[[#All],[Cenário]],Tabela4[[#This Row],[Cenário]])</f>
        <v>8</v>
      </c>
      <c r="R317">
        <f>COUNTIFS(Tabela4[[#All],[Cenário]],Tabela4[[#This Row],[Cenário]],Tabela4[[#All],[Status]],"Keyuser - Concluído ")</f>
        <v>7</v>
      </c>
      <c r="S317" t="str">
        <f>IF(Tabela4[[#This Row],[Tarefas por Cenário]]-Tabela4[[#This Row],[Tarefas Concluídas]]&gt;0,"Não","Sim")</f>
        <v>Não</v>
      </c>
      <c r="T317">
        <f>COUNTIFS(Tabela4[[#All],[Cenário]],Tabela4[[#This Row],[Cenário]],Tabela4[[#All],[Status]],Tabela4[[#Headers],[Elo - Em correção ]])</f>
        <v>0</v>
      </c>
      <c r="U317">
        <f>COUNTIFS(Tabela4[[#All],[Cenário]],Tabela4[[#This Row],[Cenário]],Tabela4[[#All],[Status]],Tabela4[[#Headers],[Keyuser - Aguardando tarefa precedente]])</f>
        <v>0</v>
      </c>
      <c r="V317">
        <f>COUNTIFS(Tabela4[[#All],[Cenário]],Tabela4[[#This Row],[Cenário]],Tabela4[[#All],[Status]],Tabela4[[#Headers],[Não liberado  para testes]])</f>
        <v>1</v>
      </c>
      <c r="W317" t="str">
        <f>IF(Tabela4[[#This Row],[Elo - Em correção ]]&gt;0,"Sim","Não")</f>
        <v>Não</v>
      </c>
      <c r="X317" t="str">
        <f>IF(Tabela4[[#This Row],[Keyuser - Aguardando tarefa precedente]]&gt;0,"Sim","Não")</f>
        <v>Não</v>
      </c>
      <c r="Y317" t="str">
        <f>IF(Tabela4[[#This Row],[Não liberado  para testes]]&gt;0,"Sim","Não")</f>
        <v>Sim</v>
      </c>
      <c r="Z317" t="str">
        <f ca="1">IF(Tabela4[[#This Row],[Status]]="Keyuser - Pendente",NETWORKDAYS(Tabela4[[#This Row],[Dt Inicial]],TODAY()),"")</f>
        <v/>
      </c>
      <c r="AA317" t="b">
        <f>AND(Tabela4[[#This Row],[Status]]="Keyuser - Aguardando tarefa precedente",K316="Keyuser - Concluído ")</f>
        <v>0</v>
      </c>
    </row>
    <row r="318" spans="1:27" x14ac:dyDescent="0.25">
      <c r="A318" t="str">
        <f>"OUT-"&amp;IFERROR(MID(Tabela4[[#This Row],[Cenário]],SEARCH("(",Tabela4[[#This Row],[Cenário]])+1,SEARCH(")",Tabela4[[#This Row],[Cenário]])-SEARCH("(",Tabela4[[#This Row],[Cenário]])-1),"")&amp;"_"&amp;ROW()</f>
        <v>OUT-Y003_318</v>
      </c>
      <c r="B318" t="s">
        <v>358</v>
      </c>
      <c r="C318" t="s">
        <v>550</v>
      </c>
      <c r="D318" t="s">
        <v>371</v>
      </c>
      <c r="E318">
        <v>5</v>
      </c>
      <c r="F318" t="s">
        <v>435</v>
      </c>
      <c r="G318" t="s">
        <v>287</v>
      </c>
      <c r="H318" s="13" t="s">
        <v>553</v>
      </c>
      <c r="K318" s="9" t="s">
        <v>271</v>
      </c>
      <c r="L318" s="78">
        <v>45994</v>
      </c>
      <c r="N318" s="78">
        <v>45994</v>
      </c>
      <c r="O318" s="72"/>
      <c r="P318" s="9"/>
      <c r="Q318" s="9">
        <f>COUNTIF(Tabela4[[#All],[Cenário]],Tabela4[[#This Row],[Cenário]])</f>
        <v>8</v>
      </c>
      <c r="R318">
        <f>COUNTIFS(Tabela4[[#All],[Cenário]],Tabela4[[#This Row],[Cenário]],Tabela4[[#All],[Status]],"Keyuser - Concluído ")</f>
        <v>7</v>
      </c>
      <c r="S318" t="str">
        <f>IF(Tabela4[[#This Row],[Tarefas por Cenário]]-Tabela4[[#This Row],[Tarefas Concluídas]]&gt;0,"Não","Sim")</f>
        <v>Não</v>
      </c>
      <c r="T318">
        <f>COUNTIFS(Tabela4[[#All],[Cenário]],Tabela4[[#This Row],[Cenário]],Tabela4[[#All],[Status]],Tabela4[[#Headers],[Elo - Em correção ]])</f>
        <v>0</v>
      </c>
      <c r="U318">
        <f>COUNTIFS(Tabela4[[#All],[Cenário]],Tabela4[[#This Row],[Cenário]],Tabela4[[#All],[Status]],Tabela4[[#Headers],[Keyuser - Aguardando tarefa precedente]])</f>
        <v>0</v>
      </c>
      <c r="V318">
        <f>COUNTIFS(Tabela4[[#All],[Cenário]],Tabela4[[#This Row],[Cenário]],Tabela4[[#All],[Status]],Tabela4[[#Headers],[Não liberado  para testes]])</f>
        <v>1</v>
      </c>
      <c r="W318" t="str">
        <f>IF(Tabela4[[#This Row],[Elo - Em correção ]]&gt;0,"Sim","Não")</f>
        <v>Não</v>
      </c>
      <c r="X318" t="str">
        <f>IF(Tabela4[[#This Row],[Keyuser - Aguardando tarefa precedente]]&gt;0,"Sim","Não")</f>
        <v>Não</v>
      </c>
      <c r="Y318" t="str">
        <f>IF(Tabela4[[#This Row],[Não liberado  para testes]]&gt;0,"Sim","Não")</f>
        <v>Sim</v>
      </c>
      <c r="Z318" t="str">
        <f ca="1">IF(Tabela4[[#This Row],[Status]]="Keyuser - Pendente",NETWORKDAYS(Tabela4[[#This Row],[Dt Inicial]],TODAY()),"")</f>
        <v/>
      </c>
      <c r="AA318" t="b">
        <f>AND(Tabela4[[#This Row],[Status]]="Keyuser - Aguardando tarefa precedente",K317="Keyuser - Concluído ")</f>
        <v>0</v>
      </c>
    </row>
    <row r="319" spans="1:27" x14ac:dyDescent="0.25">
      <c r="A319" t="str">
        <f>"OUT-"&amp;IFERROR(MID(Tabela4[[#This Row],[Cenário]],SEARCH("(",Tabela4[[#This Row],[Cenário]])+1,SEARCH(")",Tabela4[[#This Row],[Cenário]])-SEARCH("(",Tabela4[[#This Row],[Cenário]])-1),"")&amp;"_"&amp;ROW()</f>
        <v>OUT-Y003_319</v>
      </c>
      <c r="B319" t="s">
        <v>358</v>
      </c>
      <c r="C319" t="s">
        <v>550</v>
      </c>
      <c r="D319" t="s">
        <v>373</v>
      </c>
      <c r="E319">
        <v>6</v>
      </c>
      <c r="F319" t="s">
        <v>373</v>
      </c>
      <c r="G319" t="s">
        <v>283</v>
      </c>
      <c r="H319" s="13" t="s">
        <v>553</v>
      </c>
      <c r="K319" s="9" t="s">
        <v>271</v>
      </c>
      <c r="L319" s="78">
        <v>45995</v>
      </c>
      <c r="N319" s="78">
        <v>45995</v>
      </c>
      <c r="O319" s="31"/>
      <c r="P319" s="9"/>
      <c r="Q319" s="9">
        <f>COUNTIF(Tabela4[[#All],[Cenário]],Tabela4[[#This Row],[Cenário]])</f>
        <v>8</v>
      </c>
      <c r="R319">
        <f>COUNTIFS(Tabela4[[#All],[Cenário]],Tabela4[[#This Row],[Cenário]],Tabela4[[#All],[Status]],"Keyuser - Concluído ")</f>
        <v>7</v>
      </c>
      <c r="S319" t="str">
        <f>IF(Tabela4[[#This Row],[Tarefas por Cenário]]-Tabela4[[#This Row],[Tarefas Concluídas]]&gt;0,"Não","Sim")</f>
        <v>Não</v>
      </c>
      <c r="T319">
        <f>COUNTIFS(Tabela4[[#All],[Cenário]],Tabela4[[#This Row],[Cenário]],Tabela4[[#All],[Status]],Tabela4[[#Headers],[Elo - Em correção ]])</f>
        <v>0</v>
      </c>
      <c r="U319">
        <f>COUNTIFS(Tabela4[[#All],[Cenário]],Tabela4[[#This Row],[Cenário]],Tabela4[[#All],[Status]],Tabela4[[#Headers],[Keyuser - Aguardando tarefa precedente]])</f>
        <v>0</v>
      </c>
      <c r="V319">
        <f>COUNTIFS(Tabela4[[#All],[Cenário]],Tabela4[[#This Row],[Cenário]],Tabela4[[#All],[Status]],Tabela4[[#Headers],[Não liberado  para testes]])</f>
        <v>1</v>
      </c>
      <c r="W319" t="str">
        <f>IF(Tabela4[[#This Row],[Elo - Em correção ]]&gt;0,"Sim","Não")</f>
        <v>Não</v>
      </c>
      <c r="X319" t="str">
        <f>IF(Tabela4[[#This Row],[Keyuser - Aguardando tarefa precedente]]&gt;0,"Sim","Não")</f>
        <v>Não</v>
      </c>
      <c r="Y319" t="str">
        <f>IF(Tabela4[[#This Row],[Não liberado  para testes]]&gt;0,"Sim","Não")</f>
        <v>Sim</v>
      </c>
      <c r="Z319" t="str">
        <f ca="1">IF(Tabela4[[#This Row],[Status]]="Keyuser - Pendente",NETWORKDAYS(Tabela4[[#This Row],[Dt Inicial]],TODAY()),"")</f>
        <v/>
      </c>
      <c r="AA319" t="b">
        <f>AND(Tabela4[[#This Row],[Status]]="Keyuser - Aguardando tarefa precedente",K318="Keyuser - Concluído ")</f>
        <v>0</v>
      </c>
    </row>
    <row r="320" spans="1:27" x14ac:dyDescent="0.25">
      <c r="A320" t="str">
        <f>"OUT-"&amp;IFERROR(MID(Tabela4[[#This Row],[Cenário]],SEARCH("(",Tabela4[[#This Row],[Cenário]])+1,SEARCH(")",Tabela4[[#This Row],[Cenário]])-SEARCH("(",Tabela4[[#This Row],[Cenário]])-1),"")&amp;"_"&amp;ROW()</f>
        <v>OUT-Y003_320</v>
      </c>
      <c r="B320" t="s">
        <v>374</v>
      </c>
      <c r="C320" t="s">
        <v>550</v>
      </c>
      <c r="D320" t="s">
        <v>286</v>
      </c>
      <c r="E320">
        <v>7</v>
      </c>
      <c r="F320" t="s">
        <v>286</v>
      </c>
      <c r="G320" t="s">
        <v>287</v>
      </c>
      <c r="H320" s="13"/>
      <c r="K320" s="9" t="s">
        <v>262</v>
      </c>
      <c r="N320" s="78"/>
      <c r="O320" s="31"/>
      <c r="P320" s="9"/>
      <c r="Q320" s="9">
        <f>COUNTIF(Tabela4[[#All],[Cenário]],Tabela4[[#This Row],[Cenário]])</f>
        <v>8</v>
      </c>
      <c r="R320">
        <f>COUNTIFS(Tabela4[[#All],[Cenário]],Tabela4[[#This Row],[Cenário]],Tabela4[[#All],[Status]],"Keyuser - Concluído ")</f>
        <v>7</v>
      </c>
      <c r="S320" t="str">
        <f>IF(Tabela4[[#This Row],[Tarefas por Cenário]]-Tabela4[[#This Row],[Tarefas Concluídas]]&gt;0,"Não","Sim")</f>
        <v>Não</v>
      </c>
      <c r="T320">
        <f>COUNTIFS(Tabela4[[#All],[Cenário]],Tabela4[[#This Row],[Cenário]],Tabela4[[#All],[Status]],Tabela4[[#Headers],[Elo - Em correção ]])</f>
        <v>0</v>
      </c>
      <c r="U320">
        <f>COUNTIFS(Tabela4[[#All],[Cenário]],Tabela4[[#This Row],[Cenário]],Tabela4[[#All],[Status]],Tabela4[[#Headers],[Keyuser - Aguardando tarefa precedente]])</f>
        <v>0</v>
      </c>
      <c r="V320">
        <f>COUNTIFS(Tabela4[[#All],[Cenário]],Tabela4[[#This Row],[Cenário]],Tabela4[[#All],[Status]],Tabela4[[#Headers],[Não liberado  para testes]])</f>
        <v>1</v>
      </c>
      <c r="W320" t="str">
        <f>IF(Tabela4[[#This Row],[Elo - Em correção ]]&gt;0,"Sim","Não")</f>
        <v>Não</v>
      </c>
      <c r="X320" t="str">
        <f>IF(Tabela4[[#This Row],[Keyuser - Aguardando tarefa precedente]]&gt;0,"Sim","Não")</f>
        <v>Não</v>
      </c>
      <c r="Y320" t="str">
        <f>IF(Tabela4[[#This Row],[Não liberado  para testes]]&gt;0,"Sim","Não")</f>
        <v>Sim</v>
      </c>
      <c r="Z320" t="str">
        <f ca="1">IF(Tabela4[[#This Row],[Status]]="Keyuser - Pendente",NETWORKDAYS(Tabela4[[#This Row],[Dt Inicial]],TODAY()),"")</f>
        <v/>
      </c>
      <c r="AA320" t="b">
        <f>AND(Tabela4[[#This Row],[Status]]="Keyuser - Aguardando tarefa precedente",K319="Keyuser - Concluído ")</f>
        <v>0</v>
      </c>
    </row>
    <row r="321" spans="1:27" x14ac:dyDescent="0.25">
      <c r="A321" t="str">
        <f>"OUT-"&amp;IFERROR(MID(Tabela4[[#This Row],[Cenário]],SEARCH("(",Tabela4[[#This Row],[Cenário]])+1,SEARCH(")",Tabela4[[#This Row],[Cenário]])-SEARCH("(",Tabela4[[#This Row],[Cenário]])-1),"")&amp;"_"&amp;ROW()</f>
        <v>OUT-Y003_321</v>
      </c>
      <c r="B321" t="s">
        <v>358</v>
      </c>
      <c r="C321" t="s">
        <v>550</v>
      </c>
      <c r="D321" t="s">
        <v>375</v>
      </c>
      <c r="E321">
        <v>8</v>
      </c>
      <c r="F321" t="s">
        <v>375</v>
      </c>
      <c r="G321" t="s">
        <v>367</v>
      </c>
      <c r="H321" s="18"/>
      <c r="K321" s="9" t="s">
        <v>271</v>
      </c>
      <c r="L321" s="78">
        <v>45995</v>
      </c>
      <c r="N321" s="78">
        <v>45995</v>
      </c>
      <c r="O321" s="31"/>
      <c r="P321" s="9"/>
      <c r="Q321" s="9">
        <f>COUNTIF(Tabela4[[#All],[Cenário]],Tabela4[[#This Row],[Cenário]])</f>
        <v>8</v>
      </c>
      <c r="R321">
        <f>COUNTIFS(Tabela4[[#All],[Cenário]],Tabela4[[#This Row],[Cenário]],Tabela4[[#All],[Status]],"Keyuser - Concluído ")</f>
        <v>7</v>
      </c>
      <c r="S321" t="str">
        <f>IF(Tabela4[[#This Row],[Tarefas por Cenário]]-Tabela4[[#This Row],[Tarefas Concluídas]]&gt;0,"Não","Sim")</f>
        <v>Não</v>
      </c>
      <c r="T321">
        <f>COUNTIFS(Tabela4[[#All],[Cenário]],Tabela4[[#This Row],[Cenário]],Tabela4[[#All],[Status]],Tabela4[[#Headers],[Elo - Em correção ]])</f>
        <v>0</v>
      </c>
      <c r="U321">
        <f>COUNTIFS(Tabela4[[#All],[Cenário]],Tabela4[[#This Row],[Cenário]],Tabela4[[#All],[Status]],Tabela4[[#Headers],[Keyuser - Aguardando tarefa precedente]])</f>
        <v>0</v>
      </c>
      <c r="V321">
        <f>COUNTIFS(Tabela4[[#All],[Cenário]],Tabela4[[#This Row],[Cenário]],Tabela4[[#All],[Status]],Tabela4[[#Headers],[Não liberado  para testes]])</f>
        <v>1</v>
      </c>
      <c r="W321" t="str">
        <f>IF(Tabela4[[#This Row],[Elo - Em correção ]]&gt;0,"Sim","Não")</f>
        <v>Não</v>
      </c>
      <c r="X321" t="str">
        <f>IF(Tabela4[[#This Row],[Keyuser - Aguardando tarefa precedente]]&gt;0,"Sim","Não")</f>
        <v>Não</v>
      </c>
      <c r="Y321" t="str">
        <f>IF(Tabela4[[#This Row],[Não liberado  para testes]]&gt;0,"Sim","Não")</f>
        <v>Sim</v>
      </c>
      <c r="Z321" t="str">
        <f ca="1">IF(Tabela4[[#This Row],[Status]]="Keyuser - Pendente",NETWORKDAYS(Tabela4[[#This Row],[Dt Inicial]],TODAY()),"")</f>
        <v/>
      </c>
      <c r="AA321" t="b">
        <f>AND(Tabela4[[#This Row],[Status]]="Keyuser - Aguardando tarefa precedente",K320="Keyuser - Concluído ")</f>
        <v>0</v>
      </c>
    </row>
    <row r="322" spans="1:27" x14ac:dyDescent="0.25">
      <c r="A322" t="str">
        <f>"OUT-"&amp;IFERROR(MID(Tabela4[[#This Row],[Cenário]],SEARCH("(",Tabela4[[#This Row],[Cenário]])+1,SEARCH(")",Tabela4[[#This Row],[Cenário]])-SEARCH("(",Tabela4[[#This Row],[Cenário]])-1),"")&amp;"_"&amp;ROW()</f>
        <v>OUT-Y033_322</v>
      </c>
      <c r="B322" t="s">
        <v>358</v>
      </c>
      <c r="C322" t="s">
        <v>554</v>
      </c>
      <c r="D322" t="s">
        <v>360</v>
      </c>
      <c r="E322">
        <v>1</v>
      </c>
      <c r="F322" t="s">
        <v>360</v>
      </c>
      <c r="G322" t="s">
        <v>361</v>
      </c>
      <c r="H322" s="18">
        <v>15603733</v>
      </c>
      <c r="I322" s="13" t="s">
        <v>555</v>
      </c>
      <c r="J322" s="13" t="s">
        <v>364</v>
      </c>
      <c r="K322" s="9" t="s">
        <v>271</v>
      </c>
      <c r="L322" s="78">
        <v>45993</v>
      </c>
      <c r="N322" s="78">
        <v>45993</v>
      </c>
      <c r="O322" s="31"/>
      <c r="P322" s="9"/>
      <c r="Q322" s="9">
        <f>COUNTIF(Tabela4[[#All],[Cenário]],Tabela4[[#This Row],[Cenário]])</f>
        <v>8</v>
      </c>
      <c r="R322">
        <f>COUNTIFS(Tabela4[[#All],[Cenário]],Tabela4[[#This Row],[Cenário]],Tabela4[[#All],[Status]],"Keyuser - Concluído ")</f>
        <v>8</v>
      </c>
      <c r="S322" t="str">
        <f>IF(Tabela4[[#This Row],[Tarefas por Cenário]]-Tabela4[[#This Row],[Tarefas Concluídas]]&gt;0,"Não","Sim")</f>
        <v>Sim</v>
      </c>
      <c r="T322">
        <f>COUNTIFS(Tabela4[[#All],[Cenário]],Tabela4[[#This Row],[Cenário]],Tabela4[[#All],[Status]],Tabela4[[#Headers],[Elo - Em correção ]])</f>
        <v>0</v>
      </c>
      <c r="U322">
        <f>COUNTIFS(Tabela4[[#All],[Cenário]],Tabela4[[#This Row],[Cenário]],Tabela4[[#All],[Status]],Tabela4[[#Headers],[Keyuser - Aguardando tarefa precedente]])</f>
        <v>0</v>
      </c>
      <c r="V322">
        <f>COUNTIFS(Tabela4[[#All],[Cenário]],Tabela4[[#This Row],[Cenário]],Tabela4[[#All],[Status]],Tabela4[[#Headers],[Não liberado  para testes]])</f>
        <v>0</v>
      </c>
      <c r="W322" t="str">
        <f>IF(Tabela4[[#This Row],[Elo - Em correção ]]&gt;0,"Sim","Não")</f>
        <v>Não</v>
      </c>
      <c r="X322" t="str">
        <f>IF(Tabela4[[#This Row],[Keyuser - Aguardando tarefa precedente]]&gt;0,"Sim","Não")</f>
        <v>Não</v>
      </c>
      <c r="Y322" t="str">
        <f>IF(Tabela4[[#This Row],[Não liberado  para testes]]&gt;0,"Sim","Não")</f>
        <v>Não</v>
      </c>
      <c r="Z322" t="str">
        <f ca="1">IF(Tabela4[[#This Row],[Status]]="Keyuser - Pendente",NETWORKDAYS(Tabela4[[#This Row],[Dt Inicial]],TODAY()),"")</f>
        <v/>
      </c>
      <c r="AA322" t="b">
        <f>AND(Tabela4[[#This Row],[Status]]="Keyuser - Aguardando tarefa precedente",K321="Keyuser - Concluído ")</f>
        <v>0</v>
      </c>
    </row>
    <row r="323" spans="1:27" x14ac:dyDescent="0.25">
      <c r="A323" t="str">
        <f>"OUT-"&amp;IFERROR(MID(Tabela4[[#This Row],[Cenário]],SEARCH("(",Tabela4[[#This Row],[Cenário]])+1,SEARCH(")",Tabela4[[#This Row],[Cenário]])-SEARCH("(",Tabela4[[#This Row],[Cenário]])-1),"")&amp;"_"&amp;ROW()</f>
        <v>OUT-Y033_323</v>
      </c>
      <c r="B323" t="s">
        <v>358</v>
      </c>
      <c r="C323" t="s">
        <v>554</v>
      </c>
      <c r="D323" t="s">
        <v>365</v>
      </c>
      <c r="E323">
        <v>2</v>
      </c>
      <c r="F323" t="s">
        <v>365</v>
      </c>
      <c r="G323" t="s">
        <v>310</v>
      </c>
      <c r="H323" s="18">
        <v>15603733</v>
      </c>
      <c r="I323" s="13" t="s">
        <v>555</v>
      </c>
      <c r="J323" s="13" t="s">
        <v>364</v>
      </c>
      <c r="K323" s="9" t="s">
        <v>271</v>
      </c>
      <c r="L323" s="78">
        <v>45993</v>
      </c>
      <c r="N323" s="78">
        <v>45993</v>
      </c>
      <c r="O323" s="31"/>
      <c r="P323" s="9"/>
      <c r="Q323" s="9">
        <f>COUNTIF(Tabela4[[#All],[Cenário]],Tabela4[[#This Row],[Cenário]])</f>
        <v>8</v>
      </c>
      <c r="R323">
        <f>COUNTIFS(Tabela4[[#All],[Cenário]],Tabela4[[#This Row],[Cenário]],Tabela4[[#All],[Status]],"Keyuser - Concluído ")</f>
        <v>8</v>
      </c>
      <c r="S323" t="str">
        <f>IF(Tabela4[[#This Row],[Tarefas por Cenário]]-Tabela4[[#This Row],[Tarefas Concluídas]]&gt;0,"Não","Sim")</f>
        <v>Sim</v>
      </c>
      <c r="T323">
        <f>COUNTIFS(Tabela4[[#All],[Cenário]],Tabela4[[#This Row],[Cenário]],Tabela4[[#All],[Status]],Tabela4[[#Headers],[Elo - Em correção ]])</f>
        <v>0</v>
      </c>
      <c r="U323">
        <f>COUNTIFS(Tabela4[[#All],[Cenário]],Tabela4[[#This Row],[Cenário]],Tabela4[[#All],[Status]],Tabela4[[#Headers],[Keyuser - Aguardando tarefa precedente]])</f>
        <v>0</v>
      </c>
      <c r="V323">
        <f>COUNTIFS(Tabela4[[#All],[Cenário]],Tabela4[[#This Row],[Cenário]],Tabela4[[#All],[Status]],Tabela4[[#Headers],[Não liberado  para testes]])</f>
        <v>0</v>
      </c>
      <c r="W323" t="str">
        <f>IF(Tabela4[[#This Row],[Elo - Em correção ]]&gt;0,"Sim","Não")</f>
        <v>Não</v>
      </c>
      <c r="X323" t="str">
        <f>IF(Tabela4[[#This Row],[Keyuser - Aguardando tarefa precedente]]&gt;0,"Sim","Não")</f>
        <v>Não</v>
      </c>
      <c r="Y323" t="str">
        <f>IF(Tabela4[[#This Row],[Não liberado  para testes]]&gt;0,"Sim","Não")</f>
        <v>Não</v>
      </c>
      <c r="Z323" t="str">
        <f ca="1">IF(Tabela4[[#This Row],[Status]]="Keyuser - Pendente",NETWORKDAYS(Tabela4[[#This Row],[Dt Inicial]],TODAY()),"")</f>
        <v/>
      </c>
      <c r="AA323" t="b">
        <f>AND(Tabela4[[#This Row],[Status]]="Keyuser - Aguardando tarefa precedente",K322="Keyuser - Concluído ")</f>
        <v>0</v>
      </c>
    </row>
    <row r="324" spans="1:27" x14ac:dyDescent="0.25">
      <c r="A324" t="str">
        <f>"OUT-"&amp;IFERROR(MID(Tabela4[[#This Row],[Cenário]],SEARCH("(",Tabela4[[#This Row],[Cenário]])+1,SEARCH(")",Tabela4[[#This Row],[Cenário]])-SEARCH("(",Tabela4[[#This Row],[Cenário]])-1),"")&amp;"_"&amp;ROW()</f>
        <v>OUT-Y033_324</v>
      </c>
      <c r="B324" t="s">
        <v>358</v>
      </c>
      <c r="C324" t="s">
        <v>554</v>
      </c>
      <c r="D324" t="s">
        <v>366</v>
      </c>
      <c r="E324">
        <v>3</v>
      </c>
      <c r="F324" t="s">
        <v>366</v>
      </c>
      <c r="G324" t="s">
        <v>367</v>
      </c>
      <c r="H324" s="18">
        <v>15603733</v>
      </c>
      <c r="I324" s="13"/>
      <c r="J324" s="13" t="s">
        <v>364</v>
      </c>
      <c r="K324" s="9" t="s">
        <v>271</v>
      </c>
      <c r="L324" s="78">
        <v>45993</v>
      </c>
      <c r="N324" s="78">
        <v>45993</v>
      </c>
      <c r="O324" s="31"/>
      <c r="P324" s="9"/>
      <c r="Q324" s="9">
        <f>COUNTIF(Tabela4[[#All],[Cenário]],Tabela4[[#This Row],[Cenário]])</f>
        <v>8</v>
      </c>
      <c r="R324">
        <f>COUNTIFS(Tabela4[[#All],[Cenário]],Tabela4[[#This Row],[Cenário]],Tabela4[[#All],[Status]],"Keyuser - Concluído ")</f>
        <v>8</v>
      </c>
      <c r="S324" t="str">
        <f>IF(Tabela4[[#This Row],[Tarefas por Cenário]]-Tabela4[[#This Row],[Tarefas Concluídas]]&gt;0,"Não","Sim")</f>
        <v>Sim</v>
      </c>
      <c r="T324">
        <f>COUNTIFS(Tabela4[[#All],[Cenário]],Tabela4[[#This Row],[Cenário]],Tabela4[[#All],[Status]],Tabela4[[#Headers],[Elo - Em correção ]])</f>
        <v>0</v>
      </c>
      <c r="U324">
        <f>COUNTIFS(Tabela4[[#All],[Cenário]],Tabela4[[#This Row],[Cenário]],Tabela4[[#All],[Status]],Tabela4[[#Headers],[Keyuser - Aguardando tarefa precedente]])</f>
        <v>0</v>
      </c>
      <c r="V324">
        <f>COUNTIFS(Tabela4[[#All],[Cenário]],Tabela4[[#This Row],[Cenário]],Tabela4[[#All],[Status]],Tabela4[[#Headers],[Não liberado  para testes]])</f>
        <v>0</v>
      </c>
      <c r="W324" t="str">
        <f>IF(Tabela4[[#This Row],[Elo - Em correção ]]&gt;0,"Sim","Não")</f>
        <v>Não</v>
      </c>
      <c r="X324" t="str">
        <f>IF(Tabela4[[#This Row],[Keyuser - Aguardando tarefa precedente]]&gt;0,"Sim","Não")</f>
        <v>Não</v>
      </c>
      <c r="Y324" t="str">
        <f>IF(Tabela4[[#This Row],[Não liberado  para testes]]&gt;0,"Sim","Não")</f>
        <v>Não</v>
      </c>
      <c r="Z324" t="str">
        <f ca="1">IF(Tabela4[[#This Row],[Status]]="Keyuser - Pendente",NETWORKDAYS(Tabela4[[#This Row],[Dt Inicial]],TODAY()),"")</f>
        <v/>
      </c>
      <c r="AA324" t="b">
        <f>AND(Tabela4[[#This Row],[Status]]="Keyuser - Aguardando tarefa precedente",K323="Keyuser - Concluído ")</f>
        <v>0</v>
      </c>
    </row>
    <row r="325" spans="1:27" x14ac:dyDescent="0.25">
      <c r="A325" t="str">
        <f>"OUT-"&amp;IFERROR(MID(Tabela4[[#This Row],[Cenário]],SEARCH("(",Tabela4[[#This Row],[Cenário]])+1,SEARCH(")",Tabela4[[#This Row],[Cenário]])-SEARCH("(",Tabela4[[#This Row],[Cenário]])-1),"")&amp;"_"&amp;ROW()</f>
        <v>OUT-Y033_325</v>
      </c>
      <c r="B325" t="s">
        <v>358</v>
      </c>
      <c r="C325" t="s">
        <v>554</v>
      </c>
      <c r="D325" t="s">
        <v>368</v>
      </c>
      <c r="E325">
        <v>4</v>
      </c>
      <c r="F325" t="s">
        <v>368</v>
      </c>
      <c r="G325" t="s">
        <v>369</v>
      </c>
      <c r="H325" s="49" t="s">
        <v>556</v>
      </c>
      <c r="I325" s="13"/>
      <c r="J325" s="13" t="s">
        <v>364</v>
      </c>
      <c r="K325" s="9" t="s">
        <v>271</v>
      </c>
      <c r="L325" s="78">
        <v>45993</v>
      </c>
      <c r="N325" s="78">
        <v>45993</v>
      </c>
      <c r="O325" s="48"/>
      <c r="P325" s="9"/>
      <c r="Q325" s="9">
        <f>COUNTIF(Tabela4[[#All],[Cenário]],Tabela4[[#This Row],[Cenário]])</f>
        <v>8</v>
      </c>
      <c r="R325">
        <f>COUNTIFS(Tabela4[[#All],[Cenário]],Tabela4[[#This Row],[Cenário]],Tabela4[[#All],[Status]],"Keyuser - Concluído ")</f>
        <v>8</v>
      </c>
      <c r="S325" t="str">
        <f>IF(Tabela4[[#This Row],[Tarefas por Cenário]]-Tabela4[[#This Row],[Tarefas Concluídas]]&gt;0,"Não","Sim")</f>
        <v>Sim</v>
      </c>
      <c r="T325">
        <f>COUNTIFS(Tabela4[[#All],[Cenário]],Tabela4[[#This Row],[Cenário]],Tabela4[[#All],[Status]],Tabela4[[#Headers],[Elo - Em correção ]])</f>
        <v>0</v>
      </c>
      <c r="U325">
        <f>COUNTIFS(Tabela4[[#All],[Cenário]],Tabela4[[#This Row],[Cenário]],Tabela4[[#All],[Status]],Tabela4[[#Headers],[Keyuser - Aguardando tarefa precedente]])</f>
        <v>0</v>
      </c>
      <c r="V325">
        <f>COUNTIFS(Tabela4[[#All],[Cenário]],Tabela4[[#This Row],[Cenário]],Tabela4[[#All],[Status]],Tabela4[[#Headers],[Não liberado  para testes]])</f>
        <v>0</v>
      </c>
      <c r="W325" t="str">
        <f>IF(Tabela4[[#This Row],[Elo - Em correção ]]&gt;0,"Sim","Não")</f>
        <v>Não</v>
      </c>
      <c r="X325" t="str">
        <f>IF(Tabela4[[#This Row],[Keyuser - Aguardando tarefa precedente]]&gt;0,"Sim","Não")</f>
        <v>Não</v>
      </c>
      <c r="Y325" t="str">
        <f>IF(Tabela4[[#This Row],[Não liberado  para testes]]&gt;0,"Sim","Não")</f>
        <v>Não</v>
      </c>
      <c r="Z325" t="str">
        <f ca="1">IF(Tabela4[[#This Row],[Status]]="Keyuser - Pendente",NETWORKDAYS(Tabela4[[#This Row],[Dt Inicial]],TODAY()),"")</f>
        <v/>
      </c>
      <c r="AA325" t="b">
        <f>AND(Tabela4[[#This Row],[Status]]="Keyuser - Aguardando tarefa precedente",K324="Keyuser - Concluído ")</f>
        <v>0</v>
      </c>
    </row>
    <row r="326" spans="1:27" x14ac:dyDescent="0.25">
      <c r="A326" t="str">
        <f>"OUT-"&amp;IFERROR(MID(Tabela4[[#This Row],[Cenário]],SEARCH("(",Tabela4[[#This Row],[Cenário]])+1,SEARCH(")",Tabela4[[#This Row],[Cenário]])-SEARCH("(",Tabela4[[#This Row],[Cenário]])-1),"")&amp;"_"&amp;ROW()</f>
        <v>OUT-Y033_326</v>
      </c>
      <c r="B326" t="s">
        <v>358</v>
      </c>
      <c r="C326" t="s">
        <v>554</v>
      </c>
      <c r="D326" t="s">
        <v>371</v>
      </c>
      <c r="E326">
        <v>5</v>
      </c>
      <c r="F326" t="s">
        <v>435</v>
      </c>
      <c r="G326" t="s">
        <v>287</v>
      </c>
      <c r="H326" s="49" t="s">
        <v>556</v>
      </c>
      <c r="I326" s="13"/>
      <c r="J326" s="13"/>
      <c r="K326" s="9" t="s">
        <v>271</v>
      </c>
      <c r="L326" s="78">
        <v>45994</v>
      </c>
      <c r="N326" s="78">
        <v>45994</v>
      </c>
      <c r="O326" s="31"/>
      <c r="P326" s="9"/>
      <c r="Q326" s="9">
        <f>COUNTIF(Tabela4[[#All],[Cenário]],Tabela4[[#This Row],[Cenário]])</f>
        <v>8</v>
      </c>
      <c r="R326">
        <f>COUNTIFS(Tabela4[[#All],[Cenário]],Tabela4[[#This Row],[Cenário]],Tabela4[[#All],[Status]],"Keyuser - Concluído ")</f>
        <v>8</v>
      </c>
      <c r="S326" t="str">
        <f>IF(Tabela4[[#This Row],[Tarefas por Cenário]]-Tabela4[[#This Row],[Tarefas Concluídas]]&gt;0,"Não","Sim")</f>
        <v>Sim</v>
      </c>
      <c r="T326">
        <f>COUNTIFS(Tabela4[[#All],[Cenário]],Tabela4[[#This Row],[Cenário]],Tabela4[[#All],[Status]],Tabela4[[#Headers],[Elo - Em correção ]])</f>
        <v>0</v>
      </c>
      <c r="U326">
        <f>COUNTIFS(Tabela4[[#All],[Cenário]],Tabela4[[#This Row],[Cenário]],Tabela4[[#All],[Status]],Tabela4[[#Headers],[Keyuser - Aguardando tarefa precedente]])</f>
        <v>0</v>
      </c>
      <c r="V326">
        <f>COUNTIFS(Tabela4[[#All],[Cenário]],Tabela4[[#This Row],[Cenário]],Tabela4[[#All],[Status]],Tabela4[[#Headers],[Não liberado  para testes]])</f>
        <v>0</v>
      </c>
      <c r="W326" t="str">
        <f>IF(Tabela4[[#This Row],[Elo - Em correção ]]&gt;0,"Sim","Não")</f>
        <v>Não</v>
      </c>
      <c r="X326" t="str">
        <f>IF(Tabela4[[#This Row],[Keyuser - Aguardando tarefa precedente]]&gt;0,"Sim","Não")</f>
        <v>Não</v>
      </c>
      <c r="Y326" t="str">
        <f>IF(Tabela4[[#This Row],[Não liberado  para testes]]&gt;0,"Sim","Não")</f>
        <v>Não</v>
      </c>
      <c r="Z326" t="str">
        <f ca="1">IF(Tabela4[[#This Row],[Status]]="Keyuser - Pendente",NETWORKDAYS(Tabela4[[#This Row],[Dt Inicial]],TODAY()),"")</f>
        <v/>
      </c>
      <c r="AA326" t="b">
        <f>AND(Tabela4[[#This Row],[Status]]="Keyuser - Aguardando tarefa precedente",K325="Keyuser - Concluído ")</f>
        <v>0</v>
      </c>
    </row>
    <row r="327" spans="1:27" x14ac:dyDescent="0.25">
      <c r="A327" t="str">
        <f>"OUT-"&amp;IFERROR(MID(Tabela4[[#This Row],[Cenário]],SEARCH("(",Tabela4[[#This Row],[Cenário]])+1,SEARCH(")",Tabela4[[#This Row],[Cenário]])-SEARCH("(",Tabela4[[#This Row],[Cenário]])-1),"")&amp;"_"&amp;ROW()</f>
        <v>OUT-Y033_327</v>
      </c>
      <c r="B327" t="s">
        <v>358</v>
      </c>
      <c r="C327" t="s">
        <v>554</v>
      </c>
      <c r="D327" t="s">
        <v>373</v>
      </c>
      <c r="E327">
        <v>6</v>
      </c>
      <c r="F327" t="s">
        <v>373</v>
      </c>
      <c r="G327" t="s">
        <v>283</v>
      </c>
      <c r="H327" s="49" t="s">
        <v>556</v>
      </c>
      <c r="I327" s="13"/>
      <c r="J327" s="13"/>
      <c r="K327" s="9" t="s">
        <v>271</v>
      </c>
      <c r="L327" s="78">
        <v>45995</v>
      </c>
      <c r="N327" s="78">
        <v>45995</v>
      </c>
      <c r="O327" s="31"/>
      <c r="P327" s="9"/>
      <c r="Q327" s="9">
        <f>COUNTIF(Tabela4[[#All],[Cenário]],Tabela4[[#This Row],[Cenário]])</f>
        <v>8</v>
      </c>
      <c r="R327">
        <f>COUNTIFS(Tabela4[[#All],[Cenário]],Tabela4[[#This Row],[Cenário]],Tabela4[[#All],[Status]],"Keyuser - Concluído ")</f>
        <v>8</v>
      </c>
      <c r="S327" t="str">
        <f>IF(Tabela4[[#This Row],[Tarefas por Cenário]]-Tabela4[[#This Row],[Tarefas Concluídas]]&gt;0,"Não","Sim")</f>
        <v>Sim</v>
      </c>
      <c r="T327">
        <f>COUNTIFS(Tabela4[[#All],[Cenário]],Tabela4[[#This Row],[Cenário]],Tabela4[[#All],[Status]],Tabela4[[#Headers],[Elo - Em correção ]])</f>
        <v>0</v>
      </c>
      <c r="U327">
        <f>COUNTIFS(Tabela4[[#All],[Cenário]],Tabela4[[#This Row],[Cenário]],Tabela4[[#All],[Status]],Tabela4[[#Headers],[Keyuser - Aguardando tarefa precedente]])</f>
        <v>0</v>
      </c>
      <c r="V327">
        <f>COUNTIFS(Tabela4[[#All],[Cenário]],Tabela4[[#This Row],[Cenário]],Tabela4[[#All],[Status]],Tabela4[[#Headers],[Não liberado  para testes]])</f>
        <v>0</v>
      </c>
      <c r="W327" t="str">
        <f>IF(Tabela4[[#This Row],[Elo - Em correção ]]&gt;0,"Sim","Não")</f>
        <v>Não</v>
      </c>
      <c r="X327" t="str">
        <f>IF(Tabela4[[#This Row],[Keyuser - Aguardando tarefa precedente]]&gt;0,"Sim","Não")</f>
        <v>Não</v>
      </c>
      <c r="Y327" t="str">
        <f>IF(Tabela4[[#This Row],[Não liberado  para testes]]&gt;0,"Sim","Não")</f>
        <v>Não</v>
      </c>
      <c r="Z327" t="str">
        <f ca="1">IF(Tabela4[[#This Row],[Status]]="Keyuser - Pendente",NETWORKDAYS(Tabela4[[#This Row],[Dt Inicial]],TODAY()),"")</f>
        <v/>
      </c>
      <c r="AA327" t="b">
        <f>AND(Tabela4[[#This Row],[Status]]="Keyuser - Aguardando tarefa precedente",K326="Keyuser - Concluído ")</f>
        <v>0</v>
      </c>
    </row>
    <row r="328" spans="1:27" x14ac:dyDescent="0.25">
      <c r="A328" t="str">
        <f>"OUT-"&amp;IFERROR(MID(Tabela4[[#This Row],[Cenário]],SEARCH("(",Tabela4[[#This Row],[Cenário]])+1,SEARCH(")",Tabela4[[#This Row],[Cenário]])-SEARCH("(",Tabela4[[#This Row],[Cenário]])-1),"")&amp;"_"&amp;ROW()</f>
        <v>OUT-Y033_328</v>
      </c>
      <c r="B328" t="s">
        <v>374</v>
      </c>
      <c r="C328" t="s">
        <v>554</v>
      </c>
      <c r="D328" t="s">
        <v>286</v>
      </c>
      <c r="E328">
        <v>7</v>
      </c>
      <c r="F328" t="s">
        <v>286</v>
      </c>
      <c r="G328" t="s">
        <v>287</v>
      </c>
      <c r="H328" s="79" t="s">
        <v>556</v>
      </c>
      <c r="I328" s="13"/>
      <c r="J328" s="13"/>
      <c r="K328" s="9" t="s">
        <v>271</v>
      </c>
      <c r="N328" s="78"/>
      <c r="O328" s="31"/>
      <c r="P328" s="9"/>
      <c r="Q328" s="9">
        <f>COUNTIF(Tabela4[[#All],[Cenário]],Tabela4[[#This Row],[Cenário]])</f>
        <v>8</v>
      </c>
      <c r="R328">
        <f>COUNTIFS(Tabela4[[#All],[Cenário]],Tabela4[[#This Row],[Cenário]],Tabela4[[#All],[Status]],"Keyuser - Concluído ")</f>
        <v>8</v>
      </c>
      <c r="S328" t="str">
        <f>IF(Tabela4[[#This Row],[Tarefas por Cenário]]-Tabela4[[#This Row],[Tarefas Concluídas]]&gt;0,"Não","Sim")</f>
        <v>Sim</v>
      </c>
      <c r="T328">
        <f>COUNTIFS(Tabela4[[#All],[Cenário]],Tabela4[[#This Row],[Cenário]],Tabela4[[#All],[Status]],Tabela4[[#Headers],[Elo - Em correção ]])</f>
        <v>0</v>
      </c>
      <c r="U328">
        <f>COUNTIFS(Tabela4[[#All],[Cenário]],Tabela4[[#This Row],[Cenário]],Tabela4[[#All],[Status]],Tabela4[[#Headers],[Keyuser - Aguardando tarefa precedente]])</f>
        <v>0</v>
      </c>
      <c r="V328">
        <f>COUNTIFS(Tabela4[[#All],[Cenário]],Tabela4[[#This Row],[Cenário]],Tabela4[[#All],[Status]],Tabela4[[#Headers],[Não liberado  para testes]])</f>
        <v>0</v>
      </c>
      <c r="W328" t="str">
        <f>IF(Tabela4[[#This Row],[Elo - Em correção ]]&gt;0,"Sim","Não")</f>
        <v>Não</v>
      </c>
      <c r="X328" t="str">
        <f>IF(Tabela4[[#This Row],[Keyuser - Aguardando tarefa precedente]]&gt;0,"Sim","Não")</f>
        <v>Não</v>
      </c>
      <c r="Y328" t="str">
        <f>IF(Tabela4[[#This Row],[Não liberado  para testes]]&gt;0,"Sim","Não")</f>
        <v>Não</v>
      </c>
      <c r="Z328" t="str">
        <f ca="1">IF(Tabela4[[#This Row],[Status]]="Keyuser - Pendente",NETWORKDAYS(Tabela4[[#This Row],[Dt Inicial]],TODAY()),"")</f>
        <v/>
      </c>
      <c r="AA328" t="b">
        <f>AND(Tabela4[[#This Row],[Status]]="Keyuser - Aguardando tarefa precedente",K327="Keyuser - Concluído ")</f>
        <v>0</v>
      </c>
    </row>
    <row r="329" spans="1:27" x14ac:dyDescent="0.25">
      <c r="A329" t="str">
        <f>"OUT-"&amp;IFERROR(MID(Tabela4[[#This Row],[Cenário]],SEARCH("(",Tabela4[[#This Row],[Cenário]])+1,SEARCH(")",Tabela4[[#This Row],[Cenário]])-SEARCH("(",Tabela4[[#This Row],[Cenário]])-1),"")&amp;"_"&amp;ROW()</f>
        <v>OUT-Y033_329</v>
      </c>
      <c r="B329" t="s">
        <v>358</v>
      </c>
      <c r="C329" t="s">
        <v>554</v>
      </c>
      <c r="D329" t="s">
        <v>375</v>
      </c>
      <c r="E329">
        <v>8</v>
      </c>
      <c r="F329" t="s">
        <v>375</v>
      </c>
      <c r="G329" t="s">
        <v>367</v>
      </c>
      <c r="H329" s="18">
        <v>15603733</v>
      </c>
      <c r="I329" s="13"/>
      <c r="J329" s="13"/>
      <c r="K329" s="9" t="s">
        <v>271</v>
      </c>
      <c r="L329" s="78">
        <v>45995</v>
      </c>
      <c r="N329" s="78">
        <v>45995</v>
      </c>
      <c r="O329" s="31"/>
      <c r="P329" s="9"/>
      <c r="Q329" s="9">
        <f>COUNTIF(Tabela4[[#All],[Cenário]],Tabela4[[#This Row],[Cenário]])</f>
        <v>8</v>
      </c>
      <c r="R329">
        <f>COUNTIFS(Tabela4[[#All],[Cenário]],Tabela4[[#This Row],[Cenário]],Tabela4[[#All],[Status]],"Keyuser - Concluído ")</f>
        <v>8</v>
      </c>
      <c r="S329" t="str">
        <f>IF(Tabela4[[#This Row],[Tarefas por Cenário]]-Tabela4[[#This Row],[Tarefas Concluídas]]&gt;0,"Não","Sim")</f>
        <v>Sim</v>
      </c>
      <c r="T329">
        <f>COUNTIFS(Tabela4[[#All],[Cenário]],Tabela4[[#This Row],[Cenário]],Tabela4[[#All],[Status]],Tabela4[[#Headers],[Elo - Em correção ]])</f>
        <v>0</v>
      </c>
      <c r="U329">
        <f>COUNTIFS(Tabela4[[#All],[Cenário]],Tabela4[[#This Row],[Cenário]],Tabela4[[#All],[Status]],Tabela4[[#Headers],[Keyuser - Aguardando tarefa precedente]])</f>
        <v>0</v>
      </c>
      <c r="V329">
        <f>COUNTIFS(Tabela4[[#All],[Cenário]],Tabela4[[#This Row],[Cenário]],Tabela4[[#All],[Status]],Tabela4[[#Headers],[Não liberado  para testes]])</f>
        <v>0</v>
      </c>
      <c r="W329" t="str">
        <f>IF(Tabela4[[#This Row],[Elo - Em correção ]]&gt;0,"Sim","Não")</f>
        <v>Não</v>
      </c>
      <c r="X329" t="str">
        <f>IF(Tabela4[[#This Row],[Keyuser - Aguardando tarefa precedente]]&gt;0,"Sim","Não")</f>
        <v>Não</v>
      </c>
      <c r="Y329" t="str">
        <f>IF(Tabela4[[#This Row],[Não liberado  para testes]]&gt;0,"Sim","Não")</f>
        <v>Não</v>
      </c>
      <c r="Z329" t="str">
        <f ca="1">IF(Tabela4[[#This Row],[Status]]="Keyuser - Pendente",NETWORKDAYS(Tabela4[[#This Row],[Dt Inicial]],TODAY()),"")</f>
        <v/>
      </c>
      <c r="AA329" t="b">
        <f>AND(Tabela4[[#This Row],[Status]]="Keyuser - Aguardando tarefa precedente",K328="Keyuser - Concluído ")</f>
        <v>0</v>
      </c>
    </row>
    <row r="330" spans="1:27" x14ac:dyDescent="0.25">
      <c r="A330" t="str">
        <f>"OUT-"&amp;IFERROR(MID(Tabela4[[#This Row],[Cenário]],SEARCH("(",Tabela4[[#This Row],[Cenário]])+1,SEARCH(")",Tabela4[[#This Row],[Cenário]])-SEARCH("(",Tabela4[[#This Row],[Cenário]])-1),"")&amp;"_"&amp;ROW()</f>
        <v>OUT-Y3RC_330</v>
      </c>
      <c r="B330" t="s">
        <v>358</v>
      </c>
      <c r="C330" t="s">
        <v>557</v>
      </c>
      <c r="D330" t="s">
        <v>360</v>
      </c>
      <c r="E330">
        <v>1</v>
      </c>
      <c r="F330" t="s">
        <v>360</v>
      </c>
      <c r="G330" t="s">
        <v>377</v>
      </c>
      <c r="H330" s="13">
        <v>60668364</v>
      </c>
      <c r="I330" s="13"/>
      <c r="J330" s="13"/>
      <c r="K330" s="9" t="s">
        <v>271</v>
      </c>
      <c r="L330" s="78">
        <v>45995</v>
      </c>
      <c r="N330" s="78">
        <v>45995</v>
      </c>
      <c r="O330" s="31"/>
      <c r="P330" s="9"/>
      <c r="Q330" s="9">
        <f>COUNTIF(Tabela4[[#All],[Cenário]],Tabela4[[#This Row],[Cenário]])</f>
        <v>6</v>
      </c>
      <c r="R330">
        <f>COUNTIFS(Tabela4[[#All],[Cenário]],Tabela4[[#This Row],[Cenário]],Tabela4[[#All],[Status]],"Keyuser - Concluído ")</f>
        <v>5</v>
      </c>
      <c r="S330" t="str">
        <f>IF(Tabela4[[#This Row],[Tarefas por Cenário]]-Tabela4[[#This Row],[Tarefas Concluídas]]&gt;0,"Não","Sim")</f>
        <v>Não</v>
      </c>
      <c r="T330">
        <f>COUNTIFS(Tabela4[[#All],[Cenário]],Tabela4[[#This Row],[Cenário]],Tabela4[[#All],[Status]],Tabela4[[#Headers],[Elo - Em correção ]])</f>
        <v>0</v>
      </c>
      <c r="U330">
        <f>COUNTIFS(Tabela4[[#All],[Cenário]],Tabela4[[#This Row],[Cenário]],Tabela4[[#All],[Status]],Tabela4[[#Headers],[Keyuser - Aguardando tarefa precedente]])</f>
        <v>0</v>
      </c>
      <c r="V330">
        <f>COUNTIFS(Tabela4[[#All],[Cenário]],Tabela4[[#This Row],[Cenário]],Tabela4[[#All],[Status]],Tabela4[[#Headers],[Não liberado  para testes]])</f>
        <v>1</v>
      </c>
      <c r="W330" t="str">
        <f>IF(Tabela4[[#This Row],[Elo - Em correção ]]&gt;0,"Sim","Não")</f>
        <v>Não</v>
      </c>
      <c r="X330" t="str">
        <f>IF(Tabela4[[#This Row],[Keyuser - Aguardando tarefa precedente]]&gt;0,"Sim","Não")</f>
        <v>Não</v>
      </c>
      <c r="Y330" t="str">
        <f>IF(Tabela4[[#This Row],[Não liberado  para testes]]&gt;0,"Sim","Não")</f>
        <v>Sim</v>
      </c>
      <c r="Z330" t="str">
        <f ca="1">IF(Tabela4[[#This Row],[Status]]="Keyuser - Pendente",NETWORKDAYS(Tabela4[[#This Row],[Dt Inicial]],TODAY()),"")</f>
        <v/>
      </c>
      <c r="AA330" t="b">
        <f>AND(Tabela4[[#This Row],[Status]]="Keyuser - Aguardando tarefa precedente",K329="Keyuser - Concluído ")</f>
        <v>0</v>
      </c>
    </row>
    <row r="331" spans="1:27" x14ac:dyDescent="0.25">
      <c r="A331" t="str">
        <f>"OUT-"&amp;IFERROR(MID(Tabela4[[#This Row],[Cenário]],SEARCH("(",Tabela4[[#This Row],[Cenário]])+1,SEARCH(")",Tabela4[[#This Row],[Cenário]])-SEARCH("(",Tabela4[[#This Row],[Cenário]])-1),"")&amp;"_"&amp;ROW()</f>
        <v>OUT-Y3RC_331</v>
      </c>
      <c r="B331" t="s">
        <v>358</v>
      </c>
      <c r="C331" t="s">
        <v>557</v>
      </c>
      <c r="D331" t="s">
        <v>365</v>
      </c>
      <c r="E331">
        <v>2</v>
      </c>
      <c r="F331" t="s">
        <v>365</v>
      </c>
      <c r="G331" t="s">
        <v>310</v>
      </c>
      <c r="H331" s="13">
        <v>60668364</v>
      </c>
      <c r="I331" s="13"/>
      <c r="J331" s="13"/>
      <c r="K331" s="9" t="s">
        <v>271</v>
      </c>
      <c r="L331" s="78">
        <v>45996</v>
      </c>
      <c r="N331" s="78">
        <v>45996</v>
      </c>
      <c r="O331" s="31"/>
      <c r="P331" s="9"/>
      <c r="Q331" s="9">
        <f>COUNTIF(Tabela4[[#All],[Cenário]],Tabela4[[#This Row],[Cenário]])</f>
        <v>6</v>
      </c>
      <c r="R331">
        <f>COUNTIFS(Tabela4[[#All],[Cenário]],Tabela4[[#This Row],[Cenário]],Tabela4[[#All],[Status]],"Keyuser - Concluído ")</f>
        <v>5</v>
      </c>
      <c r="S331" t="str">
        <f>IF(Tabela4[[#This Row],[Tarefas por Cenário]]-Tabela4[[#This Row],[Tarefas Concluídas]]&gt;0,"Não","Sim")</f>
        <v>Não</v>
      </c>
      <c r="T331">
        <f>COUNTIFS(Tabela4[[#All],[Cenário]],Tabela4[[#This Row],[Cenário]],Tabela4[[#All],[Status]],Tabela4[[#Headers],[Elo - Em correção ]])</f>
        <v>0</v>
      </c>
      <c r="U331">
        <f>COUNTIFS(Tabela4[[#All],[Cenário]],Tabela4[[#This Row],[Cenário]],Tabela4[[#All],[Status]],Tabela4[[#Headers],[Keyuser - Aguardando tarefa precedente]])</f>
        <v>0</v>
      </c>
      <c r="V331">
        <f>COUNTIFS(Tabela4[[#All],[Cenário]],Tabela4[[#This Row],[Cenário]],Tabela4[[#All],[Status]],Tabela4[[#Headers],[Não liberado  para testes]])</f>
        <v>1</v>
      </c>
      <c r="W331" t="str">
        <f>IF(Tabela4[[#This Row],[Elo - Em correção ]]&gt;0,"Sim","Não")</f>
        <v>Não</v>
      </c>
      <c r="X331" t="str">
        <f>IF(Tabela4[[#This Row],[Keyuser - Aguardando tarefa precedente]]&gt;0,"Sim","Não")</f>
        <v>Não</v>
      </c>
      <c r="Y331" t="str">
        <f>IF(Tabela4[[#This Row],[Não liberado  para testes]]&gt;0,"Sim","Não")</f>
        <v>Sim</v>
      </c>
      <c r="Z331" t="str">
        <f ca="1">IF(Tabela4[[#This Row],[Status]]="Keyuser - Pendente",NETWORKDAYS(Tabela4[[#This Row],[Dt Inicial]],TODAY()),"")</f>
        <v/>
      </c>
      <c r="AA331" t="b">
        <f>AND(Tabela4[[#This Row],[Status]]="Keyuser - Aguardando tarefa precedente",K330="Keyuser - Concluído ")</f>
        <v>0</v>
      </c>
    </row>
    <row r="332" spans="1:27" x14ac:dyDescent="0.25">
      <c r="A332" t="str">
        <f>"OUT-"&amp;IFERROR(MID(Tabela4[[#This Row],[Cenário]],SEARCH("(",Tabela4[[#This Row],[Cenário]])+1,SEARCH(")",Tabela4[[#This Row],[Cenário]])-SEARCH("(",Tabela4[[#This Row],[Cenário]])-1),"")&amp;"_"&amp;ROW()</f>
        <v>OUT-Y3RC_332</v>
      </c>
      <c r="B332" t="s">
        <v>358</v>
      </c>
      <c r="C332" t="s">
        <v>557</v>
      </c>
      <c r="D332" t="s">
        <v>368</v>
      </c>
      <c r="E332">
        <v>3</v>
      </c>
      <c r="F332" t="s">
        <v>368</v>
      </c>
      <c r="G332" t="s">
        <v>377</v>
      </c>
      <c r="H332" s="13" t="s">
        <v>558</v>
      </c>
      <c r="I332" s="13"/>
      <c r="J332" s="13"/>
      <c r="K332" s="9" t="s">
        <v>271</v>
      </c>
      <c r="L332" s="78">
        <v>45996</v>
      </c>
      <c r="N332" s="78">
        <v>45996</v>
      </c>
      <c r="O332" s="31" t="s">
        <v>559</v>
      </c>
      <c r="P332" s="9"/>
      <c r="Q332" s="9">
        <f>COUNTIF(Tabela4[[#All],[Cenário]],Tabela4[[#This Row],[Cenário]])</f>
        <v>6</v>
      </c>
      <c r="R332">
        <f>COUNTIFS(Tabela4[[#All],[Cenário]],Tabela4[[#This Row],[Cenário]],Tabela4[[#All],[Status]],"Keyuser - Concluído ")</f>
        <v>5</v>
      </c>
      <c r="S332" t="str">
        <f>IF(Tabela4[[#This Row],[Tarefas por Cenário]]-Tabela4[[#This Row],[Tarefas Concluídas]]&gt;0,"Não","Sim")</f>
        <v>Não</v>
      </c>
      <c r="T332">
        <f>COUNTIFS(Tabela4[[#All],[Cenário]],Tabela4[[#This Row],[Cenário]],Tabela4[[#All],[Status]],Tabela4[[#Headers],[Elo - Em correção ]])</f>
        <v>0</v>
      </c>
      <c r="U332">
        <f>COUNTIFS(Tabela4[[#All],[Cenário]],Tabela4[[#This Row],[Cenário]],Tabela4[[#All],[Status]],Tabela4[[#Headers],[Keyuser - Aguardando tarefa precedente]])</f>
        <v>0</v>
      </c>
      <c r="V332">
        <f>COUNTIFS(Tabela4[[#All],[Cenário]],Tabela4[[#This Row],[Cenário]],Tabela4[[#All],[Status]],Tabela4[[#Headers],[Não liberado  para testes]])</f>
        <v>1</v>
      </c>
      <c r="W332" t="str">
        <f>IF(Tabela4[[#This Row],[Elo - Em correção ]]&gt;0,"Sim","Não")</f>
        <v>Não</v>
      </c>
      <c r="X332" t="str">
        <f>IF(Tabela4[[#This Row],[Keyuser - Aguardando tarefa precedente]]&gt;0,"Sim","Não")</f>
        <v>Não</v>
      </c>
      <c r="Y332" t="str">
        <f>IF(Tabela4[[#This Row],[Não liberado  para testes]]&gt;0,"Sim","Não")</f>
        <v>Sim</v>
      </c>
      <c r="Z332" t="str">
        <f ca="1">IF(Tabela4[[#This Row],[Status]]="Keyuser - Pendente",NETWORKDAYS(Tabela4[[#This Row],[Dt Inicial]],TODAY()),"")</f>
        <v/>
      </c>
      <c r="AA332" t="b">
        <f>AND(Tabela4[[#This Row],[Status]]="Keyuser - Aguardando tarefa precedente",K331="Keyuser - Concluído ")</f>
        <v>0</v>
      </c>
    </row>
    <row r="333" spans="1:27" x14ac:dyDescent="0.25">
      <c r="A333" t="str">
        <f>"OUT-"&amp;IFERROR(MID(Tabela4[[#This Row],[Cenário]],SEARCH("(",Tabela4[[#This Row],[Cenário]])+1,SEARCH(")",Tabela4[[#This Row],[Cenário]])-SEARCH("(",Tabela4[[#This Row],[Cenário]])-1),"")&amp;"_"&amp;ROW()</f>
        <v>OUT-Y3RC_333</v>
      </c>
      <c r="B333" t="s">
        <v>358</v>
      </c>
      <c r="C333" t="s">
        <v>557</v>
      </c>
      <c r="D333" t="s">
        <v>371</v>
      </c>
      <c r="E333">
        <v>4</v>
      </c>
      <c r="F333" t="s">
        <v>372</v>
      </c>
      <c r="G333" t="s">
        <v>287</v>
      </c>
      <c r="H333" s="13" t="s">
        <v>558</v>
      </c>
      <c r="I333" s="13"/>
      <c r="J333" s="13"/>
      <c r="K333" s="9" t="s">
        <v>271</v>
      </c>
      <c r="N333" s="78"/>
      <c r="O333" s="31"/>
      <c r="P333" s="9"/>
      <c r="Q333" s="9">
        <f>COUNTIF(Tabela4[[#All],[Cenário]],Tabela4[[#This Row],[Cenário]])</f>
        <v>6</v>
      </c>
      <c r="R333">
        <f>COUNTIFS(Tabela4[[#All],[Cenário]],Tabela4[[#This Row],[Cenário]],Tabela4[[#All],[Status]],"Keyuser - Concluído ")</f>
        <v>5</v>
      </c>
      <c r="S333" t="str">
        <f>IF(Tabela4[[#This Row],[Tarefas por Cenário]]-Tabela4[[#This Row],[Tarefas Concluídas]]&gt;0,"Não","Sim")</f>
        <v>Não</v>
      </c>
      <c r="T333">
        <f>COUNTIFS(Tabela4[[#All],[Cenário]],Tabela4[[#This Row],[Cenário]],Tabela4[[#All],[Status]],Tabela4[[#Headers],[Elo - Em correção ]])</f>
        <v>0</v>
      </c>
      <c r="U333">
        <f>COUNTIFS(Tabela4[[#All],[Cenário]],Tabela4[[#This Row],[Cenário]],Tabela4[[#All],[Status]],Tabela4[[#Headers],[Keyuser - Aguardando tarefa precedente]])</f>
        <v>0</v>
      </c>
      <c r="V333">
        <f>COUNTIFS(Tabela4[[#All],[Cenário]],Tabela4[[#This Row],[Cenário]],Tabela4[[#All],[Status]],Tabela4[[#Headers],[Não liberado  para testes]])</f>
        <v>1</v>
      </c>
      <c r="W333" t="str">
        <f>IF(Tabela4[[#This Row],[Elo - Em correção ]]&gt;0,"Sim","Não")</f>
        <v>Não</v>
      </c>
      <c r="X333" t="str">
        <f>IF(Tabela4[[#This Row],[Keyuser - Aguardando tarefa precedente]]&gt;0,"Sim","Não")</f>
        <v>Não</v>
      </c>
      <c r="Y333" t="str">
        <f>IF(Tabela4[[#This Row],[Não liberado  para testes]]&gt;0,"Sim","Não")</f>
        <v>Sim</v>
      </c>
      <c r="Z333" t="str">
        <f ca="1">IF(Tabela4[[#This Row],[Status]]="Keyuser - Pendente",NETWORKDAYS(Tabela4[[#This Row],[Dt Inicial]],TODAY()),"")</f>
        <v/>
      </c>
      <c r="AA333" t="b">
        <f>AND(Tabela4[[#This Row],[Status]]="Keyuser - Aguardando tarefa precedente",K332="Keyuser - Concluído ")</f>
        <v>0</v>
      </c>
    </row>
    <row r="334" spans="1:27" x14ac:dyDescent="0.25">
      <c r="A334" t="str">
        <f>"OUT-"&amp;IFERROR(MID(Tabela4[[#This Row],[Cenário]],SEARCH("(",Tabela4[[#This Row],[Cenário]])+1,SEARCH(")",Tabela4[[#This Row],[Cenário]])-SEARCH("(",Tabela4[[#This Row],[Cenário]])-1),"")&amp;"_"&amp;ROW()</f>
        <v>OUT-Y3RC_334</v>
      </c>
      <c r="B334" t="s">
        <v>358</v>
      </c>
      <c r="C334" t="s">
        <v>557</v>
      </c>
      <c r="D334" t="s">
        <v>373</v>
      </c>
      <c r="E334">
        <v>5</v>
      </c>
      <c r="F334" t="s">
        <v>373</v>
      </c>
      <c r="G334" t="s">
        <v>283</v>
      </c>
      <c r="H334" s="13" t="s">
        <v>558</v>
      </c>
      <c r="I334" s="13"/>
      <c r="J334" s="13"/>
      <c r="K334" s="9" t="s">
        <v>271</v>
      </c>
      <c r="L334" s="78">
        <v>45912</v>
      </c>
      <c r="N334" s="78">
        <v>46000</v>
      </c>
      <c r="O334" s="31"/>
      <c r="P334" s="9"/>
      <c r="Q334" s="9">
        <f>COUNTIF(Tabela4[[#All],[Cenário]],Tabela4[[#This Row],[Cenário]])</f>
        <v>6</v>
      </c>
      <c r="R334">
        <f>COUNTIFS(Tabela4[[#All],[Cenário]],Tabela4[[#This Row],[Cenário]],Tabela4[[#All],[Status]],"Keyuser - Concluído ")</f>
        <v>5</v>
      </c>
      <c r="S334" t="str">
        <f>IF(Tabela4[[#This Row],[Tarefas por Cenário]]-Tabela4[[#This Row],[Tarefas Concluídas]]&gt;0,"Não","Sim")</f>
        <v>Não</v>
      </c>
      <c r="T334">
        <f>COUNTIFS(Tabela4[[#All],[Cenário]],Tabela4[[#This Row],[Cenário]],Tabela4[[#All],[Status]],Tabela4[[#Headers],[Elo - Em correção ]])</f>
        <v>0</v>
      </c>
      <c r="U334">
        <f>COUNTIFS(Tabela4[[#All],[Cenário]],Tabela4[[#This Row],[Cenário]],Tabela4[[#All],[Status]],Tabela4[[#Headers],[Keyuser - Aguardando tarefa precedente]])</f>
        <v>0</v>
      </c>
      <c r="V334">
        <f>COUNTIFS(Tabela4[[#All],[Cenário]],Tabela4[[#This Row],[Cenário]],Tabela4[[#All],[Status]],Tabela4[[#Headers],[Não liberado  para testes]])</f>
        <v>1</v>
      </c>
      <c r="W334" t="str">
        <f>IF(Tabela4[[#This Row],[Elo - Em correção ]]&gt;0,"Sim","Não")</f>
        <v>Não</v>
      </c>
      <c r="X334" t="str">
        <f>IF(Tabela4[[#This Row],[Keyuser - Aguardando tarefa precedente]]&gt;0,"Sim","Não")</f>
        <v>Não</v>
      </c>
      <c r="Y334" t="str">
        <f>IF(Tabela4[[#This Row],[Não liberado  para testes]]&gt;0,"Sim","Não")</f>
        <v>Sim</v>
      </c>
      <c r="Z334" t="str">
        <f ca="1">IF(Tabela4[[#This Row],[Status]]="Keyuser - Pendente",NETWORKDAYS(Tabela4[[#This Row],[Dt Inicial]],TODAY()),"")</f>
        <v/>
      </c>
      <c r="AA334" t="b">
        <f>AND(Tabela4[[#This Row],[Status]]="Keyuser - Aguardando tarefa precedente",K333="Keyuser - Concluído ")</f>
        <v>0</v>
      </c>
    </row>
    <row r="335" spans="1:27" x14ac:dyDescent="0.25">
      <c r="A335" t="str">
        <f>"OUT-"&amp;IFERROR(MID(Tabela4[[#This Row],[Cenário]],SEARCH("(",Tabela4[[#This Row],[Cenário]])+1,SEARCH(")",Tabela4[[#This Row],[Cenário]])-SEARCH("(",Tabela4[[#This Row],[Cenário]])-1),"")&amp;"_"&amp;ROW()</f>
        <v>OUT-Y3RC_335</v>
      </c>
      <c r="B335" t="s">
        <v>374</v>
      </c>
      <c r="C335" t="s">
        <v>557</v>
      </c>
      <c r="D335" t="s">
        <v>286</v>
      </c>
      <c r="E335">
        <v>6</v>
      </c>
      <c r="F335" t="s">
        <v>286</v>
      </c>
      <c r="G335" t="s">
        <v>287</v>
      </c>
      <c r="H335" s="13"/>
      <c r="I335" s="13"/>
      <c r="J335" s="13"/>
      <c r="K335" s="9" t="s">
        <v>262</v>
      </c>
      <c r="N335" s="78"/>
      <c r="O335" s="31"/>
      <c r="P335" s="9"/>
      <c r="Q335" s="9">
        <f>COUNTIF(Tabela4[[#All],[Cenário]],Tabela4[[#This Row],[Cenário]])</f>
        <v>6</v>
      </c>
      <c r="R335">
        <f>COUNTIFS(Tabela4[[#All],[Cenário]],Tabela4[[#This Row],[Cenário]],Tabela4[[#All],[Status]],"Keyuser - Concluído ")</f>
        <v>5</v>
      </c>
      <c r="S335" t="str">
        <f>IF(Tabela4[[#This Row],[Tarefas por Cenário]]-Tabela4[[#This Row],[Tarefas Concluídas]]&gt;0,"Não","Sim")</f>
        <v>Não</v>
      </c>
      <c r="T335">
        <f>COUNTIFS(Tabela4[[#All],[Cenário]],Tabela4[[#This Row],[Cenário]],Tabela4[[#All],[Status]],Tabela4[[#Headers],[Elo - Em correção ]])</f>
        <v>0</v>
      </c>
      <c r="U335">
        <f>COUNTIFS(Tabela4[[#All],[Cenário]],Tabela4[[#This Row],[Cenário]],Tabela4[[#All],[Status]],Tabela4[[#Headers],[Keyuser - Aguardando tarefa precedente]])</f>
        <v>0</v>
      </c>
      <c r="V335">
        <f>COUNTIFS(Tabela4[[#All],[Cenário]],Tabela4[[#This Row],[Cenário]],Tabela4[[#All],[Status]],Tabela4[[#Headers],[Não liberado  para testes]])</f>
        <v>1</v>
      </c>
      <c r="W335" t="str">
        <f>IF(Tabela4[[#This Row],[Elo - Em correção ]]&gt;0,"Sim","Não")</f>
        <v>Não</v>
      </c>
      <c r="X335" t="str">
        <f>IF(Tabela4[[#This Row],[Keyuser - Aguardando tarefa precedente]]&gt;0,"Sim","Não")</f>
        <v>Não</v>
      </c>
      <c r="Y335" t="str">
        <f>IF(Tabela4[[#This Row],[Não liberado  para testes]]&gt;0,"Sim","Não")</f>
        <v>Sim</v>
      </c>
      <c r="Z335" t="str">
        <f ca="1">IF(Tabela4[[#This Row],[Status]]="Keyuser - Pendente",NETWORKDAYS(Tabela4[[#This Row],[Dt Inicial]],TODAY()),"")</f>
        <v/>
      </c>
      <c r="AA335" t="b">
        <f>AND(Tabela4[[#This Row],[Status]]="Keyuser - Aguardando tarefa precedente",K334="Keyuser - Concluído ")</f>
        <v>0</v>
      </c>
    </row>
    <row r="336" spans="1:27" x14ac:dyDescent="0.25">
      <c r="A336" t="str">
        <f>"OUT-"&amp;IFERROR(MID(Tabela4[[#This Row],[Cenário]],SEARCH("(",Tabela4[[#This Row],[Cenário]])+1,SEARCH(")",Tabela4[[#This Row],[Cenário]])-SEARCH("(",Tabela4[[#This Row],[Cenário]])-1),"")&amp;"_"&amp;ROW()</f>
        <v>OUT-Y3RE_336</v>
      </c>
      <c r="B336" t="s">
        <v>358</v>
      </c>
      <c r="C336" t="s">
        <v>560</v>
      </c>
      <c r="D336" t="s">
        <v>360</v>
      </c>
      <c r="E336">
        <v>1</v>
      </c>
      <c r="F336" t="s">
        <v>360</v>
      </c>
      <c r="G336" t="s">
        <v>377</v>
      </c>
      <c r="H336" s="13">
        <v>60668365</v>
      </c>
      <c r="I336" s="13"/>
      <c r="J336" s="13"/>
      <c r="K336" s="9" t="s">
        <v>271</v>
      </c>
      <c r="L336" s="78">
        <v>45995</v>
      </c>
      <c r="N336" s="78">
        <v>45995</v>
      </c>
      <c r="O336" s="31"/>
      <c r="P336" s="9"/>
      <c r="Q336" s="9">
        <f>COUNTIF(Tabela4[[#All],[Cenário]],Tabela4[[#This Row],[Cenário]])</f>
        <v>6</v>
      </c>
      <c r="R336">
        <f>COUNTIFS(Tabela4[[#All],[Cenário]],Tabela4[[#This Row],[Cenário]],Tabela4[[#All],[Status]],"Keyuser - Concluído ")</f>
        <v>5</v>
      </c>
      <c r="S336" t="str">
        <f>IF(Tabela4[[#This Row],[Tarefas por Cenário]]-Tabela4[[#This Row],[Tarefas Concluídas]]&gt;0,"Não","Sim")</f>
        <v>Não</v>
      </c>
      <c r="T336">
        <f>COUNTIFS(Tabela4[[#All],[Cenário]],Tabela4[[#This Row],[Cenário]],Tabela4[[#All],[Status]],Tabela4[[#Headers],[Elo - Em correção ]])</f>
        <v>0</v>
      </c>
      <c r="U336">
        <f>COUNTIFS(Tabela4[[#All],[Cenário]],Tabela4[[#This Row],[Cenário]],Tabela4[[#All],[Status]],Tabela4[[#Headers],[Keyuser - Aguardando tarefa precedente]])</f>
        <v>0</v>
      </c>
      <c r="V336">
        <f>COUNTIFS(Tabela4[[#All],[Cenário]],Tabela4[[#This Row],[Cenário]],Tabela4[[#All],[Status]],Tabela4[[#Headers],[Não liberado  para testes]])</f>
        <v>1</v>
      </c>
      <c r="W336" t="str">
        <f>IF(Tabela4[[#This Row],[Elo - Em correção ]]&gt;0,"Sim","Não")</f>
        <v>Não</v>
      </c>
      <c r="X336" t="str">
        <f>IF(Tabela4[[#This Row],[Keyuser - Aguardando tarefa precedente]]&gt;0,"Sim","Não")</f>
        <v>Não</v>
      </c>
      <c r="Y336" t="str">
        <f>IF(Tabela4[[#This Row],[Não liberado  para testes]]&gt;0,"Sim","Não")</f>
        <v>Sim</v>
      </c>
      <c r="Z336" t="str">
        <f ca="1">IF(Tabela4[[#This Row],[Status]]="Keyuser - Pendente",NETWORKDAYS(Tabela4[[#This Row],[Dt Inicial]],TODAY()),"")</f>
        <v/>
      </c>
      <c r="AA336" t="b">
        <f>AND(Tabela4[[#This Row],[Status]]="Keyuser - Aguardando tarefa precedente",K335="Keyuser - Concluído ")</f>
        <v>0</v>
      </c>
    </row>
    <row r="337" spans="1:27" x14ac:dyDescent="0.25">
      <c r="A337" t="str">
        <f>"OUT-"&amp;IFERROR(MID(Tabela4[[#This Row],[Cenário]],SEARCH("(",Tabela4[[#This Row],[Cenário]])+1,SEARCH(")",Tabela4[[#This Row],[Cenário]])-SEARCH("(",Tabela4[[#This Row],[Cenário]])-1),"")&amp;"_"&amp;ROW()</f>
        <v>OUT-Y3RE_337</v>
      </c>
      <c r="B337" t="s">
        <v>358</v>
      </c>
      <c r="C337" t="s">
        <v>560</v>
      </c>
      <c r="D337" t="s">
        <v>365</v>
      </c>
      <c r="E337">
        <v>2</v>
      </c>
      <c r="F337" t="s">
        <v>365</v>
      </c>
      <c r="G337" t="s">
        <v>310</v>
      </c>
      <c r="H337" s="13">
        <v>60668365</v>
      </c>
      <c r="I337" s="13"/>
      <c r="J337" s="13"/>
      <c r="K337" s="9" t="s">
        <v>271</v>
      </c>
      <c r="L337" s="78">
        <v>45996</v>
      </c>
      <c r="N337" s="78">
        <v>45996</v>
      </c>
      <c r="O337" s="31"/>
      <c r="P337" s="9"/>
      <c r="Q337" s="9">
        <f>COUNTIF(Tabela4[[#All],[Cenário]],Tabela4[[#This Row],[Cenário]])</f>
        <v>6</v>
      </c>
      <c r="R337">
        <f>COUNTIFS(Tabela4[[#All],[Cenário]],Tabela4[[#This Row],[Cenário]],Tabela4[[#All],[Status]],"Keyuser - Concluído ")</f>
        <v>5</v>
      </c>
      <c r="S337" t="str">
        <f>IF(Tabela4[[#This Row],[Tarefas por Cenário]]-Tabela4[[#This Row],[Tarefas Concluídas]]&gt;0,"Não","Sim")</f>
        <v>Não</v>
      </c>
      <c r="T337">
        <f>COUNTIFS(Tabela4[[#All],[Cenário]],Tabela4[[#This Row],[Cenário]],Tabela4[[#All],[Status]],Tabela4[[#Headers],[Elo - Em correção ]])</f>
        <v>0</v>
      </c>
      <c r="U337">
        <f>COUNTIFS(Tabela4[[#All],[Cenário]],Tabela4[[#This Row],[Cenário]],Tabela4[[#All],[Status]],Tabela4[[#Headers],[Keyuser - Aguardando tarefa precedente]])</f>
        <v>0</v>
      </c>
      <c r="V337">
        <f>COUNTIFS(Tabela4[[#All],[Cenário]],Tabela4[[#This Row],[Cenário]],Tabela4[[#All],[Status]],Tabela4[[#Headers],[Não liberado  para testes]])</f>
        <v>1</v>
      </c>
      <c r="W337" t="str">
        <f>IF(Tabela4[[#This Row],[Elo - Em correção ]]&gt;0,"Sim","Não")</f>
        <v>Não</v>
      </c>
      <c r="X337" t="str">
        <f>IF(Tabela4[[#This Row],[Keyuser - Aguardando tarefa precedente]]&gt;0,"Sim","Não")</f>
        <v>Não</v>
      </c>
      <c r="Y337" t="str">
        <f>IF(Tabela4[[#This Row],[Não liberado  para testes]]&gt;0,"Sim","Não")</f>
        <v>Sim</v>
      </c>
      <c r="Z337" t="str">
        <f ca="1">IF(Tabela4[[#This Row],[Status]]="Keyuser - Pendente",NETWORKDAYS(Tabela4[[#This Row],[Dt Inicial]],TODAY()),"")</f>
        <v/>
      </c>
      <c r="AA337" t="b">
        <f>AND(Tabela4[[#This Row],[Status]]="Keyuser - Aguardando tarefa precedente",K336="Keyuser - Concluído ")</f>
        <v>0</v>
      </c>
    </row>
    <row r="338" spans="1:27" x14ac:dyDescent="0.25">
      <c r="A338" t="str">
        <f>"OUT-"&amp;IFERROR(MID(Tabela4[[#This Row],[Cenário]],SEARCH("(",Tabela4[[#This Row],[Cenário]])+1,SEARCH(")",Tabela4[[#This Row],[Cenário]])-SEARCH("(",Tabela4[[#This Row],[Cenário]])-1),"")&amp;"_"&amp;ROW()</f>
        <v>OUT-Y3RE_338</v>
      </c>
      <c r="B338" t="s">
        <v>358</v>
      </c>
      <c r="C338" t="s">
        <v>560</v>
      </c>
      <c r="D338" t="s">
        <v>368</v>
      </c>
      <c r="E338">
        <v>3</v>
      </c>
      <c r="F338" t="s">
        <v>368</v>
      </c>
      <c r="G338" t="s">
        <v>377</v>
      </c>
      <c r="H338" s="13" t="s">
        <v>561</v>
      </c>
      <c r="I338" s="13"/>
      <c r="J338" s="13"/>
      <c r="K338" s="9" t="s">
        <v>271</v>
      </c>
      <c r="L338" s="78">
        <v>45996</v>
      </c>
      <c r="N338" s="78">
        <v>45996</v>
      </c>
      <c r="O338" s="31" t="s">
        <v>562</v>
      </c>
      <c r="P338" s="9"/>
      <c r="Q338" s="9">
        <f>COUNTIF(Tabela4[[#All],[Cenário]],Tabela4[[#This Row],[Cenário]])</f>
        <v>6</v>
      </c>
      <c r="R338">
        <f>COUNTIFS(Tabela4[[#All],[Cenário]],Tabela4[[#This Row],[Cenário]],Tabela4[[#All],[Status]],"Keyuser - Concluído ")</f>
        <v>5</v>
      </c>
      <c r="S338" t="str">
        <f>IF(Tabela4[[#This Row],[Tarefas por Cenário]]-Tabela4[[#This Row],[Tarefas Concluídas]]&gt;0,"Não","Sim")</f>
        <v>Não</v>
      </c>
      <c r="T338">
        <f>COUNTIFS(Tabela4[[#All],[Cenário]],Tabela4[[#This Row],[Cenário]],Tabela4[[#All],[Status]],Tabela4[[#Headers],[Elo - Em correção ]])</f>
        <v>0</v>
      </c>
      <c r="U338">
        <f>COUNTIFS(Tabela4[[#All],[Cenário]],Tabela4[[#This Row],[Cenário]],Tabela4[[#All],[Status]],Tabela4[[#Headers],[Keyuser - Aguardando tarefa precedente]])</f>
        <v>0</v>
      </c>
      <c r="V338">
        <f>COUNTIFS(Tabela4[[#All],[Cenário]],Tabela4[[#This Row],[Cenário]],Tabela4[[#All],[Status]],Tabela4[[#Headers],[Não liberado  para testes]])</f>
        <v>1</v>
      </c>
      <c r="W338" t="str">
        <f>IF(Tabela4[[#This Row],[Elo - Em correção ]]&gt;0,"Sim","Não")</f>
        <v>Não</v>
      </c>
      <c r="X338" t="str">
        <f>IF(Tabela4[[#This Row],[Keyuser - Aguardando tarefa precedente]]&gt;0,"Sim","Não")</f>
        <v>Não</v>
      </c>
      <c r="Y338" t="str">
        <f>IF(Tabela4[[#This Row],[Não liberado  para testes]]&gt;0,"Sim","Não")</f>
        <v>Sim</v>
      </c>
      <c r="Z338" t="str">
        <f ca="1">IF(Tabela4[[#This Row],[Status]]="Keyuser - Pendente",NETWORKDAYS(Tabela4[[#This Row],[Dt Inicial]],TODAY()),"")</f>
        <v/>
      </c>
      <c r="AA338" t="b">
        <f>AND(Tabela4[[#This Row],[Status]]="Keyuser - Aguardando tarefa precedente",K337="Keyuser - Concluído ")</f>
        <v>0</v>
      </c>
    </row>
    <row r="339" spans="1:27" x14ac:dyDescent="0.25">
      <c r="A339" t="str">
        <f>"OUT-"&amp;IFERROR(MID(Tabela4[[#This Row],[Cenário]],SEARCH("(",Tabela4[[#This Row],[Cenário]])+1,SEARCH(")",Tabela4[[#This Row],[Cenário]])-SEARCH("(",Tabela4[[#This Row],[Cenário]])-1),"")&amp;"_"&amp;ROW()</f>
        <v>OUT-Y3RE_339</v>
      </c>
      <c r="B339" t="s">
        <v>358</v>
      </c>
      <c r="C339" t="s">
        <v>560</v>
      </c>
      <c r="D339" t="s">
        <v>371</v>
      </c>
      <c r="E339">
        <v>4</v>
      </c>
      <c r="F339" t="s">
        <v>372</v>
      </c>
      <c r="G339" t="s">
        <v>287</v>
      </c>
      <c r="H339" s="13" t="s">
        <v>561</v>
      </c>
      <c r="I339" s="13"/>
      <c r="J339" s="13"/>
      <c r="K339" s="9" t="s">
        <v>271</v>
      </c>
      <c r="L339" s="78">
        <v>45912</v>
      </c>
      <c r="N339" s="78">
        <v>45912</v>
      </c>
      <c r="O339" s="31"/>
      <c r="P339" s="9"/>
      <c r="Q339" s="9">
        <f>COUNTIF(Tabela4[[#All],[Cenário]],Tabela4[[#This Row],[Cenário]])</f>
        <v>6</v>
      </c>
      <c r="R339">
        <f>COUNTIFS(Tabela4[[#All],[Cenário]],Tabela4[[#This Row],[Cenário]],Tabela4[[#All],[Status]],"Keyuser - Concluído ")</f>
        <v>5</v>
      </c>
      <c r="S339" t="str">
        <f>IF(Tabela4[[#This Row],[Tarefas por Cenário]]-Tabela4[[#This Row],[Tarefas Concluídas]]&gt;0,"Não","Sim")</f>
        <v>Não</v>
      </c>
      <c r="T339">
        <f>COUNTIFS(Tabela4[[#All],[Cenário]],Tabela4[[#This Row],[Cenário]],Tabela4[[#All],[Status]],Tabela4[[#Headers],[Elo - Em correção ]])</f>
        <v>0</v>
      </c>
      <c r="U339">
        <f>COUNTIFS(Tabela4[[#All],[Cenário]],Tabela4[[#This Row],[Cenário]],Tabela4[[#All],[Status]],Tabela4[[#Headers],[Keyuser - Aguardando tarefa precedente]])</f>
        <v>0</v>
      </c>
      <c r="V339">
        <f>COUNTIFS(Tabela4[[#All],[Cenário]],Tabela4[[#This Row],[Cenário]],Tabela4[[#All],[Status]],Tabela4[[#Headers],[Não liberado  para testes]])</f>
        <v>1</v>
      </c>
      <c r="W339" t="str">
        <f>IF(Tabela4[[#This Row],[Elo - Em correção ]]&gt;0,"Sim","Não")</f>
        <v>Não</v>
      </c>
      <c r="X339" t="str">
        <f>IF(Tabela4[[#This Row],[Keyuser - Aguardando tarefa precedente]]&gt;0,"Sim","Não")</f>
        <v>Não</v>
      </c>
      <c r="Y339" t="str">
        <f>IF(Tabela4[[#This Row],[Não liberado  para testes]]&gt;0,"Sim","Não")</f>
        <v>Sim</v>
      </c>
      <c r="Z339" t="str">
        <f ca="1">IF(Tabela4[[#This Row],[Status]]="Keyuser - Pendente",NETWORKDAYS(Tabela4[[#This Row],[Dt Inicial]],TODAY()),"")</f>
        <v/>
      </c>
      <c r="AA339" t="b">
        <f>AND(Tabela4[[#This Row],[Status]]="Keyuser - Aguardando tarefa precedente",K338="Keyuser - Concluído ")</f>
        <v>0</v>
      </c>
    </row>
    <row r="340" spans="1:27" x14ac:dyDescent="0.25">
      <c r="A340" t="str">
        <f>"OUT-"&amp;IFERROR(MID(Tabela4[[#This Row],[Cenário]],SEARCH("(",Tabela4[[#This Row],[Cenário]])+1,SEARCH(")",Tabela4[[#This Row],[Cenário]])-SEARCH("(",Tabela4[[#This Row],[Cenário]])-1),"")&amp;"_"&amp;ROW()</f>
        <v>OUT-Y3RE_340</v>
      </c>
      <c r="B340" t="s">
        <v>358</v>
      </c>
      <c r="C340" t="s">
        <v>560</v>
      </c>
      <c r="D340" t="s">
        <v>373</v>
      </c>
      <c r="E340">
        <v>5</v>
      </c>
      <c r="F340" t="s">
        <v>373</v>
      </c>
      <c r="G340" t="s">
        <v>283</v>
      </c>
      <c r="H340" s="13" t="s">
        <v>561</v>
      </c>
      <c r="I340" s="13"/>
      <c r="J340" s="13"/>
      <c r="K340" s="9" t="s">
        <v>271</v>
      </c>
      <c r="L340" s="78">
        <v>46000</v>
      </c>
      <c r="N340" s="78">
        <v>45912</v>
      </c>
      <c r="O340" s="31"/>
      <c r="P340" s="9"/>
      <c r="Q340" s="9">
        <f>COUNTIF(Tabela4[[#All],[Cenário]],Tabela4[[#This Row],[Cenário]])</f>
        <v>6</v>
      </c>
      <c r="R340">
        <f>COUNTIFS(Tabela4[[#All],[Cenário]],Tabela4[[#This Row],[Cenário]],Tabela4[[#All],[Status]],"Keyuser - Concluído ")</f>
        <v>5</v>
      </c>
      <c r="S340" t="str">
        <f>IF(Tabela4[[#This Row],[Tarefas por Cenário]]-Tabela4[[#This Row],[Tarefas Concluídas]]&gt;0,"Não","Sim")</f>
        <v>Não</v>
      </c>
      <c r="T340">
        <f>COUNTIFS(Tabela4[[#All],[Cenário]],Tabela4[[#This Row],[Cenário]],Tabela4[[#All],[Status]],Tabela4[[#Headers],[Elo - Em correção ]])</f>
        <v>0</v>
      </c>
      <c r="U340">
        <f>COUNTIFS(Tabela4[[#All],[Cenário]],Tabela4[[#This Row],[Cenário]],Tabela4[[#All],[Status]],Tabela4[[#Headers],[Keyuser - Aguardando tarefa precedente]])</f>
        <v>0</v>
      </c>
      <c r="V340">
        <f>COUNTIFS(Tabela4[[#All],[Cenário]],Tabela4[[#This Row],[Cenário]],Tabela4[[#All],[Status]],Tabela4[[#Headers],[Não liberado  para testes]])</f>
        <v>1</v>
      </c>
      <c r="W340" t="str">
        <f>IF(Tabela4[[#This Row],[Elo - Em correção ]]&gt;0,"Sim","Não")</f>
        <v>Não</v>
      </c>
      <c r="X340" t="str">
        <f>IF(Tabela4[[#This Row],[Keyuser - Aguardando tarefa precedente]]&gt;0,"Sim","Não")</f>
        <v>Não</v>
      </c>
      <c r="Y340" t="str">
        <f>IF(Tabela4[[#This Row],[Não liberado  para testes]]&gt;0,"Sim","Não")</f>
        <v>Sim</v>
      </c>
      <c r="Z340" t="str">
        <f ca="1">IF(Tabela4[[#This Row],[Status]]="Keyuser - Pendente",NETWORKDAYS(Tabela4[[#This Row],[Dt Inicial]],TODAY()),"")</f>
        <v/>
      </c>
      <c r="AA340" t="b">
        <f>AND(Tabela4[[#This Row],[Status]]="Keyuser - Aguardando tarefa precedente",K339="Keyuser - Concluído ")</f>
        <v>0</v>
      </c>
    </row>
    <row r="341" spans="1:27" x14ac:dyDescent="0.25">
      <c r="A341" t="str">
        <f>"OUT-"&amp;IFERROR(MID(Tabela4[[#This Row],[Cenário]],SEARCH("(",Tabela4[[#This Row],[Cenário]])+1,SEARCH(")",Tabela4[[#This Row],[Cenário]])-SEARCH("(",Tabela4[[#This Row],[Cenário]])-1),"")&amp;"_"&amp;ROW()</f>
        <v>OUT-Y3RE_341</v>
      </c>
      <c r="B341" t="s">
        <v>374</v>
      </c>
      <c r="C341" t="s">
        <v>560</v>
      </c>
      <c r="D341" t="s">
        <v>286</v>
      </c>
      <c r="E341">
        <v>6</v>
      </c>
      <c r="F341" t="s">
        <v>286</v>
      </c>
      <c r="G341" t="s">
        <v>287</v>
      </c>
      <c r="H341" s="13"/>
      <c r="I341" s="13"/>
      <c r="J341" s="13"/>
      <c r="K341" s="9" t="s">
        <v>262</v>
      </c>
      <c r="N341" s="78"/>
      <c r="O341" s="31"/>
      <c r="P341" s="9"/>
      <c r="Q341" s="9">
        <f>COUNTIF(Tabela4[[#All],[Cenário]],Tabela4[[#This Row],[Cenário]])</f>
        <v>6</v>
      </c>
      <c r="R341">
        <f>COUNTIFS(Tabela4[[#All],[Cenário]],Tabela4[[#This Row],[Cenário]],Tabela4[[#All],[Status]],"Keyuser - Concluído ")</f>
        <v>5</v>
      </c>
      <c r="S341" t="str">
        <f>IF(Tabela4[[#This Row],[Tarefas por Cenário]]-Tabela4[[#This Row],[Tarefas Concluídas]]&gt;0,"Não","Sim")</f>
        <v>Não</v>
      </c>
      <c r="T341">
        <f>COUNTIFS(Tabela4[[#All],[Cenário]],Tabela4[[#This Row],[Cenário]],Tabela4[[#All],[Status]],Tabela4[[#Headers],[Elo - Em correção ]])</f>
        <v>0</v>
      </c>
      <c r="U341">
        <f>COUNTIFS(Tabela4[[#All],[Cenário]],Tabela4[[#This Row],[Cenário]],Tabela4[[#All],[Status]],Tabela4[[#Headers],[Keyuser - Aguardando tarefa precedente]])</f>
        <v>0</v>
      </c>
      <c r="V341">
        <f>COUNTIFS(Tabela4[[#All],[Cenário]],Tabela4[[#This Row],[Cenário]],Tabela4[[#All],[Status]],Tabela4[[#Headers],[Não liberado  para testes]])</f>
        <v>1</v>
      </c>
      <c r="W341" t="str">
        <f>IF(Tabela4[[#This Row],[Elo - Em correção ]]&gt;0,"Sim","Não")</f>
        <v>Não</v>
      </c>
      <c r="X341" t="str">
        <f>IF(Tabela4[[#This Row],[Keyuser - Aguardando tarefa precedente]]&gt;0,"Sim","Não")</f>
        <v>Não</v>
      </c>
      <c r="Y341" t="str">
        <f>IF(Tabela4[[#This Row],[Não liberado  para testes]]&gt;0,"Sim","Não")</f>
        <v>Sim</v>
      </c>
      <c r="Z341" t="str">
        <f ca="1">IF(Tabela4[[#This Row],[Status]]="Keyuser - Pendente",NETWORKDAYS(Tabela4[[#This Row],[Dt Inicial]],TODAY()),"")</f>
        <v/>
      </c>
      <c r="AA341" t="b">
        <f>AND(Tabela4[[#This Row],[Status]]="Keyuser - Aguardando tarefa precedente",K340="Keyuser - Concluído ")</f>
        <v>0</v>
      </c>
    </row>
    <row r="342" spans="1:27" x14ac:dyDescent="0.25">
      <c r="A342" t="str">
        <f>"OUT-"&amp;IFERROR(MID(Tabela4[[#This Row],[Cenário]],SEARCH("(",Tabela4[[#This Row],[Cenário]])+1,SEARCH(")",Tabela4[[#This Row],[Cenário]])-SEARCH("(",Tabela4[[#This Row],[Cenário]])-1),"")&amp;"_"&amp;ROW()</f>
        <v>OUT-Y032_342</v>
      </c>
      <c r="B342" t="s">
        <v>358</v>
      </c>
      <c r="C342" t="s">
        <v>563</v>
      </c>
      <c r="D342" t="s">
        <v>360</v>
      </c>
      <c r="E342">
        <v>1</v>
      </c>
      <c r="F342" t="s">
        <v>360</v>
      </c>
      <c r="G342" t="s">
        <v>361</v>
      </c>
      <c r="H342" s="9">
        <v>70583981</v>
      </c>
      <c r="I342" s="9" t="s">
        <v>564</v>
      </c>
      <c r="J342" s="9" t="s">
        <v>364</v>
      </c>
      <c r="K342" s="9" t="s">
        <v>271</v>
      </c>
      <c r="L342" s="78">
        <v>45971</v>
      </c>
      <c r="N342" s="78">
        <v>45985</v>
      </c>
      <c r="O342" s="31"/>
      <c r="P342" s="9"/>
      <c r="Q342" s="9">
        <f>COUNTIF(Tabela4[[#All],[Cenário]],Tabela4[[#This Row],[Cenário]])</f>
        <v>8</v>
      </c>
      <c r="R342">
        <f>COUNTIFS(Tabela4[[#All],[Cenário]],Tabela4[[#This Row],[Cenário]],Tabela4[[#All],[Status]],"Keyuser - Concluído ")</f>
        <v>7</v>
      </c>
      <c r="S342" t="str">
        <f>IF(Tabela4[[#This Row],[Tarefas por Cenário]]-Tabela4[[#This Row],[Tarefas Concluídas]]&gt;0,"Não","Sim")</f>
        <v>Não</v>
      </c>
      <c r="T342">
        <f>COUNTIFS(Tabela4[[#All],[Cenário]],Tabela4[[#This Row],[Cenário]],Tabela4[[#All],[Status]],Tabela4[[#Headers],[Elo - Em correção ]])</f>
        <v>0</v>
      </c>
      <c r="U342">
        <f>COUNTIFS(Tabela4[[#All],[Cenário]],Tabela4[[#This Row],[Cenário]],Tabela4[[#All],[Status]],Tabela4[[#Headers],[Keyuser - Aguardando tarefa precedente]])</f>
        <v>0</v>
      </c>
      <c r="V342">
        <f>COUNTIFS(Tabela4[[#All],[Cenário]],Tabela4[[#This Row],[Cenário]],Tabela4[[#All],[Status]],Tabela4[[#Headers],[Não liberado  para testes]])</f>
        <v>1</v>
      </c>
      <c r="W342" t="str">
        <f>IF(Tabela4[[#This Row],[Elo - Em correção ]]&gt;0,"Sim","Não")</f>
        <v>Não</v>
      </c>
      <c r="X342" t="str">
        <f>IF(Tabela4[[#This Row],[Keyuser - Aguardando tarefa precedente]]&gt;0,"Sim","Não")</f>
        <v>Não</v>
      </c>
      <c r="Y342" t="str">
        <f>IF(Tabela4[[#This Row],[Não liberado  para testes]]&gt;0,"Sim","Não")</f>
        <v>Sim</v>
      </c>
      <c r="Z342" t="str">
        <f ca="1">IF(Tabela4[[#This Row],[Status]]="Keyuser - Pendente",NETWORKDAYS(Tabela4[[#This Row],[Dt Inicial]],TODAY()),"")</f>
        <v/>
      </c>
      <c r="AA342" t="b">
        <f>AND(Tabela4[[#This Row],[Status]]="Keyuser - Aguardando tarefa precedente",K341="Keyuser - Concluído ")</f>
        <v>0</v>
      </c>
    </row>
    <row r="343" spans="1:27" x14ac:dyDescent="0.25">
      <c r="A343" t="str">
        <f>"OUT-"&amp;IFERROR(MID(Tabela4[[#This Row],[Cenário]],SEARCH("(",Tabela4[[#This Row],[Cenário]])+1,SEARCH(")",Tabela4[[#This Row],[Cenário]])-SEARCH("(",Tabela4[[#This Row],[Cenário]])-1),"")&amp;"_"&amp;ROW()</f>
        <v>OUT-Y032_343</v>
      </c>
      <c r="B343" t="s">
        <v>358</v>
      </c>
      <c r="C343" t="s">
        <v>563</v>
      </c>
      <c r="D343" t="s">
        <v>365</v>
      </c>
      <c r="E343">
        <v>2</v>
      </c>
      <c r="F343" t="s">
        <v>365</v>
      </c>
      <c r="G343" t="s">
        <v>310</v>
      </c>
      <c r="H343" s="9">
        <v>70583981</v>
      </c>
      <c r="I343" s="9" t="s">
        <v>564</v>
      </c>
      <c r="J343" s="9" t="s">
        <v>364</v>
      </c>
      <c r="K343" s="9" t="s">
        <v>271</v>
      </c>
      <c r="L343" s="78" t="s">
        <v>565</v>
      </c>
      <c r="N343" s="78">
        <v>45985</v>
      </c>
      <c r="O343" s="31"/>
      <c r="P343" s="9"/>
      <c r="Q343" s="9">
        <f>COUNTIF(Tabela4[[#All],[Cenário]],Tabela4[[#This Row],[Cenário]])</f>
        <v>8</v>
      </c>
      <c r="R343">
        <f>COUNTIFS(Tabela4[[#All],[Cenário]],Tabela4[[#This Row],[Cenário]],Tabela4[[#All],[Status]],"Keyuser - Concluído ")</f>
        <v>7</v>
      </c>
      <c r="S343" t="str">
        <f>IF(Tabela4[[#This Row],[Tarefas por Cenário]]-Tabela4[[#This Row],[Tarefas Concluídas]]&gt;0,"Não","Sim")</f>
        <v>Não</v>
      </c>
      <c r="T343">
        <f>COUNTIFS(Tabela4[[#All],[Cenário]],Tabela4[[#This Row],[Cenário]],Tabela4[[#All],[Status]],Tabela4[[#Headers],[Elo - Em correção ]])</f>
        <v>0</v>
      </c>
      <c r="U343">
        <f>COUNTIFS(Tabela4[[#All],[Cenário]],Tabela4[[#This Row],[Cenário]],Tabela4[[#All],[Status]],Tabela4[[#Headers],[Keyuser - Aguardando tarefa precedente]])</f>
        <v>0</v>
      </c>
      <c r="V343">
        <f>COUNTIFS(Tabela4[[#All],[Cenário]],Tabela4[[#This Row],[Cenário]],Tabela4[[#All],[Status]],Tabela4[[#Headers],[Não liberado  para testes]])</f>
        <v>1</v>
      </c>
      <c r="W343" t="str">
        <f>IF(Tabela4[[#This Row],[Elo - Em correção ]]&gt;0,"Sim","Não")</f>
        <v>Não</v>
      </c>
      <c r="X343" t="str">
        <f>IF(Tabela4[[#This Row],[Keyuser - Aguardando tarefa precedente]]&gt;0,"Sim","Não")</f>
        <v>Não</v>
      </c>
      <c r="Y343" t="str">
        <f>IF(Tabela4[[#This Row],[Não liberado  para testes]]&gt;0,"Sim","Não")</f>
        <v>Sim</v>
      </c>
      <c r="Z343" t="str">
        <f ca="1">IF(Tabela4[[#This Row],[Status]]="Keyuser - Pendente",NETWORKDAYS(Tabela4[[#This Row],[Dt Inicial]],TODAY()),"")</f>
        <v/>
      </c>
      <c r="AA343" t="b">
        <f>AND(Tabela4[[#This Row],[Status]]="Keyuser - Aguardando tarefa precedente",K342="Keyuser - Concluído ")</f>
        <v>0</v>
      </c>
    </row>
    <row r="344" spans="1:27" x14ac:dyDescent="0.25">
      <c r="A344" t="str">
        <f>"OUT-"&amp;IFERROR(MID(Tabela4[[#This Row],[Cenário]],SEARCH("(",Tabela4[[#This Row],[Cenário]])+1,SEARCH(")",Tabela4[[#This Row],[Cenário]])-SEARCH("(",Tabela4[[#This Row],[Cenário]])-1),"")&amp;"_"&amp;ROW()</f>
        <v>OUT-Y032_344</v>
      </c>
      <c r="B344" t="s">
        <v>358</v>
      </c>
      <c r="C344" t="s">
        <v>563</v>
      </c>
      <c r="D344" t="s">
        <v>366</v>
      </c>
      <c r="E344">
        <v>3</v>
      </c>
      <c r="F344" t="s">
        <v>366</v>
      </c>
      <c r="G344" t="s">
        <v>367</v>
      </c>
      <c r="H344" s="9">
        <v>70583981</v>
      </c>
      <c r="I344" s="9" t="s">
        <v>564</v>
      </c>
      <c r="J344" s="9" t="s">
        <v>364</v>
      </c>
      <c r="K344" s="9" t="s">
        <v>271</v>
      </c>
      <c r="L344" s="78" t="s">
        <v>565</v>
      </c>
      <c r="N344" s="78">
        <v>45985</v>
      </c>
      <c r="O344" s="31"/>
      <c r="P344" s="9"/>
      <c r="Q344" s="9">
        <f>COUNTIF(Tabela4[[#All],[Cenário]],Tabela4[[#This Row],[Cenário]])</f>
        <v>8</v>
      </c>
      <c r="R344">
        <f>COUNTIFS(Tabela4[[#All],[Cenário]],Tabela4[[#This Row],[Cenário]],Tabela4[[#All],[Status]],"Keyuser - Concluído ")</f>
        <v>7</v>
      </c>
      <c r="S344" t="str">
        <f>IF(Tabela4[[#This Row],[Tarefas por Cenário]]-Tabela4[[#This Row],[Tarefas Concluídas]]&gt;0,"Não","Sim")</f>
        <v>Não</v>
      </c>
      <c r="T344">
        <f>COUNTIFS(Tabela4[[#All],[Cenário]],Tabela4[[#This Row],[Cenário]],Tabela4[[#All],[Status]],Tabela4[[#Headers],[Elo - Em correção ]])</f>
        <v>0</v>
      </c>
      <c r="U344">
        <f>COUNTIFS(Tabela4[[#All],[Cenário]],Tabela4[[#This Row],[Cenário]],Tabela4[[#All],[Status]],Tabela4[[#Headers],[Keyuser - Aguardando tarefa precedente]])</f>
        <v>0</v>
      </c>
      <c r="V344">
        <f>COUNTIFS(Tabela4[[#All],[Cenário]],Tabela4[[#This Row],[Cenário]],Tabela4[[#All],[Status]],Tabela4[[#Headers],[Não liberado  para testes]])</f>
        <v>1</v>
      </c>
      <c r="W344" t="str">
        <f>IF(Tabela4[[#This Row],[Elo - Em correção ]]&gt;0,"Sim","Não")</f>
        <v>Não</v>
      </c>
      <c r="X344" t="str">
        <f>IF(Tabela4[[#This Row],[Keyuser - Aguardando tarefa precedente]]&gt;0,"Sim","Não")</f>
        <v>Não</v>
      </c>
      <c r="Y344" t="str">
        <f>IF(Tabela4[[#This Row],[Não liberado  para testes]]&gt;0,"Sim","Não")</f>
        <v>Sim</v>
      </c>
      <c r="Z344" t="str">
        <f ca="1">IF(Tabela4[[#This Row],[Status]]="Keyuser - Pendente",NETWORKDAYS(Tabela4[[#This Row],[Dt Inicial]],TODAY()),"")</f>
        <v/>
      </c>
      <c r="AA344" t="b">
        <f>AND(Tabela4[[#This Row],[Status]]="Keyuser - Aguardando tarefa precedente",K343="Keyuser - Concluído ")</f>
        <v>0</v>
      </c>
    </row>
    <row r="345" spans="1:27" x14ac:dyDescent="0.25">
      <c r="A345" t="str">
        <f>"OUT-"&amp;IFERROR(MID(Tabela4[[#This Row],[Cenário]],SEARCH("(",Tabela4[[#This Row],[Cenário]])+1,SEARCH(")",Tabela4[[#This Row],[Cenário]])-SEARCH("(",Tabela4[[#This Row],[Cenário]])-1),"")&amp;"_"&amp;ROW()</f>
        <v>OUT-Y032_345</v>
      </c>
      <c r="B345" t="s">
        <v>358</v>
      </c>
      <c r="C345" t="s">
        <v>563</v>
      </c>
      <c r="D345" t="s">
        <v>368</v>
      </c>
      <c r="E345">
        <v>4</v>
      </c>
      <c r="F345" t="s">
        <v>368</v>
      </c>
      <c r="G345" t="s">
        <v>369</v>
      </c>
      <c r="H345" s="9" t="s">
        <v>566</v>
      </c>
      <c r="J345" s="9" t="s">
        <v>364</v>
      </c>
      <c r="K345" s="9" t="s">
        <v>271</v>
      </c>
      <c r="L345" s="78">
        <v>45987</v>
      </c>
      <c r="N345" s="78">
        <v>45987</v>
      </c>
      <c r="O345" s="31"/>
      <c r="P345" s="9"/>
      <c r="Q345" s="9">
        <f>COUNTIF(Tabela4[[#All],[Cenário]],Tabela4[[#This Row],[Cenário]])</f>
        <v>8</v>
      </c>
      <c r="R345">
        <f>COUNTIFS(Tabela4[[#All],[Cenário]],Tabela4[[#This Row],[Cenário]],Tabela4[[#All],[Status]],"Keyuser - Concluído ")</f>
        <v>7</v>
      </c>
      <c r="S345" t="str">
        <f>IF(Tabela4[[#This Row],[Tarefas por Cenário]]-Tabela4[[#This Row],[Tarefas Concluídas]]&gt;0,"Não","Sim")</f>
        <v>Não</v>
      </c>
      <c r="T345">
        <f>COUNTIFS(Tabela4[[#All],[Cenário]],Tabela4[[#This Row],[Cenário]],Tabela4[[#All],[Status]],Tabela4[[#Headers],[Elo - Em correção ]])</f>
        <v>0</v>
      </c>
      <c r="U345">
        <f>COUNTIFS(Tabela4[[#All],[Cenário]],Tabela4[[#This Row],[Cenário]],Tabela4[[#All],[Status]],Tabela4[[#Headers],[Keyuser - Aguardando tarefa precedente]])</f>
        <v>0</v>
      </c>
      <c r="V345">
        <f>COUNTIFS(Tabela4[[#All],[Cenário]],Tabela4[[#This Row],[Cenário]],Tabela4[[#All],[Status]],Tabela4[[#Headers],[Não liberado  para testes]])</f>
        <v>1</v>
      </c>
      <c r="W345" t="str">
        <f>IF(Tabela4[[#This Row],[Elo - Em correção ]]&gt;0,"Sim","Não")</f>
        <v>Não</v>
      </c>
      <c r="X345" t="str">
        <f>IF(Tabela4[[#This Row],[Keyuser - Aguardando tarefa precedente]]&gt;0,"Sim","Não")</f>
        <v>Não</v>
      </c>
      <c r="Y345" t="str">
        <f>IF(Tabela4[[#This Row],[Não liberado  para testes]]&gt;0,"Sim","Não")</f>
        <v>Sim</v>
      </c>
      <c r="Z345" t="str">
        <f ca="1">IF(Tabela4[[#This Row],[Status]]="Keyuser - Pendente",NETWORKDAYS(Tabela4[[#This Row],[Dt Inicial]],TODAY()),"")</f>
        <v/>
      </c>
      <c r="AA345" t="b">
        <f>AND(Tabela4[[#This Row],[Status]]="Keyuser - Aguardando tarefa precedente",K344="Keyuser - Concluído ")</f>
        <v>0</v>
      </c>
    </row>
    <row r="346" spans="1:27" x14ac:dyDescent="0.25">
      <c r="A346" t="str">
        <f>"OUT-"&amp;IFERROR(MID(Tabela4[[#This Row],[Cenário]],SEARCH("(",Tabela4[[#This Row],[Cenário]])+1,SEARCH(")",Tabela4[[#This Row],[Cenário]])-SEARCH("(",Tabela4[[#This Row],[Cenário]])-1),"")&amp;"_"&amp;ROW()</f>
        <v>OUT-Y032_346</v>
      </c>
      <c r="B346" t="s">
        <v>358</v>
      </c>
      <c r="C346" t="s">
        <v>563</v>
      </c>
      <c r="D346" t="s">
        <v>434</v>
      </c>
      <c r="E346">
        <v>5</v>
      </c>
      <c r="F346" t="s">
        <v>435</v>
      </c>
      <c r="G346" t="s">
        <v>287</v>
      </c>
      <c r="H346" s="9" t="s">
        <v>566</v>
      </c>
      <c r="K346" s="9" t="s">
        <v>271</v>
      </c>
      <c r="L346" s="78" t="s">
        <v>567</v>
      </c>
      <c r="N346" s="78">
        <v>45988</v>
      </c>
      <c r="O346" s="48"/>
      <c r="P346" s="9"/>
      <c r="Q346" s="9">
        <f>COUNTIF(Tabela4[[#All],[Cenário]],Tabela4[[#This Row],[Cenário]])</f>
        <v>8</v>
      </c>
      <c r="R346">
        <f>COUNTIFS(Tabela4[[#All],[Cenário]],Tabela4[[#This Row],[Cenário]],Tabela4[[#All],[Status]],"Keyuser - Concluído ")</f>
        <v>7</v>
      </c>
      <c r="S346" t="str">
        <f>IF(Tabela4[[#This Row],[Tarefas por Cenário]]-Tabela4[[#This Row],[Tarefas Concluídas]]&gt;0,"Não","Sim")</f>
        <v>Não</v>
      </c>
      <c r="T346">
        <f>COUNTIFS(Tabela4[[#All],[Cenário]],Tabela4[[#This Row],[Cenário]],Tabela4[[#All],[Status]],Tabela4[[#Headers],[Elo - Em correção ]])</f>
        <v>0</v>
      </c>
      <c r="U346">
        <f>COUNTIFS(Tabela4[[#All],[Cenário]],Tabela4[[#This Row],[Cenário]],Tabela4[[#All],[Status]],Tabela4[[#Headers],[Keyuser - Aguardando tarefa precedente]])</f>
        <v>0</v>
      </c>
      <c r="V346">
        <f>COUNTIFS(Tabela4[[#All],[Cenário]],Tabela4[[#This Row],[Cenário]],Tabela4[[#All],[Status]],Tabela4[[#Headers],[Não liberado  para testes]])</f>
        <v>1</v>
      </c>
      <c r="W346" t="str">
        <f>IF(Tabela4[[#This Row],[Elo - Em correção ]]&gt;0,"Sim","Não")</f>
        <v>Não</v>
      </c>
      <c r="X346" t="str">
        <f>IF(Tabela4[[#This Row],[Keyuser - Aguardando tarefa precedente]]&gt;0,"Sim","Não")</f>
        <v>Não</v>
      </c>
      <c r="Y346" t="str">
        <f>IF(Tabela4[[#This Row],[Não liberado  para testes]]&gt;0,"Sim","Não")</f>
        <v>Sim</v>
      </c>
      <c r="Z346" t="str">
        <f ca="1">IF(Tabela4[[#This Row],[Status]]="Keyuser - Pendente",NETWORKDAYS(Tabela4[[#This Row],[Dt Inicial]],TODAY()),"")</f>
        <v/>
      </c>
      <c r="AA346" t="b">
        <f>AND(Tabela4[[#This Row],[Status]]="Keyuser - Aguardando tarefa precedente",K345="Keyuser - Concluído ")</f>
        <v>0</v>
      </c>
    </row>
    <row r="347" spans="1:27" x14ac:dyDescent="0.25">
      <c r="A347" t="str">
        <f>"OUT-"&amp;IFERROR(MID(Tabela4[[#This Row],[Cenário]],SEARCH("(",Tabela4[[#This Row],[Cenário]])+1,SEARCH(")",Tabela4[[#This Row],[Cenário]])-SEARCH("(",Tabela4[[#This Row],[Cenário]])-1),"")&amp;"_"&amp;ROW()</f>
        <v>OUT-Y032_347</v>
      </c>
      <c r="B347" t="s">
        <v>358</v>
      </c>
      <c r="C347" t="s">
        <v>563</v>
      </c>
      <c r="D347" t="s">
        <v>373</v>
      </c>
      <c r="E347">
        <v>6</v>
      </c>
      <c r="F347" t="s">
        <v>373</v>
      </c>
      <c r="G347" t="s">
        <v>283</v>
      </c>
      <c r="H347" s="9" t="s">
        <v>566</v>
      </c>
      <c r="K347" s="9" t="s">
        <v>271</v>
      </c>
      <c r="L347" s="78" t="s">
        <v>567</v>
      </c>
      <c r="N347" s="78">
        <v>45988</v>
      </c>
      <c r="O347" s="31"/>
      <c r="P347" s="9"/>
      <c r="Q347" s="9">
        <f>COUNTIF(Tabela4[[#All],[Cenário]],Tabela4[[#This Row],[Cenário]])</f>
        <v>8</v>
      </c>
      <c r="R347">
        <f>COUNTIFS(Tabela4[[#All],[Cenário]],Tabela4[[#This Row],[Cenário]],Tabela4[[#All],[Status]],"Keyuser - Concluído ")</f>
        <v>7</v>
      </c>
      <c r="S347" t="str">
        <f>IF(Tabela4[[#This Row],[Tarefas por Cenário]]-Tabela4[[#This Row],[Tarefas Concluídas]]&gt;0,"Não","Sim")</f>
        <v>Não</v>
      </c>
      <c r="T347">
        <f>COUNTIFS(Tabela4[[#All],[Cenário]],Tabela4[[#This Row],[Cenário]],Tabela4[[#All],[Status]],Tabela4[[#Headers],[Elo - Em correção ]])</f>
        <v>0</v>
      </c>
      <c r="U347">
        <f>COUNTIFS(Tabela4[[#All],[Cenário]],Tabela4[[#This Row],[Cenário]],Tabela4[[#All],[Status]],Tabela4[[#Headers],[Keyuser - Aguardando tarefa precedente]])</f>
        <v>0</v>
      </c>
      <c r="V347">
        <f>COUNTIFS(Tabela4[[#All],[Cenário]],Tabela4[[#This Row],[Cenário]],Tabela4[[#All],[Status]],Tabela4[[#Headers],[Não liberado  para testes]])</f>
        <v>1</v>
      </c>
      <c r="W347" t="str">
        <f>IF(Tabela4[[#This Row],[Elo - Em correção ]]&gt;0,"Sim","Não")</f>
        <v>Não</v>
      </c>
      <c r="X347" t="str">
        <f>IF(Tabela4[[#This Row],[Keyuser - Aguardando tarefa precedente]]&gt;0,"Sim","Não")</f>
        <v>Não</v>
      </c>
      <c r="Y347" t="str">
        <f>IF(Tabela4[[#This Row],[Não liberado  para testes]]&gt;0,"Sim","Não")</f>
        <v>Sim</v>
      </c>
      <c r="Z347" t="str">
        <f ca="1">IF(Tabela4[[#This Row],[Status]]="Keyuser - Pendente",NETWORKDAYS(Tabela4[[#This Row],[Dt Inicial]],TODAY()),"")</f>
        <v/>
      </c>
      <c r="AA347" t="b">
        <f>AND(Tabela4[[#This Row],[Status]]="Keyuser - Aguardando tarefa precedente",K346="Keyuser - Concluído ")</f>
        <v>0</v>
      </c>
    </row>
    <row r="348" spans="1:27" x14ac:dyDescent="0.25">
      <c r="A348" t="str">
        <f>"OUT-"&amp;IFERROR(MID(Tabela4[[#This Row],[Cenário]],SEARCH("(",Tabela4[[#This Row],[Cenário]])+1,SEARCH(")",Tabela4[[#This Row],[Cenário]])-SEARCH("(",Tabela4[[#This Row],[Cenário]])-1),"")&amp;"_"&amp;ROW()</f>
        <v>OUT-Y032_348</v>
      </c>
      <c r="B348" t="s">
        <v>374</v>
      </c>
      <c r="C348" t="s">
        <v>563</v>
      </c>
      <c r="D348" t="s">
        <v>286</v>
      </c>
      <c r="E348">
        <v>7</v>
      </c>
      <c r="F348" t="s">
        <v>286</v>
      </c>
      <c r="G348" t="s">
        <v>287</v>
      </c>
      <c r="K348" s="9" t="s">
        <v>262</v>
      </c>
      <c r="N348" s="78"/>
      <c r="O348" s="31"/>
      <c r="P348" s="9"/>
      <c r="Q348" s="9">
        <f>COUNTIF(Tabela4[[#All],[Cenário]],Tabela4[[#This Row],[Cenário]])</f>
        <v>8</v>
      </c>
      <c r="R348">
        <f>COUNTIFS(Tabela4[[#All],[Cenário]],Tabela4[[#This Row],[Cenário]],Tabela4[[#All],[Status]],"Keyuser - Concluído ")</f>
        <v>7</v>
      </c>
      <c r="S348" t="str">
        <f>IF(Tabela4[[#This Row],[Tarefas por Cenário]]-Tabela4[[#This Row],[Tarefas Concluídas]]&gt;0,"Não","Sim")</f>
        <v>Não</v>
      </c>
      <c r="T348">
        <f>COUNTIFS(Tabela4[[#All],[Cenário]],Tabela4[[#This Row],[Cenário]],Tabela4[[#All],[Status]],Tabela4[[#Headers],[Elo - Em correção ]])</f>
        <v>0</v>
      </c>
      <c r="U348">
        <f>COUNTIFS(Tabela4[[#All],[Cenário]],Tabela4[[#This Row],[Cenário]],Tabela4[[#All],[Status]],Tabela4[[#Headers],[Keyuser - Aguardando tarefa precedente]])</f>
        <v>0</v>
      </c>
      <c r="V348">
        <f>COUNTIFS(Tabela4[[#All],[Cenário]],Tabela4[[#This Row],[Cenário]],Tabela4[[#All],[Status]],Tabela4[[#Headers],[Não liberado  para testes]])</f>
        <v>1</v>
      </c>
      <c r="W348" t="str">
        <f>IF(Tabela4[[#This Row],[Elo - Em correção ]]&gt;0,"Sim","Não")</f>
        <v>Não</v>
      </c>
      <c r="X348" t="str">
        <f>IF(Tabela4[[#This Row],[Keyuser - Aguardando tarefa precedente]]&gt;0,"Sim","Não")</f>
        <v>Não</v>
      </c>
      <c r="Y348" t="str">
        <f>IF(Tabela4[[#This Row],[Não liberado  para testes]]&gt;0,"Sim","Não")</f>
        <v>Sim</v>
      </c>
      <c r="Z348" t="str">
        <f ca="1">IF(Tabela4[[#This Row],[Status]]="Keyuser - Pendente",NETWORKDAYS(Tabela4[[#This Row],[Dt Inicial]],TODAY()),"")</f>
        <v/>
      </c>
      <c r="AA348" t="b">
        <f>AND(Tabela4[[#This Row],[Status]]="Keyuser - Aguardando tarefa precedente",K347="Keyuser - Concluído ")</f>
        <v>0</v>
      </c>
    </row>
    <row r="349" spans="1:27" x14ac:dyDescent="0.25">
      <c r="A349" t="str">
        <f>"OUT-"&amp;IFERROR(MID(Tabela4[[#This Row],[Cenário]],SEARCH("(",Tabela4[[#This Row],[Cenário]])+1,SEARCH(")",Tabela4[[#This Row],[Cenário]])-SEARCH("(",Tabela4[[#This Row],[Cenário]])-1),"")&amp;"_"&amp;ROW()</f>
        <v>OUT-Y032_349</v>
      </c>
      <c r="B349" t="s">
        <v>358</v>
      </c>
      <c r="C349" t="s">
        <v>563</v>
      </c>
      <c r="D349" t="s">
        <v>375</v>
      </c>
      <c r="E349">
        <v>8</v>
      </c>
      <c r="F349" t="s">
        <v>375</v>
      </c>
      <c r="G349" t="s">
        <v>367</v>
      </c>
      <c r="H349" s="9">
        <v>70583981</v>
      </c>
      <c r="I349" s="9" t="s">
        <v>564</v>
      </c>
      <c r="K349" s="9" t="s">
        <v>271</v>
      </c>
      <c r="L349" s="78">
        <v>45989</v>
      </c>
      <c r="N349" s="78">
        <v>45989</v>
      </c>
      <c r="O349" s="31"/>
      <c r="P349" s="9"/>
      <c r="Q349" s="9">
        <f>COUNTIF(Tabela4[[#All],[Cenário]],Tabela4[[#This Row],[Cenário]])</f>
        <v>8</v>
      </c>
      <c r="R349">
        <f>COUNTIFS(Tabela4[[#All],[Cenário]],Tabela4[[#This Row],[Cenário]],Tabela4[[#All],[Status]],"Keyuser - Concluído ")</f>
        <v>7</v>
      </c>
      <c r="S349" t="str">
        <f>IF(Tabela4[[#This Row],[Tarefas por Cenário]]-Tabela4[[#This Row],[Tarefas Concluídas]]&gt;0,"Não","Sim")</f>
        <v>Não</v>
      </c>
      <c r="T349">
        <f>COUNTIFS(Tabela4[[#All],[Cenário]],Tabela4[[#This Row],[Cenário]],Tabela4[[#All],[Status]],Tabela4[[#Headers],[Elo - Em correção ]])</f>
        <v>0</v>
      </c>
      <c r="U349">
        <f>COUNTIFS(Tabela4[[#All],[Cenário]],Tabela4[[#This Row],[Cenário]],Tabela4[[#All],[Status]],Tabela4[[#Headers],[Keyuser - Aguardando tarefa precedente]])</f>
        <v>0</v>
      </c>
      <c r="V349">
        <f>COUNTIFS(Tabela4[[#All],[Cenário]],Tabela4[[#This Row],[Cenário]],Tabela4[[#All],[Status]],Tabela4[[#Headers],[Não liberado  para testes]])</f>
        <v>1</v>
      </c>
      <c r="W349" t="str">
        <f>IF(Tabela4[[#This Row],[Elo - Em correção ]]&gt;0,"Sim","Não")</f>
        <v>Não</v>
      </c>
      <c r="X349" t="str">
        <f>IF(Tabela4[[#This Row],[Keyuser - Aguardando tarefa precedente]]&gt;0,"Sim","Não")</f>
        <v>Não</v>
      </c>
      <c r="Y349" t="str">
        <f>IF(Tabela4[[#This Row],[Não liberado  para testes]]&gt;0,"Sim","Não")</f>
        <v>Sim</v>
      </c>
      <c r="Z349" t="str">
        <f ca="1">IF(Tabela4[[#This Row],[Status]]="Keyuser - Pendente",NETWORKDAYS(Tabela4[[#This Row],[Dt Inicial]],TODAY()),"")</f>
        <v/>
      </c>
      <c r="AA349" t="b">
        <f>AND(Tabela4[[#This Row],[Status]]="Keyuser - Aguardando tarefa precedente",K348="Keyuser - Concluído ")</f>
        <v>0</v>
      </c>
    </row>
    <row r="350" spans="1:27" x14ac:dyDescent="0.25">
      <c r="A350" t="str">
        <f>"OUT-"&amp;IFERROR(MID(Tabela4[[#This Row],[Cenário]],SEARCH("(",Tabela4[[#This Row],[Cenário]])+1,SEARCH(")",Tabela4[[#This Row],[Cenário]])-SEARCH("(",Tabela4[[#This Row],[Cenário]])-1),"")&amp;"_"&amp;ROW()</f>
        <v>OUT-Y044_350</v>
      </c>
      <c r="B350" t="s">
        <v>358</v>
      </c>
      <c r="C350" t="s">
        <v>568</v>
      </c>
      <c r="D350" t="s">
        <v>360</v>
      </c>
      <c r="E350">
        <v>1</v>
      </c>
      <c r="F350" t="s">
        <v>360</v>
      </c>
      <c r="G350" t="s">
        <v>361</v>
      </c>
      <c r="H350" s="9">
        <v>15603710</v>
      </c>
      <c r="I350" s="9" t="s">
        <v>569</v>
      </c>
      <c r="J350" s="9" t="s">
        <v>364</v>
      </c>
      <c r="K350" s="9" t="s">
        <v>271</v>
      </c>
      <c r="L350" s="78">
        <v>45971</v>
      </c>
      <c r="N350" s="78">
        <v>45985</v>
      </c>
      <c r="O350" s="31"/>
      <c r="P350" s="9"/>
      <c r="Q350" s="9">
        <f>COUNTIF(Tabela4[[#All],[Cenário]],Tabela4[[#This Row],[Cenário]])</f>
        <v>8</v>
      </c>
      <c r="R350">
        <f>COUNTIFS(Tabela4[[#All],[Cenário]],Tabela4[[#This Row],[Cenário]],Tabela4[[#All],[Status]],"Keyuser - Concluído ")</f>
        <v>7</v>
      </c>
      <c r="S350" t="str">
        <f>IF(Tabela4[[#This Row],[Tarefas por Cenário]]-Tabela4[[#This Row],[Tarefas Concluídas]]&gt;0,"Não","Sim")</f>
        <v>Não</v>
      </c>
      <c r="T350">
        <f>COUNTIFS(Tabela4[[#All],[Cenário]],Tabela4[[#This Row],[Cenário]],Tabela4[[#All],[Status]],Tabela4[[#Headers],[Elo - Em correção ]])</f>
        <v>0</v>
      </c>
      <c r="U350">
        <f>COUNTIFS(Tabela4[[#All],[Cenário]],Tabela4[[#This Row],[Cenário]],Tabela4[[#All],[Status]],Tabela4[[#Headers],[Keyuser - Aguardando tarefa precedente]])</f>
        <v>0</v>
      </c>
      <c r="V350">
        <f>COUNTIFS(Tabela4[[#All],[Cenário]],Tabela4[[#This Row],[Cenário]],Tabela4[[#All],[Status]],Tabela4[[#Headers],[Não liberado  para testes]])</f>
        <v>1</v>
      </c>
      <c r="W350" t="str">
        <f>IF(Tabela4[[#This Row],[Elo - Em correção ]]&gt;0,"Sim","Não")</f>
        <v>Não</v>
      </c>
      <c r="X350" t="str">
        <f>IF(Tabela4[[#This Row],[Keyuser - Aguardando tarefa precedente]]&gt;0,"Sim","Não")</f>
        <v>Não</v>
      </c>
      <c r="Y350" t="str">
        <f>IF(Tabela4[[#This Row],[Não liberado  para testes]]&gt;0,"Sim","Não")</f>
        <v>Sim</v>
      </c>
      <c r="Z350" t="str">
        <f ca="1">IF(Tabela4[[#This Row],[Status]]="Keyuser - Pendente",NETWORKDAYS(Tabela4[[#This Row],[Dt Inicial]],TODAY()),"")</f>
        <v/>
      </c>
      <c r="AA350" t="b">
        <f>AND(Tabela4[[#This Row],[Status]]="Keyuser - Aguardando tarefa precedente",K349="Keyuser - Concluído ")</f>
        <v>0</v>
      </c>
    </row>
    <row r="351" spans="1:27" x14ac:dyDescent="0.25">
      <c r="A351" t="str">
        <f>"OUT-"&amp;IFERROR(MID(Tabela4[[#This Row],[Cenário]],SEARCH("(",Tabela4[[#This Row],[Cenário]])+1,SEARCH(")",Tabela4[[#This Row],[Cenário]])-SEARCH("(",Tabela4[[#This Row],[Cenário]])-1),"")&amp;"_"&amp;ROW()</f>
        <v>OUT-Y044_351</v>
      </c>
      <c r="B351" t="s">
        <v>358</v>
      </c>
      <c r="C351" t="s">
        <v>568</v>
      </c>
      <c r="D351" t="s">
        <v>365</v>
      </c>
      <c r="E351">
        <v>2</v>
      </c>
      <c r="F351" t="s">
        <v>365</v>
      </c>
      <c r="G351" t="s">
        <v>310</v>
      </c>
      <c r="H351" s="9">
        <v>15603710</v>
      </c>
      <c r="I351" s="9" t="s">
        <v>569</v>
      </c>
      <c r="J351" s="9" t="s">
        <v>364</v>
      </c>
      <c r="K351" s="9" t="s">
        <v>271</v>
      </c>
      <c r="L351" s="78">
        <v>45986</v>
      </c>
      <c r="N351" s="78">
        <v>45986</v>
      </c>
      <c r="O351" s="31"/>
      <c r="P351" s="9"/>
      <c r="Q351" s="9">
        <f>COUNTIF(Tabela4[[#All],[Cenário]],Tabela4[[#This Row],[Cenário]])</f>
        <v>8</v>
      </c>
      <c r="R351">
        <f>COUNTIFS(Tabela4[[#All],[Cenário]],Tabela4[[#This Row],[Cenário]],Tabela4[[#All],[Status]],"Keyuser - Concluído ")</f>
        <v>7</v>
      </c>
      <c r="S351" t="str">
        <f>IF(Tabela4[[#This Row],[Tarefas por Cenário]]-Tabela4[[#This Row],[Tarefas Concluídas]]&gt;0,"Não","Sim")</f>
        <v>Não</v>
      </c>
      <c r="T351">
        <f>COUNTIFS(Tabela4[[#All],[Cenário]],Tabela4[[#This Row],[Cenário]],Tabela4[[#All],[Status]],Tabela4[[#Headers],[Elo - Em correção ]])</f>
        <v>0</v>
      </c>
      <c r="U351">
        <f>COUNTIFS(Tabela4[[#All],[Cenário]],Tabela4[[#This Row],[Cenário]],Tabela4[[#All],[Status]],Tabela4[[#Headers],[Keyuser - Aguardando tarefa precedente]])</f>
        <v>0</v>
      </c>
      <c r="V351">
        <f>COUNTIFS(Tabela4[[#All],[Cenário]],Tabela4[[#This Row],[Cenário]],Tabela4[[#All],[Status]],Tabela4[[#Headers],[Não liberado  para testes]])</f>
        <v>1</v>
      </c>
      <c r="W351" t="str">
        <f>IF(Tabela4[[#This Row],[Elo - Em correção ]]&gt;0,"Sim","Não")</f>
        <v>Não</v>
      </c>
      <c r="X351" t="str">
        <f>IF(Tabela4[[#This Row],[Keyuser - Aguardando tarefa precedente]]&gt;0,"Sim","Não")</f>
        <v>Não</v>
      </c>
      <c r="Y351" t="str">
        <f>IF(Tabela4[[#This Row],[Não liberado  para testes]]&gt;0,"Sim","Não")</f>
        <v>Sim</v>
      </c>
      <c r="Z351" t="str">
        <f ca="1">IF(Tabela4[[#This Row],[Status]]="Keyuser - Pendente",NETWORKDAYS(Tabela4[[#This Row],[Dt Inicial]],TODAY()),"")</f>
        <v/>
      </c>
      <c r="AA351" t="b">
        <f>AND(Tabela4[[#This Row],[Status]]="Keyuser - Aguardando tarefa precedente",K350="Keyuser - Concluído ")</f>
        <v>0</v>
      </c>
    </row>
    <row r="352" spans="1:27" x14ac:dyDescent="0.25">
      <c r="A352" t="str">
        <f>"OUT-"&amp;IFERROR(MID(Tabela4[[#This Row],[Cenário]],SEARCH("(",Tabela4[[#This Row],[Cenário]])+1,SEARCH(")",Tabela4[[#This Row],[Cenário]])-SEARCH("(",Tabela4[[#This Row],[Cenário]])-1),"")&amp;"_"&amp;ROW()</f>
        <v>OUT-Y044_352</v>
      </c>
      <c r="B352" t="s">
        <v>358</v>
      </c>
      <c r="C352" t="s">
        <v>568</v>
      </c>
      <c r="D352" t="s">
        <v>366</v>
      </c>
      <c r="E352">
        <v>3</v>
      </c>
      <c r="F352" t="s">
        <v>366</v>
      </c>
      <c r="G352" t="s">
        <v>367</v>
      </c>
      <c r="H352" s="9">
        <v>15603710</v>
      </c>
      <c r="I352" s="9" t="s">
        <v>569</v>
      </c>
      <c r="J352" s="9" t="s">
        <v>364</v>
      </c>
      <c r="K352" s="9" t="s">
        <v>271</v>
      </c>
      <c r="L352" s="78">
        <v>45986</v>
      </c>
      <c r="N352" s="78">
        <v>45986</v>
      </c>
      <c r="O352" s="31"/>
      <c r="P352" s="9"/>
      <c r="Q352" s="9">
        <f>COUNTIF(Tabela4[[#All],[Cenário]],Tabela4[[#This Row],[Cenário]])</f>
        <v>8</v>
      </c>
      <c r="R352">
        <f>COUNTIFS(Tabela4[[#All],[Cenário]],Tabela4[[#This Row],[Cenário]],Tabela4[[#All],[Status]],"Keyuser - Concluído ")</f>
        <v>7</v>
      </c>
      <c r="S352" t="str">
        <f>IF(Tabela4[[#This Row],[Tarefas por Cenário]]-Tabela4[[#This Row],[Tarefas Concluídas]]&gt;0,"Não","Sim")</f>
        <v>Não</v>
      </c>
      <c r="T352">
        <f>COUNTIFS(Tabela4[[#All],[Cenário]],Tabela4[[#This Row],[Cenário]],Tabela4[[#All],[Status]],Tabela4[[#Headers],[Elo - Em correção ]])</f>
        <v>0</v>
      </c>
      <c r="U352">
        <f>COUNTIFS(Tabela4[[#All],[Cenário]],Tabela4[[#This Row],[Cenário]],Tabela4[[#All],[Status]],Tabela4[[#Headers],[Keyuser - Aguardando tarefa precedente]])</f>
        <v>0</v>
      </c>
      <c r="V352">
        <f>COUNTIFS(Tabela4[[#All],[Cenário]],Tabela4[[#This Row],[Cenário]],Tabela4[[#All],[Status]],Tabela4[[#Headers],[Não liberado  para testes]])</f>
        <v>1</v>
      </c>
      <c r="W352" t="str">
        <f>IF(Tabela4[[#This Row],[Elo - Em correção ]]&gt;0,"Sim","Não")</f>
        <v>Não</v>
      </c>
      <c r="X352" t="str">
        <f>IF(Tabela4[[#This Row],[Keyuser - Aguardando tarefa precedente]]&gt;0,"Sim","Não")</f>
        <v>Não</v>
      </c>
      <c r="Y352" t="str">
        <f>IF(Tabela4[[#This Row],[Não liberado  para testes]]&gt;0,"Sim","Não")</f>
        <v>Sim</v>
      </c>
      <c r="Z352" t="str">
        <f ca="1">IF(Tabela4[[#This Row],[Status]]="Keyuser - Pendente",NETWORKDAYS(Tabela4[[#This Row],[Dt Inicial]],TODAY()),"")</f>
        <v/>
      </c>
      <c r="AA352" t="b">
        <f>AND(Tabela4[[#This Row],[Status]]="Keyuser - Aguardando tarefa precedente",K351="Keyuser - Concluído ")</f>
        <v>0</v>
      </c>
    </row>
    <row r="353" spans="1:27" x14ac:dyDescent="0.25">
      <c r="A353" t="str">
        <f>"OUT-"&amp;IFERROR(MID(Tabela4[[#This Row],[Cenário]],SEARCH("(",Tabela4[[#This Row],[Cenário]])+1,SEARCH(")",Tabela4[[#This Row],[Cenário]])-SEARCH("(",Tabela4[[#This Row],[Cenário]])-1),"")&amp;"_"&amp;ROW()</f>
        <v>OUT-Y044_353</v>
      </c>
      <c r="B353" t="s">
        <v>358</v>
      </c>
      <c r="C353" t="s">
        <v>568</v>
      </c>
      <c r="D353" t="s">
        <v>368</v>
      </c>
      <c r="E353">
        <v>4</v>
      </c>
      <c r="F353" t="s">
        <v>368</v>
      </c>
      <c r="G353" t="s">
        <v>369</v>
      </c>
      <c r="H353" s="9" t="s">
        <v>570</v>
      </c>
      <c r="I353" s="13"/>
      <c r="J353" s="13" t="s">
        <v>364</v>
      </c>
      <c r="K353" s="9" t="s">
        <v>271</v>
      </c>
      <c r="L353" s="78">
        <v>45987</v>
      </c>
      <c r="N353" s="78">
        <v>45987</v>
      </c>
      <c r="O353" s="48"/>
      <c r="P353" s="9"/>
      <c r="Q353" s="9">
        <f>COUNTIF(Tabela4[[#All],[Cenário]],Tabela4[[#This Row],[Cenário]])</f>
        <v>8</v>
      </c>
      <c r="R353">
        <f>COUNTIFS(Tabela4[[#All],[Cenário]],Tabela4[[#This Row],[Cenário]],Tabela4[[#All],[Status]],"Keyuser - Concluído ")</f>
        <v>7</v>
      </c>
      <c r="S353" t="str">
        <f>IF(Tabela4[[#This Row],[Tarefas por Cenário]]-Tabela4[[#This Row],[Tarefas Concluídas]]&gt;0,"Não","Sim")</f>
        <v>Não</v>
      </c>
      <c r="T353">
        <f>COUNTIFS(Tabela4[[#All],[Cenário]],Tabela4[[#This Row],[Cenário]],Tabela4[[#All],[Status]],Tabela4[[#Headers],[Elo - Em correção ]])</f>
        <v>0</v>
      </c>
      <c r="U353">
        <f>COUNTIFS(Tabela4[[#All],[Cenário]],Tabela4[[#This Row],[Cenário]],Tabela4[[#All],[Status]],Tabela4[[#Headers],[Keyuser - Aguardando tarefa precedente]])</f>
        <v>0</v>
      </c>
      <c r="V353">
        <f>COUNTIFS(Tabela4[[#All],[Cenário]],Tabela4[[#This Row],[Cenário]],Tabela4[[#All],[Status]],Tabela4[[#Headers],[Não liberado  para testes]])</f>
        <v>1</v>
      </c>
      <c r="W353" t="str">
        <f>IF(Tabela4[[#This Row],[Elo - Em correção ]]&gt;0,"Sim","Não")</f>
        <v>Não</v>
      </c>
      <c r="X353" t="str">
        <f>IF(Tabela4[[#This Row],[Keyuser - Aguardando tarefa precedente]]&gt;0,"Sim","Não")</f>
        <v>Não</v>
      </c>
      <c r="Y353" t="str">
        <f>IF(Tabela4[[#This Row],[Não liberado  para testes]]&gt;0,"Sim","Não")</f>
        <v>Sim</v>
      </c>
      <c r="Z353" t="str">
        <f ca="1">IF(Tabela4[[#This Row],[Status]]="Keyuser - Pendente",NETWORKDAYS(Tabela4[[#This Row],[Dt Inicial]],TODAY()),"")</f>
        <v/>
      </c>
      <c r="AA353" t="b">
        <f>AND(Tabela4[[#This Row],[Status]]="Keyuser - Aguardando tarefa precedente",K352="Keyuser - Concluído ")</f>
        <v>0</v>
      </c>
    </row>
    <row r="354" spans="1:27" x14ac:dyDescent="0.25">
      <c r="A354" t="str">
        <f>"OUT-"&amp;IFERROR(MID(Tabela4[[#This Row],[Cenário]],SEARCH("(",Tabela4[[#This Row],[Cenário]])+1,SEARCH(")",Tabela4[[#This Row],[Cenário]])-SEARCH("(",Tabela4[[#This Row],[Cenário]])-1),"")&amp;"_"&amp;ROW()</f>
        <v>OUT-Y044_354</v>
      </c>
      <c r="B354" t="s">
        <v>358</v>
      </c>
      <c r="C354" t="s">
        <v>568</v>
      </c>
      <c r="D354" t="s">
        <v>434</v>
      </c>
      <c r="E354">
        <v>5</v>
      </c>
      <c r="F354" t="s">
        <v>435</v>
      </c>
      <c r="G354" t="s">
        <v>287</v>
      </c>
      <c r="H354" s="9" t="s">
        <v>570</v>
      </c>
      <c r="I354" s="13"/>
      <c r="J354" s="13"/>
      <c r="K354" s="9" t="s">
        <v>271</v>
      </c>
      <c r="L354" s="78" t="s">
        <v>567</v>
      </c>
      <c r="N354" s="78">
        <v>45988</v>
      </c>
      <c r="O354" s="48"/>
      <c r="P354" s="9"/>
      <c r="Q354" s="9">
        <f>COUNTIF(Tabela4[[#All],[Cenário]],Tabela4[[#This Row],[Cenário]])</f>
        <v>8</v>
      </c>
      <c r="R354">
        <f>COUNTIFS(Tabela4[[#All],[Cenário]],Tabela4[[#This Row],[Cenário]],Tabela4[[#All],[Status]],"Keyuser - Concluído ")</f>
        <v>7</v>
      </c>
      <c r="S354" t="str">
        <f>IF(Tabela4[[#This Row],[Tarefas por Cenário]]-Tabela4[[#This Row],[Tarefas Concluídas]]&gt;0,"Não","Sim")</f>
        <v>Não</v>
      </c>
      <c r="T354">
        <f>COUNTIFS(Tabela4[[#All],[Cenário]],Tabela4[[#This Row],[Cenário]],Tabela4[[#All],[Status]],Tabela4[[#Headers],[Elo - Em correção ]])</f>
        <v>0</v>
      </c>
      <c r="U354">
        <f>COUNTIFS(Tabela4[[#All],[Cenário]],Tabela4[[#This Row],[Cenário]],Tabela4[[#All],[Status]],Tabela4[[#Headers],[Keyuser - Aguardando tarefa precedente]])</f>
        <v>0</v>
      </c>
      <c r="V354">
        <f>COUNTIFS(Tabela4[[#All],[Cenário]],Tabela4[[#This Row],[Cenário]],Tabela4[[#All],[Status]],Tabela4[[#Headers],[Não liberado  para testes]])</f>
        <v>1</v>
      </c>
      <c r="W354" t="str">
        <f>IF(Tabela4[[#This Row],[Elo - Em correção ]]&gt;0,"Sim","Não")</f>
        <v>Não</v>
      </c>
      <c r="X354" t="str">
        <f>IF(Tabela4[[#This Row],[Keyuser - Aguardando tarefa precedente]]&gt;0,"Sim","Não")</f>
        <v>Não</v>
      </c>
      <c r="Y354" t="str">
        <f>IF(Tabela4[[#This Row],[Não liberado  para testes]]&gt;0,"Sim","Não")</f>
        <v>Sim</v>
      </c>
      <c r="Z354" t="str">
        <f ca="1">IF(Tabela4[[#This Row],[Status]]="Keyuser - Pendente",NETWORKDAYS(Tabela4[[#This Row],[Dt Inicial]],TODAY()),"")</f>
        <v/>
      </c>
      <c r="AA354" t="b">
        <f>AND(Tabela4[[#This Row],[Status]]="Keyuser - Aguardando tarefa precedente",K353="Keyuser - Concluído ")</f>
        <v>0</v>
      </c>
    </row>
    <row r="355" spans="1:27" x14ac:dyDescent="0.25">
      <c r="A355" t="str">
        <f>"OUT-"&amp;IFERROR(MID(Tabela4[[#This Row],[Cenário]],SEARCH("(",Tabela4[[#This Row],[Cenário]])+1,SEARCH(")",Tabela4[[#This Row],[Cenário]])-SEARCH("(",Tabela4[[#This Row],[Cenário]])-1),"")&amp;"_"&amp;ROW()</f>
        <v>OUT-Y044_355</v>
      </c>
      <c r="B355" t="s">
        <v>358</v>
      </c>
      <c r="C355" t="s">
        <v>568</v>
      </c>
      <c r="D355" t="s">
        <v>373</v>
      </c>
      <c r="E355">
        <v>6</v>
      </c>
      <c r="F355" t="s">
        <v>373</v>
      </c>
      <c r="G355" t="s">
        <v>283</v>
      </c>
      <c r="H355" s="9" t="s">
        <v>570</v>
      </c>
      <c r="I355" s="13"/>
      <c r="J355" s="13"/>
      <c r="K355" s="9" t="s">
        <v>271</v>
      </c>
      <c r="L355" s="78" t="s">
        <v>567</v>
      </c>
      <c r="N355" s="78">
        <v>45988</v>
      </c>
      <c r="O355" s="31"/>
      <c r="P355" s="9"/>
      <c r="Q355" s="9">
        <f>COUNTIF(Tabela4[[#All],[Cenário]],Tabela4[[#This Row],[Cenário]])</f>
        <v>8</v>
      </c>
      <c r="R355">
        <f>COUNTIFS(Tabela4[[#All],[Cenário]],Tabela4[[#This Row],[Cenário]],Tabela4[[#All],[Status]],"Keyuser - Concluído ")</f>
        <v>7</v>
      </c>
      <c r="S355" t="str">
        <f>IF(Tabela4[[#This Row],[Tarefas por Cenário]]-Tabela4[[#This Row],[Tarefas Concluídas]]&gt;0,"Não","Sim")</f>
        <v>Não</v>
      </c>
      <c r="T355">
        <f>COUNTIFS(Tabela4[[#All],[Cenário]],Tabela4[[#This Row],[Cenário]],Tabela4[[#All],[Status]],Tabela4[[#Headers],[Elo - Em correção ]])</f>
        <v>0</v>
      </c>
      <c r="U355">
        <f>COUNTIFS(Tabela4[[#All],[Cenário]],Tabela4[[#This Row],[Cenário]],Tabela4[[#All],[Status]],Tabela4[[#Headers],[Keyuser - Aguardando tarefa precedente]])</f>
        <v>0</v>
      </c>
      <c r="V355">
        <f>COUNTIFS(Tabela4[[#All],[Cenário]],Tabela4[[#This Row],[Cenário]],Tabela4[[#All],[Status]],Tabela4[[#Headers],[Não liberado  para testes]])</f>
        <v>1</v>
      </c>
      <c r="W355" t="str">
        <f>IF(Tabela4[[#This Row],[Elo - Em correção ]]&gt;0,"Sim","Não")</f>
        <v>Não</v>
      </c>
      <c r="X355" t="str">
        <f>IF(Tabela4[[#This Row],[Keyuser - Aguardando tarefa precedente]]&gt;0,"Sim","Não")</f>
        <v>Não</v>
      </c>
      <c r="Y355" t="str">
        <f>IF(Tabela4[[#This Row],[Não liberado  para testes]]&gt;0,"Sim","Não")</f>
        <v>Sim</v>
      </c>
      <c r="Z355" t="str">
        <f ca="1">IF(Tabela4[[#This Row],[Status]]="Keyuser - Pendente",NETWORKDAYS(Tabela4[[#This Row],[Dt Inicial]],TODAY()),"")</f>
        <v/>
      </c>
      <c r="AA355" t="b">
        <f>AND(Tabela4[[#This Row],[Status]]="Keyuser - Aguardando tarefa precedente",K354="Keyuser - Concluído ")</f>
        <v>0</v>
      </c>
    </row>
    <row r="356" spans="1:27" x14ac:dyDescent="0.25">
      <c r="A356" t="str">
        <f>"OUT-"&amp;IFERROR(MID(Tabela4[[#This Row],[Cenário]],SEARCH("(",Tabela4[[#This Row],[Cenário]])+1,SEARCH(")",Tabela4[[#This Row],[Cenário]])-SEARCH("(",Tabela4[[#This Row],[Cenário]])-1),"")&amp;"_"&amp;ROW()</f>
        <v>OUT-Y044_356</v>
      </c>
      <c r="B356" t="s">
        <v>374</v>
      </c>
      <c r="C356" t="s">
        <v>568</v>
      </c>
      <c r="D356" t="s">
        <v>286</v>
      </c>
      <c r="E356">
        <v>7</v>
      </c>
      <c r="F356" t="s">
        <v>286</v>
      </c>
      <c r="G356" t="s">
        <v>287</v>
      </c>
      <c r="I356" s="13"/>
      <c r="J356" s="13"/>
      <c r="K356" s="9" t="s">
        <v>262</v>
      </c>
      <c r="N356" s="78"/>
      <c r="O356" s="31"/>
      <c r="P356" s="9"/>
      <c r="Q356" s="9">
        <f>COUNTIF(Tabela4[[#All],[Cenário]],Tabela4[[#This Row],[Cenário]])</f>
        <v>8</v>
      </c>
      <c r="R356">
        <f>COUNTIFS(Tabela4[[#All],[Cenário]],Tabela4[[#This Row],[Cenário]],Tabela4[[#All],[Status]],"Keyuser - Concluído ")</f>
        <v>7</v>
      </c>
      <c r="S356" t="str">
        <f>IF(Tabela4[[#This Row],[Tarefas por Cenário]]-Tabela4[[#This Row],[Tarefas Concluídas]]&gt;0,"Não","Sim")</f>
        <v>Não</v>
      </c>
      <c r="T356">
        <f>COUNTIFS(Tabela4[[#All],[Cenário]],Tabela4[[#This Row],[Cenário]],Tabela4[[#All],[Status]],Tabela4[[#Headers],[Elo - Em correção ]])</f>
        <v>0</v>
      </c>
      <c r="U356">
        <f>COUNTIFS(Tabela4[[#All],[Cenário]],Tabela4[[#This Row],[Cenário]],Tabela4[[#All],[Status]],Tabela4[[#Headers],[Keyuser - Aguardando tarefa precedente]])</f>
        <v>0</v>
      </c>
      <c r="V356">
        <f>COUNTIFS(Tabela4[[#All],[Cenário]],Tabela4[[#This Row],[Cenário]],Tabela4[[#All],[Status]],Tabela4[[#Headers],[Não liberado  para testes]])</f>
        <v>1</v>
      </c>
      <c r="W356" t="str">
        <f>IF(Tabela4[[#This Row],[Elo - Em correção ]]&gt;0,"Sim","Não")</f>
        <v>Não</v>
      </c>
      <c r="X356" t="str">
        <f>IF(Tabela4[[#This Row],[Keyuser - Aguardando tarefa precedente]]&gt;0,"Sim","Não")</f>
        <v>Não</v>
      </c>
      <c r="Y356" t="str">
        <f>IF(Tabela4[[#This Row],[Não liberado  para testes]]&gt;0,"Sim","Não")</f>
        <v>Sim</v>
      </c>
      <c r="Z356" t="str">
        <f ca="1">IF(Tabela4[[#This Row],[Status]]="Keyuser - Pendente",NETWORKDAYS(Tabela4[[#This Row],[Dt Inicial]],TODAY()),"")</f>
        <v/>
      </c>
      <c r="AA356" t="b">
        <f>AND(Tabela4[[#This Row],[Status]]="Keyuser - Aguardando tarefa precedente",K355="Keyuser - Concluído ")</f>
        <v>0</v>
      </c>
    </row>
    <row r="357" spans="1:27" x14ac:dyDescent="0.25">
      <c r="A357" t="str">
        <f>"OUT-"&amp;IFERROR(MID(Tabela4[[#This Row],[Cenário]],SEARCH("(",Tabela4[[#This Row],[Cenário]])+1,SEARCH(")",Tabela4[[#This Row],[Cenário]])-SEARCH("(",Tabela4[[#This Row],[Cenário]])-1),"")&amp;"_"&amp;ROW()</f>
        <v>OUT-Y044_357</v>
      </c>
      <c r="B357" t="s">
        <v>358</v>
      </c>
      <c r="C357" t="s">
        <v>568</v>
      </c>
      <c r="D357" t="s">
        <v>375</v>
      </c>
      <c r="E357">
        <v>8</v>
      </c>
      <c r="F357" t="s">
        <v>375</v>
      </c>
      <c r="G357" t="s">
        <v>367</v>
      </c>
      <c r="H357" s="9" t="s">
        <v>570</v>
      </c>
      <c r="I357" s="13"/>
      <c r="J357" s="13"/>
      <c r="K357" s="9" t="s">
        <v>271</v>
      </c>
      <c r="L357" s="78">
        <v>45989</v>
      </c>
      <c r="N357" s="78">
        <v>45989</v>
      </c>
      <c r="O357" s="31"/>
      <c r="P357" s="9"/>
      <c r="Q357" s="9">
        <f>COUNTIF(Tabela4[[#All],[Cenário]],Tabela4[[#This Row],[Cenário]])</f>
        <v>8</v>
      </c>
      <c r="R357">
        <f>COUNTIFS(Tabela4[[#All],[Cenário]],Tabela4[[#This Row],[Cenário]],Tabela4[[#All],[Status]],"Keyuser - Concluído ")</f>
        <v>7</v>
      </c>
      <c r="S357" t="str">
        <f>IF(Tabela4[[#This Row],[Tarefas por Cenário]]-Tabela4[[#This Row],[Tarefas Concluídas]]&gt;0,"Não","Sim")</f>
        <v>Não</v>
      </c>
      <c r="T357">
        <f>COUNTIFS(Tabela4[[#All],[Cenário]],Tabela4[[#This Row],[Cenário]],Tabela4[[#All],[Status]],Tabela4[[#Headers],[Elo - Em correção ]])</f>
        <v>0</v>
      </c>
      <c r="U357">
        <f>COUNTIFS(Tabela4[[#All],[Cenário]],Tabela4[[#This Row],[Cenário]],Tabela4[[#All],[Status]],Tabela4[[#Headers],[Keyuser - Aguardando tarefa precedente]])</f>
        <v>0</v>
      </c>
      <c r="V357">
        <f>COUNTIFS(Tabela4[[#All],[Cenário]],Tabela4[[#This Row],[Cenário]],Tabela4[[#All],[Status]],Tabela4[[#Headers],[Não liberado  para testes]])</f>
        <v>1</v>
      </c>
      <c r="W357" t="str">
        <f>IF(Tabela4[[#This Row],[Elo - Em correção ]]&gt;0,"Sim","Não")</f>
        <v>Não</v>
      </c>
      <c r="X357" t="str">
        <f>IF(Tabela4[[#This Row],[Keyuser - Aguardando tarefa precedente]]&gt;0,"Sim","Não")</f>
        <v>Não</v>
      </c>
      <c r="Y357" t="str">
        <f>IF(Tabela4[[#This Row],[Não liberado  para testes]]&gt;0,"Sim","Não")</f>
        <v>Sim</v>
      </c>
      <c r="Z357" t="str">
        <f ca="1">IF(Tabela4[[#This Row],[Status]]="Keyuser - Pendente",NETWORKDAYS(Tabela4[[#This Row],[Dt Inicial]],TODAY()),"")</f>
        <v/>
      </c>
      <c r="AA357" t="b">
        <f>AND(Tabela4[[#This Row],[Status]]="Keyuser - Aguardando tarefa precedente",K356="Keyuser - Concluído ")</f>
        <v>0</v>
      </c>
    </row>
    <row r="358" spans="1:27" x14ac:dyDescent="0.25">
      <c r="A358" t="str">
        <f>"OUT-"&amp;IFERROR(MID(Tabela4[[#This Row],[Cenário]],SEARCH("(",Tabela4[[#This Row],[Cenário]])+1,SEARCH(")",Tabela4[[#This Row],[Cenário]])-SEARCH("(",Tabela4[[#This Row],[Cenário]])-1),"")&amp;"_"&amp;ROW()</f>
        <v>OUT-YSRS_358</v>
      </c>
      <c r="B358" t="s">
        <v>358</v>
      </c>
      <c r="C358" t="s">
        <v>571</v>
      </c>
      <c r="D358" t="s">
        <v>360</v>
      </c>
      <c r="E358">
        <v>1</v>
      </c>
      <c r="F358" t="s">
        <v>360</v>
      </c>
      <c r="G358" t="s">
        <v>377</v>
      </c>
      <c r="H358" s="13"/>
      <c r="I358" s="13"/>
      <c r="J358" s="13"/>
      <c r="K358" s="9" t="s">
        <v>294</v>
      </c>
      <c r="N358" s="78"/>
      <c r="O358" s="31" t="s">
        <v>572</v>
      </c>
      <c r="P358" s="9"/>
      <c r="Q358" s="9">
        <f>COUNTIF(Tabela4[[#All],[Cenário]],Tabela4[[#This Row],[Cenário]])</f>
        <v>6</v>
      </c>
      <c r="R358">
        <f>COUNTIFS(Tabela4[[#All],[Cenário]],Tabela4[[#This Row],[Cenário]],Tabela4[[#All],[Status]],"Keyuser - Concluído ")</f>
        <v>0</v>
      </c>
      <c r="S358" t="str">
        <f>IF(Tabela4[[#This Row],[Tarefas por Cenário]]-Tabela4[[#This Row],[Tarefas Concluídas]]&gt;0,"Não","Sim")</f>
        <v>Não</v>
      </c>
      <c r="T358">
        <f>COUNTIFS(Tabela4[[#All],[Cenário]],Tabela4[[#This Row],[Cenário]],Tabela4[[#All],[Status]],Tabela4[[#Headers],[Elo - Em correção ]])</f>
        <v>0</v>
      </c>
      <c r="U358">
        <f>COUNTIFS(Tabela4[[#All],[Cenário]],Tabela4[[#This Row],[Cenário]],Tabela4[[#All],[Status]],Tabela4[[#Headers],[Keyuser - Aguardando tarefa precedente]])</f>
        <v>0</v>
      </c>
      <c r="V358">
        <f>COUNTIFS(Tabela4[[#All],[Cenário]],Tabela4[[#This Row],[Cenário]],Tabela4[[#All],[Status]],Tabela4[[#Headers],[Não liberado  para testes]])</f>
        <v>0</v>
      </c>
      <c r="W358" t="str">
        <f>IF(Tabela4[[#This Row],[Elo - Em correção ]]&gt;0,"Sim","Não")</f>
        <v>Não</v>
      </c>
      <c r="X358" t="str">
        <f>IF(Tabela4[[#This Row],[Keyuser - Aguardando tarefa precedente]]&gt;0,"Sim","Não")</f>
        <v>Não</v>
      </c>
      <c r="Y358" t="str">
        <f>IF(Tabela4[[#This Row],[Não liberado  para testes]]&gt;0,"Sim","Não")</f>
        <v>Não</v>
      </c>
      <c r="Z358" t="str">
        <f ca="1">IF(Tabela4[[#This Row],[Status]]="Keyuser - Pendente",NETWORKDAYS(Tabela4[[#This Row],[Dt Inicial]],TODAY()),"")</f>
        <v/>
      </c>
      <c r="AA358" t="b">
        <f>AND(Tabela4[[#This Row],[Status]]="Keyuser - Aguardando tarefa precedente",K357="Keyuser - Concluído ")</f>
        <v>0</v>
      </c>
    </row>
    <row r="359" spans="1:27" x14ac:dyDescent="0.25">
      <c r="A359" t="str">
        <f>"OUT-"&amp;IFERROR(MID(Tabela4[[#This Row],[Cenário]],SEARCH("(",Tabela4[[#This Row],[Cenário]])+1,SEARCH(")",Tabela4[[#This Row],[Cenário]])-SEARCH("(",Tabela4[[#This Row],[Cenário]])-1),"")&amp;"_"&amp;ROW()</f>
        <v>OUT-YSRS_359</v>
      </c>
      <c r="B359" t="s">
        <v>358</v>
      </c>
      <c r="C359" t="s">
        <v>571</v>
      </c>
      <c r="D359" t="s">
        <v>365</v>
      </c>
      <c r="E359">
        <v>2</v>
      </c>
      <c r="F359" t="s">
        <v>365</v>
      </c>
      <c r="G359" t="s">
        <v>310</v>
      </c>
      <c r="H359" s="13"/>
      <c r="I359" s="13"/>
      <c r="J359" s="13"/>
      <c r="K359" s="9" t="s">
        <v>294</v>
      </c>
      <c r="N359" s="78"/>
      <c r="O359" s="31" t="s">
        <v>572</v>
      </c>
      <c r="P359" s="9"/>
      <c r="Q359" s="9">
        <f>COUNTIF(Tabela4[[#All],[Cenário]],Tabela4[[#This Row],[Cenário]])</f>
        <v>6</v>
      </c>
      <c r="R359">
        <f>COUNTIFS(Tabela4[[#All],[Cenário]],Tabela4[[#This Row],[Cenário]],Tabela4[[#All],[Status]],"Keyuser - Concluído ")</f>
        <v>0</v>
      </c>
      <c r="S359" t="str">
        <f>IF(Tabela4[[#This Row],[Tarefas por Cenário]]-Tabela4[[#This Row],[Tarefas Concluídas]]&gt;0,"Não","Sim")</f>
        <v>Não</v>
      </c>
      <c r="T359">
        <f>COUNTIFS(Tabela4[[#All],[Cenário]],Tabela4[[#This Row],[Cenário]],Tabela4[[#All],[Status]],Tabela4[[#Headers],[Elo - Em correção ]])</f>
        <v>0</v>
      </c>
      <c r="U359">
        <f>COUNTIFS(Tabela4[[#All],[Cenário]],Tabela4[[#This Row],[Cenário]],Tabela4[[#All],[Status]],Tabela4[[#Headers],[Keyuser - Aguardando tarefa precedente]])</f>
        <v>0</v>
      </c>
      <c r="V359">
        <f>COUNTIFS(Tabela4[[#All],[Cenário]],Tabela4[[#This Row],[Cenário]],Tabela4[[#All],[Status]],Tabela4[[#Headers],[Não liberado  para testes]])</f>
        <v>0</v>
      </c>
      <c r="W359" t="str">
        <f>IF(Tabela4[[#This Row],[Elo - Em correção ]]&gt;0,"Sim","Não")</f>
        <v>Não</v>
      </c>
      <c r="X359" t="str">
        <f>IF(Tabela4[[#This Row],[Keyuser - Aguardando tarefa precedente]]&gt;0,"Sim","Não")</f>
        <v>Não</v>
      </c>
      <c r="Y359" t="str">
        <f>IF(Tabela4[[#This Row],[Não liberado  para testes]]&gt;0,"Sim","Não")</f>
        <v>Não</v>
      </c>
      <c r="Z359" t="str">
        <f ca="1">IF(Tabela4[[#This Row],[Status]]="Keyuser - Pendente",NETWORKDAYS(Tabela4[[#This Row],[Dt Inicial]],TODAY()),"")</f>
        <v/>
      </c>
      <c r="AA359" t="b">
        <f>AND(Tabela4[[#This Row],[Status]]="Keyuser - Aguardando tarefa precedente",K358="Keyuser - Concluído ")</f>
        <v>0</v>
      </c>
    </row>
    <row r="360" spans="1:27" x14ac:dyDescent="0.25">
      <c r="A360" t="str">
        <f>"OUT-"&amp;IFERROR(MID(Tabela4[[#This Row],[Cenário]],SEARCH("(",Tabela4[[#This Row],[Cenário]])+1,SEARCH(")",Tabela4[[#This Row],[Cenário]])-SEARCH("(",Tabela4[[#This Row],[Cenário]])-1),"")&amp;"_"&amp;ROW()</f>
        <v>OUT-YSRS_360</v>
      </c>
      <c r="B360" t="s">
        <v>358</v>
      </c>
      <c r="C360" t="s">
        <v>571</v>
      </c>
      <c r="D360" t="s">
        <v>368</v>
      </c>
      <c r="E360">
        <v>3</v>
      </c>
      <c r="F360" t="s">
        <v>368</v>
      </c>
      <c r="G360" t="s">
        <v>377</v>
      </c>
      <c r="H360" s="13"/>
      <c r="I360" s="13"/>
      <c r="J360" s="13"/>
      <c r="K360" s="9" t="s">
        <v>294</v>
      </c>
      <c r="N360" s="78"/>
      <c r="O360" s="31" t="s">
        <v>572</v>
      </c>
      <c r="P360" s="9"/>
      <c r="Q360" s="9">
        <f>COUNTIF(Tabela4[[#All],[Cenário]],Tabela4[[#This Row],[Cenário]])</f>
        <v>6</v>
      </c>
      <c r="R360">
        <f>COUNTIFS(Tabela4[[#All],[Cenário]],Tabela4[[#This Row],[Cenário]],Tabela4[[#All],[Status]],"Keyuser - Concluído ")</f>
        <v>0</v>
      </c>
      <c r="S360" t="str">
        <f>IF(Tabela4[[#This Row],[Tarefas por Cenário]]-Tabela4[[#This Row],[Tarefas Concluídas]]&gt;0,"Não","Sim")</f>
        <v>Não</v>
      </c>
      <c r="T360">
        <f>COUNTIFS(Tabela4[[#All],[Cenário]],Tabela4[[#This Row],[Cenário]],Tabela4[[#All],[Status]],Tabela4[[#Headers],[Elo - Em correção ]])</f>
        <v>0</v>
      </c>
      <c r="U360">
        <f>COUNTIFS(Tabela4[[#All],[Cenário]],Tabela4[[#This Row],[Cenário]],Tabela4[[#All],[Status]],Tabela4[[#Headers],[Keyuser - Aguardando tarefa precedente]])</f>
        <v>0</v>
      </c>
      <c r="V360">
        <f>COUNTIFS(Tabela4[[#All],[Cenário]],Tabela4[[#This Row],[Cenário]],Tabela4[[#All],[Status]],Tabela4[[#Headers],[Não liberado  para testes]])</f>
        <v>0</v>
      </c>
      <c r="W360" t="str">
        <f>IF(Tabela4[[#This Row],[Elo - Em correção ]]&gt;0,"Sim","Não")</f>
        <v>Não</v>
      </c>
      <c r="X360" t="str">
        <f>IF(Tabela4[[#This Row],[Keyuser - Aguardando tarefa precedente]]&gt;0,"Sim","Não")</f>
        <v>Não</v>
      </c>
      <c r="Y360" t="str">
        <f>IF(Tabela4[[#This Row],[Não liberado  para testes]]&gt;0,"Sim","Não")</f>
        <v>Não</v>
      </c>
      <c r="Z360" t="str">
        <f ca="1">IF(Tabela4[[#This Row],[Status]]="Keyuser - Pendente",NETWORKDAYS(Tabela4[[#This Row],[Dt Inicial]],TODAY()),"")</f>
        <v/>
      </c>
      <c r="AA360" t="b">
        <f>AND(Tabela4[[#This Row],[Status]]="Keyuser - Aguardando tarefa precedente",K359="Keyuser - Concluído ")</f>
        <v>0</v>
      </c>
    </row>
    <row r="361" spans="1:27" x14ac:dyDescent="0.25">
      <c r="A361" t="str">
        <f>"OUT-"&amp;IFERROR(MID(Tabela4[[#This Row],[Cenário]],SEARCH("(",Tabela4[[#This Row],[Cenário]])+1,SEARCH(")",Tabela4[[#This Row],[Cenário]])-SEARCH("(",Tabela4[[#This Row],[Cenário]])-1),"")&amp;"_"&amp;ROW()</f>
        <v>OUT-YSRS_361</v>
      </c>
      <c r="B361" t="s">
        <v>358</v>
      </c>
      <c r="C361" t="s">
        <v>571</v>
      </c>
      <c r="D361" t="s">
        <v>371</v>
      </c>
      <c r="E361">
        <v>4</v>
      </c>
      <c r="F361" t="s">
        <v>372</v>
      </c>
      <c r="G361" t="s">
        <v>287</v>
      </c>
      <c r="H361" s="13"/>
      <c r="I361" s="13"/>
      <c r="J361" s="13"/>
      <c r="K361" s="9" t="s">
        <v>294</v>
      </c>
      <c r="N361" s="78"/>
      <c r="O361" s="31" t="s">
        <v>572</v>
      </c>
      <c r="P361" s="9"/>
      <c r="Q361" s="9">
        <f>COUNTIF(Tabela4[[#All],[Cenário]],Tabela4[[#This Row],[Cenário]])</f>
        <v>6</v>
      </c>
      <c r="R361">
        <f>COUNTIFS(Tabela4[[#All],[Cenário]],Tabela4[[#This Row],[Cenário]],Tabela4[[#All],[Status]],"Keyuser - Concluído ")</f>
        <v>0</v>
      </c>
      <c r="S361" t="str">
        <f>IF(Tabela4[[#This Row],[Tarefas por Cenário]]-Tabela4[[#This Row],[Tarefas Concluídas]]&gt;0,"Não","Sim")</f>
        <v>Não</v>
      </c>
      <c r="T361">
        <f>COUNTIFS(Tabela4[[#All],[Cenário]],Tabela4[[#This Row],[Cenário]],Tabela4[[#All],[Status]],Tabela4[[#Headers],[Elo - Em correção ]])</f>
        <v>0</v>
      </c>
      <c r="U361">
        <f>COUNTIFS(Tabela4[[#All],[Cenário]],Tabela4[[#This Row],[Cenário]],Tabela4[[#All],[Status]],Tabela4[[#Headers],[Keyuser - Aguardando tarefa precedente]])</f>
        <v>0</v>
      </c>
      <c r="V361">
        <f>COUNTIFS(Tabela4[[#All],[Cenário]],Tabela4[[#This Row],[Cenário]],Tabela4[[#All],[Status]],Tabela4[[#Headers],[Não liberado  para testes]])</f>
        <v>0</v>
      </c>
      <c r="W361" t="str">
        <f>IF(Tabela4[[#This Row],[Elo - Em correção ]]&gt;0,"Sim","Não")</f>
        <v>Não</v>
      </c>
      <c r="X361" t="str">
        <f>IF(Tabela4[[#This Row],[Keyuser - Aguardando tarefa precedente]]&gt;0,"Sim","Não")</f>
        <v>Não</v>
      </c>
      <c r="Y361" t="str">
        <f>IF(Tabela4[[#This Row],[Não liberado  para testes]]&gt;0,"Sim","Não")</f>
        <v>Não</v>
      </c>
      <c r="Z361" t="str">
        <f ca="1">IF(Tabela4[[#This Row],[Status]]="Keyuser - Pendente",NETWORKDAYS(Tabela4[[#This Row],[Dt Inicial]],TODAY()),"")</f>
        <v/>
      </c>
      <c r="AA361" t="b">
        <f>AND(Tabela4[[#This Row],[Status]]="Keyuser - Aguardando tarefa precedente",K360="Keyuser - Concluído ")</f>
        <v>0</v>
      </c>
    </row>
    <row r="362" spans="1:27" x14ac:dyDescent="0.25">
      <c r="A362" t="str">
        <f>"OUT-"&amp;IFERROR(MID(Tabela4[[#This Row],[Cenário]],SEARCH("(",Tabela4[[#This Row],[Cenário]])+1,SEARCH(")",Tabela4[[#This Row],[Cenário]])-SEARCH("(",Tabela4[[#This Row],[Cenário]])-1),"")&amp;"_"&amp;ROW()</f>
        <v>OUT-YSRS_362</v>
      </c>
      <c r="B362" t="s">
        <v>358</v>
      </c>
      <c r="C362" t="s">
        <v>571</v>
      </c>
      <c r="D362" t="s">
        <v>373</v>
      </c>
      <c r="E362">
        <v>5</v>
      </c>
      <c r="F362" t="s">
        <v>373</v>
      </c>
      <c r="G362" t="s">
        <v>283</v>
      </c>
      <c r="H362" s="13"/>
      <c r="I362" s="13"/>
      <c r="J362" s="13"/>
      <c r="K362" s="9" t="s">
        <v>294</v>
      </c>
      <c r="N362" s="78"/>
      <c r="O362" s="31" t="s">
        <v>572</v>
      </c>
      <c r="P362" s="9"/>
      <c r="Q362" s="9">
        <f>COUNTIF(Tabela4[[#All],[Cenário]],Tabela4[[#This Row],[Cenário]])</f>
        <v>6</v>
      </c>
      <c r="R362">
        <f>COUNTIFS(Tabela4[[#All],[Cenário]],Tabela4[[#This Row],[Cenário]],Tabela4[[#All],[Status]],"Keyuser - Concluído ")</f>
        <v>0</v>
      </c>
      <c r="S362" t="str">
        <f>IF(Tabela4[[#This Row],[Tarefas por Cenário]]-Tabela4[[#This Row],[Tarefas Concluídas]]&gt;0,"Não","Sim")</f>
        <v>Não</v>
      </c>
      <c r="T362">
        <f>COUNTIFS(Tabela4[[#All],[Cenário]],Tabela4[[#This Row],[Cenário]],Tabela4[[#All],[Status]],Tabela4[[#Headers],[Elo - Em correção ]])</f>
        <v>0</v>
      </c>
      <c r="U362">
        <f>COUNTIFS(Tabela4[[#All],[Cenário]],Tabela4[[#This Row],[Cenário]],Tabela4[[#All],[Status]],Tabela4[[#Headers],[Keyuser - Aguardando tarefa precedente]])</f>
        <v>0</v>
      </c>
      <c r="V362">
        <f>COUNTIFS(Tabela4[[#All],[Cenário]],Tabela4[[#This Row],[Cenário]],Tabela4[[#All],[Status]],Tabela4[[#Headers],[Não liberado  para testes]])</f>
        <v>0</v>
      </c>
      <c r="W362" t="str">
        <f>IF(Tabela4[[#This Row],[Elo - Em correção ]]&gt;0,"Sim","Não")</f>
        <v>Não</v>
      </c>
      <c r="X362" t="str">
        <f>IF(Tabela4[[#This Row],[Keyuser - Aguardando tarefa precedente]]&gt;0,"Sim","Não")</f>
        <v>Não</v>
      </c>
      <c r="Y362" t="str">
        <f>IF(Tabela4[[#This Row],[Não liberado  para testes]]&gt;0,"Sim","Não")</f>
        <v>Não</v>
      </c>
      <c r="Z362" t="str">
        <f ca="1">IF(Tabela4[[#This Row],[Status]]="Keyuser - Pendente",NETWORKDAYS(Tabela4[[#This Row],[Dt Inicial]],TODAY()),"")</f>
        <v/>
      </c>
      <c r="AA362" t="b">
        <f>AND(Tabela4[[#This Row],[Status]]="Keyuser - Aguardando tarefa precedente",K361="Keyuser - Concluído ")</f>
        <v>0</v>
      </c>
    </row>
    <row r="363" spans="1:27" x14ac:dyDescent="0.25">
      <c r="A363" t="str">
        <f>"OUT-"&amp;IFERROR(MID(Tabela4[[#This Row],[Cenário]],SEARCH("(",Tabela4[[#This Row],[Cenário]])+1,SEARCH(")",Tabela4[[#This Row],[Cenário]])-SEARCH("(",Tabela4[[#This Row],[Cenário]])-1),"")&amp;"_"&amp;ROW()</f>
        <v>OUT-YSRS_363</v>
      </c>
      <c r="B363" t="s">
        <v>374</v>
      </c>
      <c r="C363" t="s">
        <v>571</v>
      </c>
      <c r="D363" t="s">
        <v>286</v>
      </c>
      <c r="E363">
        <v>6</v>
      </c>
      <c r="F363" t="s">
        <v>286</v>
      </c>
      <c r="G363" t="s">
        <v>287</v>
      </c>
      <c r="H363" s="13"/>
      <c r="I363" s="13"/>
      <c r="J363" s="13"/>
      <c r="K363" s="9" t="s">
        <v>294</v>
      </c>
      <c r="N363" s="78"/>
      <c r="O363" s="31" t="s">
        <v>572</v>
      </c>
      <c r="P363" s="9"/>
      <c r="Q363" s="9">
        <f>COUNTIF(Tabela4[[#All],[Cenário]],Tabela4[[#This Row],[Cenário]])</f>
        <v>6</v>
      </c>
      <c r="R363">
        <f>COUNTIFS(Tabela4[[#All],[Cenário]],Tabela4[[#This Row],[Cenário]],Tabela4[[#All],[Status]],"Keyuser - Concluído ")</f>
        <v>0</v>
      </c>
      <c r="S363" t="str">
        <f>IF(Tabela4[[#This Row],[Tarefas por Cenário]]-Tabela4[[#This Row],[Tarefas Concluídas]]&gt;0,"Não","Sim")</f>
        <v>Não</v>
      </c>
      <c r="T363">
        <f>COUNTIFS(Tabela4[[#All],[Cenário]],Tabela4[[#This Row],[Cenário]],Tabela4[[#All],[Status]],Tabela4[[#Headers],[Elo - Em correção ]])</f>
        <v>0</v>
      </c>
      <c r="U363">
        <f>COUNTIFS(Tabela4[[#All],[Cenário]],Tabela4[[#This Row],[Cenário]],Tabela4[[#All],[Status]],Tabela4[[#Headers],[Keyuser - Aguardando tarefa precedente]])</f>
        <v>0</v>
      </c>
      <c r="V363">
        <f>COUNTIFS(Tabela4[[#All],[Cenário]],Tabela4[[#This Row],[Cenário]],Tabela4[[#All],[Status]],Tabela4[[#Headers],[Não liberado  para testes]])</f>
        <v>0</v>
      </c>
      <c r="W363" t="str">
        <f>IF(Tabela4[[#This Row],[Elo - Em correção ]]&gt;0,"Sim","Não")</f>
        <v>Não</v>
      </c>
      <c r="X363" t="str">
        <f>IF(Tabela4[[#This Row],[Keyuser - Aguardando tarefa precedente]]&gt;0,"Sim","Não")</f>
        <v>Não</v>
      </c>
      <c r="Y363" t="str">
        <f>IF(Tabela4[[#This Row],[Não liberado  para testes]]&gt;0,"Sim","Não")</f>
        <v>Não</v>
      </c>
      <c r="Z363" t="str">
        <f ca="1">IF(Tabela4[[#This Row],[Status]]="Keyuser - Pendente",NETWORKDAYS(Tabela4[[#This Row],[Dt Inicial]],TODAY()),"")</f>
        <v/>
      </c>
      <c r="AA363" t="b">
        <f>AND(Tabela4[[#This Row],[Status]]="Keyuser - Aguardando tarefa precedente",K362="Keyuser - Concluído ")</f>
        <v>0</v>
      </c>
    </row>
    <row r="364" spans="1:27" x14ac:dyDescent="0.25">
      <c r="A364" t="str">
        <f>"OUT-"&amp;IFERROR(MID(Tabela4[[#This Row],[Cenário]],SEARCH("(",Tabela4[[#This Row],[Cenário]])+1,SEARCH(")",Tabela4[[#This Row],[Cenário]])-SEARCH("(",Tabela4[[#This Row],[Cenário]])-1),"")&amp;"_"&amp;ROW()</f>
        <v>OUT-YDSR_364</v>
      </c>
      <c r="B364" t="s">
        <v>358</v>
      </c>
      <c r="C364" t="s">
        <v>573</v>
      </c>
      <c r="D364" t="s">
        <v>360</v>
      </c>
      <c r="E364">
        <v>1</v>
      </c>
      <c r="F364" t="s">
        <v>360</v>
      </c>
      <c r="G364" t="s">
        <v>377</v>
      </c>
      <c r="H364" s="13">
        <v>60668363</v>
      </c>
      <c r="I364" s="13"/>
      <c r="J364" s="13"/>
      <c r="K364" s="9" t="s">
        <v>271</v>
      </c>
      <c r="L364" s="78">
        <v>45989</v>
      </c>
      <c r="N364" s="78">
        <v>45989</v>
      </c>
      <c r="O364" s="31"/>
      <c r="P364" s="9"/>
      <c r="Q364" s="9">
        <f>COUNTIF(Tabela4[[#All],[Cenário]],Tabela4[[#This Row],[Cenário]])</f>
        <v>6</v>
      </c>
      <c r="R364">
        <f>COUNTIFS(Tabela4[[#All],[Cenário]],Tabela4[[#This Row],[Cenário]],Tabela4[[#All],[Status]],"Keyuser - Concluído ")</f>
        <v>5</v>
      </c>
      <c r="S364" t="str">
        <f>IF(Tabela4[[#This Row],[Tarefas por Cenário]]-Tabela4[[#This Row],[Tarefas Concluídas]]&gt;0,"Não","Sim")</f>
        <v>Não</v>
      </c>
      <c r="T364">
        <f>COUNTIFS(Tabela4[[#All],[Cenário]],Tabela4[[#This Row],[Cenário]],Tabela4[[#All],[Status]],Tabela4[[#Headers],[Elo - Em correção ]])</f>
        <v>0</v>
      </c>
      <c r="U364">
        <f>COUNTIFS(Tabela4[[#All],[Cenário]],Tabela4[[#This Row],[Cenário]],Tabela4[[#All],[Status]],Tabela4[[#Headers],[Keyuser - Aguardando tarefa precedente]])</f>
        <v>0</v>
      </c>
      <c r="V364">
        <f>COUNTIFS(Tabela4[[#All],[Cenário]],Tabela4[[#This Row],[Cenário]],Tabela4[[#All],[Status]],Tabela4[[#Headers],[Não liberado  para testes]])</f>
        <v>1</v>
      </c>
      <c r="W364" t="str">
        <f>IF(Tabela4[[#This Row],[Elo - Em correção ]]&gt;0,"Sim","Não")</f>
        <v>Não</v>
      </c>
      <c r="X364" t="str">
        <f>IF(Tabela4[[#This Row],[Keyuser - Aguardando tarefa precedente]]&gt;0,"Sim","Não")</f>
        <v>Não</v>
      </c>
      <c r="Y364" t="str">
        <f>IF(Tabela4[[#This Row],[Não liberado  para testes]]&gt;0,"Sim","Não")</f>
        <v>Sim</v>
      </c>
      <c r="Z364" t="str">
        <f ca="1">IF(Tabela4[[#This Row],[Status]]="Keyuser - Pendente",NETWORKDAYS(Tabela4[[#This Row],[Dt Inicial]],TODAY()),"")</f>
        <v/>
      </c>
      <c r="AA364" t="b">
        <f>AND(Tabela4[[#This Row],[Status]]="Keyuser - Aguardando tarefa precedente",K363="Keyuser - Concluído ")</f>
        <v>0</v>
      </c>
    </row>
    <row r="365" spans="1:27" x14ac:dyDescent="0.25">
      <c r="A365" t="str">
        <f>"OUT-"&amp;IFERROR(MID(Tabela4[[#This Row],[Cenário]],SEARCH("(",Tabela4[[#This Row],[Cenário]])+1,SEARCH(")",Tabela4[[#This Row],[Cenário]])-SEARCH("(",Tabela4[[#This Row],[Cenário]])-1),"")&amp;"_"&amp;ROW()</f>
        <v>OUT-YDSR_365</v>
      </c>
      <c r="B365" t="s">
        <v>358</v>
      </c>
      <c r="C365" t="s">
        <v>573</v>
      </c>
      <c r="D365" t="s">
        <v>365</v>
      </c>
      <c r="E365">
        <v>2</v>
      </c>
      <c r="F365" t="s">
        <v>365</v>
      </c>
      <c r="G365" t="s">
        <v>310</v>
      </c>
      <c r="H365" s="13">
        <v>60668363</v>
      </c>
      <c r="I365" s="13"/>
      <c r="J365" s="13"/>
      <c r="K365" s="9" t="s">
        <v>271</v>
      </c>
      <c r="L365" s="78">
        <v>45989</v>
      </c>
      <c r="N365" s="78">
        <v>45989</v>
      </c>
      <c r="O365" s="31"/>
      <c r="P365" s="9"/>
      <c r="Q365" s="9">
        <f>COUNTIF(Tabela4[[#All],[Cenário]],Tabela4[[#This Row],[Cenário]])</f>
        <v>6</v>
      </c>
      <c r="R365">
        <f>COUNTIFS(Tabela4[[#All],[Cenário]],Tabela4[[#This Row],[Cenário]],Tabela4[[#All],[Status]],"Keyuser - Concluído ")</f>
        <v>5</v>
      </c>
      <c r="S365" t="str">
        <f>IF(Tabela4[[#This Row],[Tarefas por Cenário]]-Tabela4[[#This Row],[Tarefas Concluídas]]&gt;0,"Não","Sim")</f>
        <v>Não</v>
      </c>
      <c r="T365">
        <f>COUNTIFS(Tabela4[[#All],[Cenário]],Tabela4[[#This Row],[Cenário]],Tabela4[[#All],[Status]],Tabela4[[#Headers],[Elo - Em correção ]])</f>
        <v>0</v>
      </c>
      <c r="U365">
        <f>COUNTIFS(Tabela4[[#All],[Cenário]],Tabela4[[#This Row],[Cenário]],Tabela4[[#All],[Status]],Tabela4[[#Headers],[Keyuser - Aguardando tarefa precedente]])</f>
        <v>0</v>
      </c>
      <c r="V365">
        <f>COUNTIFS(Tabela4[[#All],[Cenário]],Tabela4[[#This Row],[Cenário]],Tabela4[[#All],[Status]],Tabela4[[#Headers],[Não liberado  para testes]])</f>
        <v>1</v>
      </c>
      <c r="W365" t="str">
        <f>IF(Tabela4[[#This Row],[Elo - Em correção ]]&gt;0,"Sim","Não")</f>
        <v>Não</v>
      </c>
      <c r="X365" t="str">
        <f>IF(Tabela4[[#This Row],[Keyuser - Aguardando tarefa precedente]]&gt;0,"Sim","Não")</f>
        <v>Não</v>
      </c>
      <c r="Y365" t="str">
        <f>IF(Tabela4[[#This Row],[Não liberado  para testes]]&gt;0,"Sim","Não")</f>
        <v>Sim</v>
      </c>
      <c r="Z365" t="str">
        <f ca="1">IF(Tabela4[[#This Row],[Status]]="Keyuser - Pendente",NETWORKDAYS(Tabela4[[#This Row],[Dt Inicial]],TODAY()),"")</f>
        <v/>
      </c>
      <c r="AA365" t="b">
        <f>AND(Tabela4[[#This Row],[Status]]="Keyuser - Aguardando tarefa precedente",K364="Keyuser - Concluído ")</f>
        <v>0</v>
      </c>
    </row>
    <row r="366" spans="1:27" x14ac:dyDescent="0.25">
      <c r="A366" t="str">
        <f>"OUT-"&amp;IFERROR(MID(Tabela4[[#This Row],[Cenário]],SEARCH("(",Tabela4[[#This Row],[Cenário]])+1,SEARCH(")",Tabela4[[#This Row],[Cenário]])-SEARCH("(",Tabela4[[#This Row],[Cenário]])-1),"")&amp;"_"&amp;ROW()</f>
        <v>OUT-YDSR_366</v>
      </c>
      <c r="B366" t="s">
        <v>358</v>
      </c>
      <c r="C366" t="s">
        <v>573</v>
      </c>
      <c r="D366" t="s">
        <v>368</v>
      </c>
      <c r="E366">
        <v>3</v>
      </c>
      <c r="F366" t="s">
        <v>368</v>
      </c>
      <c r="G366" t="s">
        <v>377</v>
      </c>
      <c r="H366" s="13" t="s">
        <v>574</v>
      </c>
      <c r="I366" s="13"/>
      <c r="J366" s="13"/>
      <c r="K366" s="9" t="s">
        <v>271</v>
      </c>
      <c r="L366" s="78">
        <v>45989</v>
      </c>
      <c r="N366" s="78">
        <v>45989</v>
      </c>
      <c r="O366" s="31" t="s">
        <v>575</v>
      </c>
      <c r="P366" s="9"/>
      <c r="Q366" s="9">
        <f>COUNTIF(Tabela4[[#All],[Cenário]],Tabela4[[#This Row],[Cenário]])</f>
        <v>6</v>
      </c>
      <c r="R366">
        <f>COUNTIFS(Tabela4[[#All],[Cenário]],Tabela4[[#This Row],[Cenário]],Tabela4[[#All],[Status]],"Keyuser - Concluído ")</f>
        <v>5</v>
      </c>
      <c r="S366" t="str">
        <f>IF(Tabela4[[#This Row],[Tarefas por Cenário]]-Tabela4[[#This Row],[Tarefas Concluídas]]&gt;0,"Não","Sim")</f>
        <v>Não</v>
      </c>
      <c r="T366">
        <f>COUNTIFS(Tabela4[[#All],[Cenário]],Tabela4[[#This Row],[Cenário]],Tabela4[[#All],[Status]],Tabela4[[#Headers],[Elo - Em correção ]])</f>
        <v>0</v>
      </c>
      <c r="U366">
        <f>COUNTIFS(Tabela4[[#All],[Cenário]],Tabela4[[#This Row],[Cenário]],Tabela4[[#All],[Status]],Tabela4[[#Headers],[Keyuser - Aguardando tarefa precedente]])</f>
        <v>0</v>
      </c>
      <c r="V366">
        <f>COUNTIFS(Tabela4[[#All],[Cenário]],Tabela4[[#This Row],[Cenário]],Tabela4[[#All],[Status]],Tabela4[[#Headers],[Não liberado  para testes]])</f>
        <v>1</v>
      </c>
      <c r="W366" t="str">
        <f>IF(Tabela4[[#This Row],[Elo - Em correção ]]&gt;0,"Sim","Não")</f>
        <v>Não</v>
      </c>
      <c r="X366" t="str">
        <f>IF(Tabela4[[#This Row],[Keyuser - Aguardando tarefa precedente]]&gt;0,"Sim","Não")</f>
        <v>Não</v>
      </c>
      <c r="Y366" t="str">
        <f>IF(Tabela4[[#This Row],[Não liberado  para testes]]&gt;0,"Sim","Não")</f>
        <v>Sim</v>
      </c>
      <c r="Z366" t="str">
        <f ca="1">IF(Tabela4[[#This Row],[Status]]="Keyuser - Pendente",NETWORKDAYS(Tabela4[[#This Row],[Dt Inicial]],TODAY()),"")</f>
        <v/>
      </c>
      <c r="AA366" t="b">
        <f>AND(Tabela4[[#This Row],[Status]]="Keyuser - Aguardando tarefa precedente",K365="Keyuser - Concluído ")</f>
        <v>0</v>
      </c>
    </row>
    <row r="367" spans="1:27" x14ac:dyDescent="0.25">
      <c r="A367" t="str">
        <f>"OUT-"&amp;IFERROR(MID(Tabela4[[#This Row],[Cenário]],SEARCH("(",Tabela4[[#This Row],[Cenário]])+1,SEARCH(")",Tabela4[[#This Row],[Cenário]])-SEARCH("(",Tabela4[[#This Row],[Cenário]])-1),"")&amp;"_"&amp;ROW()</f>
        <v>OUT-YDSR_367</v>
      </c>
      <c r="B367" t="s">
        <v>358</v>
      </c>
      <c r="C367" t="s">
        <v>573</v>
      </c>
      <c r="D367" t="s">
        <v>371</v>
      </c>
      <c r="E367">
        <v>4</v>
      </c>
      <c r="F367" t="s">
        <v>372</v>
      </c>
      <c r="G367" t="s">
        <v>287</v>
      </c>
      <c r="H367" s="13" t="s">
        <v>574</v>
      </c>
      <c r="I367" s="13"/>
      <c r="J367" s="13"/>
      <c r="K367" s="9" t="s">
        <v>271</v>
      </c>
      <c r="L367" s="78">
        <v>45994</v>
      </c>
      <c r="N367" s="78">
        <v>45994</v>
      </c>
      <c r="O367" s="31"/>
      <c r="P367" s="9"/>
      <c r="Q367" s="9">
        <f>COUNTIF(Tabela4[[#All],[Cenário]],Tabela4[[#This Row],[Cenário]])</f>
        <v>6</v>
      </c>
      <c r="R367">
        <f>COUNTIFS(Tabela4[[#All],[Cenário]],Tabela4[[#This Row],[Cenário]],Tabela4[[#All],[Status]],"Keyuser - Concluído ")</f>
        <v>5</v>
      </c>
      <c r="S367" t="str">
        <f>IF(Tabela4[[#This Row],[Tarefas por Cenário]]-Tabela4[[#This Row],[Tarefas Concluídas]]&gt;0,"Não","Sim")</f>
        <v>Não</v>
      </c>
      <c r="T367">
        <f>COUNTIFS(Tabela4[[#All],[Cenário]],Tabela4[[#This Row],[Cenário]],Tabela4[[#All],[Status]],Tabela4[[#Headers],[Elo - Em correção ]])</f>
        <v>0</v>
      </c>
      <c r="U367">
        <f>COUNTIFS(Tabela4[[#All],[Cenário]],Tabela4[[#This Row],[Cenário]],Tabela4[[#All],[Status]],Tabela4[[#Headers],[Keyuser - Aguardando tarefa precedente]])</f>
        <v>0</v>
      </c>
      <c r="V367">
        <f>COUNTIFS(Tabela4[[#All],[Cenário]],Tabela4[[#This Row],[Cenário]],Tabela4[[#All],[Status]],Tabela4[[#Headers],[Não liberado  para testes]])</f>
        <v>1</v>
      </c>
      <c r="W367" t="str">
        <f>IF(Tabela4[[#This Row],[Elo - Em correção ]]&gt;0,"Sim","Não")</f>
        <v>Não</v>
      </c>
      <c r="X367" t="str">
        <f>IF(Tabela4[[#This Row],[Keyuser - Aguardando tarefa precedente]]&gt;0,"Sim","Não")</f>
        <v>Não</v>
      </c>
      <c r="Y367" t="str">
        <f>IF(Tabela4[[#This Row],[Não liberado  para testes]]&gt;0,"Sim","Não")</f>
        <v>Sim</v>
      </c>
      <c r="Z367" t="str">
        <f ca="1">IF(Tabela4[[#This Row],[Status]]="Keyuser - Pendente",NETWORKDAYS(Tabela4[[#This Row],[Dt Inicial]],TODAY()),"")</f>
        <v/>
      </c>
      <c r="AA367" t="b">
        <f>AND(Tabela4[[#This Row],[Status]]="Keyuser - Aguardando tarefa precedente",K366="Keyuser - Concluído ")</f>
        <v>0</v>
      </c>
    </row>
    <row r="368" spans="1:27" x14ac:dyDescent="0.25">
      <c r="A368" t="str">
        <f>"OUT-"&amp;IFERROR(MID(Tabela4[[#This Row],[Cenário]],SEARCH("(",Tabela4[[#This Row],[Cenário]])+1,SEARCH(")",Tabela4[[#This Row],[Cenário]])-SEARCH("(",Tabela4[[#This Row],[Cenário]])-1),"")&amp;"_"&amp;ROW()</f>
        <v>OUT-YDSR_368</v>
      </c>
      <c r="B368" t="s">
        <v>358</v>
      </c>
      <c r="C368" t="s">
        <v>573</v>
      </c>
      <c r="D368" t="s">
        <v>373</v>
      </c>
      <c r="E368">
        <v>5</v>
      </c>
      <c r="F368" t="s">
        <v>373</v>
      </c>
      <c r="G368" t="s">
        <v>283</v>
      </c>
      <c r="H368" s="13" t="s">
        <v>574</v>
      </c>
      <c r="I368" s="13"/>
      <c r="J368" s="13"/>
      <c r="K368" s="9" t="s">
        <v>271</v>
      </c>
      <c r="L368" s="78">
        <v>45995</v>
      </c>
      <c r="N368" s="78">
        <v>45995</v>
      </c>
      <c r="O368" s="31" t="s">
        <v>576</v>
      </c>
      <c r="P368" s="9"/>
      <c r="Q368" s="9">
        <f>COUNTIF(Tabela4[[#All],[Cenário]],Tabela4[[#This Row],[Cenário]])</f>
        <v>6</v>
      </c>
      <c r="R368">
        <f>COUNTIFS(Tabela4[[#All],[Cenário]],Tabela4[[#This Row],[Cenário]],Tabela4[[#All],[Status]],"Keyuser - Concluído ")</f>
        <v>5</v>
      </c>
      <c r="S368" t="str">
        <f>IF(Tabela4[[#This Row],[Tarefas por Cenário]]-Tabela4[[#This Row],[Tarefas Concluídas]]&gt;0,"Não","Sim")</f>
        <v>Não</v>
      </c>
      <c r="T368">
        <f>COUNTIFS(Tabela4[[#All],[Cenário]],Tabela4[[#This Row],[Cenário]],Tabela4[[#All],[Status]],Tabela4[[#Headers],[Elo - Em correção ]])</f>
        <v>0</v>
      </c>
      <c r="U368">
        <f>COUNTIFS(Tabela4[[#All],[Cenário]],Tabela4[[#This Row],[Cenário]],Tabela4[[#All],[Status]],Tabela4[[#Headers],[Keyuser - Aguardando tarefa precedente]])</f>
        <v>0</v>
      </c>
      <c r="V368">
        <f>COUNTIFS(Tabela4[[#All],[Cenário]],Tabela4[[#This Row],[Cenário]],Tabela4[[#All],[Status]],Tabela4[[#Headers],[Não liberado  para testes]])</f>
        <v>1</v>
      </c>
      <c r="W368" t="str">
        <f>IF(Tabela4[[#This Row],[Elo - Em correção ]]&gt;0,"Sim","Não")</f>
        <v>Não</v>
      </c>
      <c r="X368" t="str">
        <f>IF(Tabela4[[#This Row],[Keyuser - Aguardando tarefa precedente]]&gt;0,"Sim","Não")</f>
        <v>Não</v>
      </c>
      <c r="Y368" t="str">
        <f>IF(Tabela4[[#This Row],[Não liberado  para testes]]&gt;0,"Sim","Não")</f>
        <v>Sim</v>
      </c>
      <c r="Z368" t="str">
        <f ca="1">IF(Tabela4[[#This Row],[Status]]="Keyuser - Pendente",NETWORKDAYS(Tabela4[[#This Row],[Dt Inicial]],TODAY()),"")</f>
        <v/>
      </c>
      <c r="AA368" t="b">
        <f>AND(Tabela4[[#This Row],[Status]]="Keyuser - Aguardando tarefa precedente",K367="Keyuser - Concluído ")</f>
        <v>0</v>
      </c>
    </row>
    <row r="369" spans="1:27" x14ac:dyDescent="0.25">
      <c r="A369" t="str">
        <f>"OUT-"&amp;IFERROR(MID(Tabela4[[#This Row],[Cenário]],SEARCH("(",Tabela4[[#This Row],[Cenário]])+1,SEARCH(")",Tabela4[[#This Row],[Cenário]])-SEARCH("(",Tabela4[[#This Row],[Cenário]])-1),"")&amp;"_"&amp;ROW()</f>
        <v>OUT-YDSR_369</v>
      </c>
      <c r="B369" t="s">
        <v>374</v>
      </c>
      <c r="C369" t="s">
        <v>573</v>
      </c>
      <c r="D369" t="s">
        <v>286</v>
      </c>
      <c r="E369">
        <v>6</v>
      </c>
      <c r="F369" t="s">
        <v>286</v>
      </c>
      <c r="G369" t="s">
        <v>287</v>
      </c>
      <c r="H369" s="13"/>
      <c r="I369" s="13"/>
      <c r="J369" s="13"/>
      <c r="K369" s="9" t="s">
        <v>262</v>
      </c>
      <c r="N369" s="78"/>
      <c r="O369" s="31"/>
      <c r="P369" s="9"/>
      <c r="Q369" s="9">
        <f>COUNTIF(Tabela4[[#All],[Cenário]],Tabela4[[#This Row],[Cenário]])</f>
        <v>6</v>
      </c>
      <c r="R369">
        <f>COUNTIFS(Tabela4[[#All],[Cenário]],Tabela4[[#This Row],[Cenário]],Tabela4[[#All],[Status]],"Keyuser - Concluído ")</f>
        <v>5</v>
      </c>
      <c r="S369" t="str">
        <f>IF(Tabela4[[#This Row],[Tarefas por Cenário]]-Tabela4[[#This Row],[Tarefas Concluídas]]&gt;0,"Não","Sim")</f>
        <v>Não</v>
      </c>
      <c r="T369">
        <f>COUNTIFS(Tabela4[[#All],[Cenário]],Tabela4[[#This Row],[Cenário]],Tabela4[[#All],[Status]],Tabela4[[#Headers],[Elo - Em correção ]])</f>
        <v>0</v>
      </c>
      <c r="U369">
        <f>COUNTIFS(Tabela4[[#All],[Cenário]],Tabela4[[#This Row],[Cenário]],Tabela4[[#All],[Status]],Tabela4[[#Headers],[Keyuser - Aguardando tarefa precedente]])</f>
        <v>0</v>
      </c>
      <c r="V369">
        <f>COUNTIFS(Tabela4[[#All],[Cenário]],Tabela4[[#This Row],[Cenário]],Tabela4[[#All],[Status]],Tabela4[[#Headers],[Não liberado  para testes]])</f>
        <v>1</v>
      </c>
      <c r="W369" t="str">
        <f>IF(Tabela4[[#This Row],[Elo - Em correção ]]&gt;0,"Sim","Não")</f>
        <v>Não</v>
      </c>
      <c r="X369" t="str">
        <f>IF(Tabela4[[#This Row],[Keyuser - Aguardando tarefa precedente]]&gt;0,"Sim","Não")</f>
        <v>Não</v>
      </c>
      <c r="Y369" t="str">
        <f>IF(Tabela4[[#This Row],[Não liberado  para testes]]&gt;0,"Sim","Não")</f>
        <v>Sim</v>
      </c>
      <c r="Z369" t="str">
        <f ca="1">IF(Tabela4[[#This Row],[Status]]="Keyuser - Pendente",NETWORKDAYS(Tabela4[[#This Row],[Dt Inicial]],TODAY()),"")</f>
        <v/>
      </c>
      <c r="AA369" t="b">
        <f>AND(Tabela4[[#This Row],[Status]]="Keyuser - Aguardando tarefa precedente",K368="Keyuser - Concluído ")</f>
        <v>0</v>
      </c>
    </row>
    <row r="370" spans="1:27" x14ac:dyDescent="0.25">
      <c r="A370" t="str">
        <f>"OUT-"&amp;IFERROR(MID(Tabela4[[#This Row],[Cenário]],SEARCH("(",Tabela4[[#This Row],[Cenário]])+1,SEARCH(")",Tabela4[[#This Row],[Cenário]])-SEARCH("(",Tabela4[[#This Row],[Cenário]])-1),"")&amp;"_"&amp;ROW()</f>
        <v>OUT-Y904_370</v>
      </c>
      <c r="B370" t="s">
        <v>358</v>
      </c>
      <c r="C370" t="s">
        <v>577</v>
      </c>
      <c r="D370" t="s">
        <v>360</v>
      </c>
      <c r="E370">
        <v>1</v>
      </c>
      <c r="F370" t="s">
        <v>360</v>
      </c>
      <c r="G370" t="s">
        <v>361</v>
      </c>
      <c r="H370" s="18">
        <v>70583983</v>
      </c>
      <c r="I370" s="9" t="s">
        <v>578</v>
      </c>
      <c r="J370" s="9" t="s">
        <v>364</v>
      </c>
      <c r="K370" s="9" t="s">
        <v>271</v>
      </c>
      <c r="L370" s="78" t="s">
        <v>539</v>
      </c>
      <c r="N370" s="78">
        <v>45986</v>
      </c>
      <c r="O370" s="31"/>
      <c r="P370" s="9"/>
      <c r="Q370" s="9">
        <f>COUNTIF(Tabela4[[#All],[Cenário]],Tabela4[[#This Row],[Cenário]])</f>
        <v>8</v>
      </c>
      <c r="R370">
        <f>COUNTIFS(Tabela4[[#All],[Cenário]],Tabela4[[#This Row],[Cenário]],Tabela4[[#All],[Status]],"Keyuser - Concluído ")</f>
        <v>7</v>
      </c>
      <c r="S370" t="str">
        <f>IF(Tabela4[[#This Row],[Tarefas por Cenário]]-Tabela4[[#This Row],[Tarefas Concluídas]]&gt;0,"Não","Sim")</f>
        <v>Não</v>
      </c>
      <c r="T370">
        <f>COUNTIFS(Tabela4[[#All],[Cenário]],Tabela4[[#This Row],[Cenário]],Tabela4[[#All],[Status]],Tabela4[[#Headers],[Elo - Em correção ]])</f>
        <v>0</v>
      </c>
      <c r="U370">
        <f>COUNTIFS(Tabela4[[#All],[Cenário]],Tabela4[[#This Row],[Cenário]],Tabela4[[#All],[Status]],Tabela4[[#Headers],[Keyuser - Aguardando tarefa precedente]])</f>
        <v>0</v>
      </c>
      <c r="V370">
        <f>COUNTIFS(Tabela4[[#All],[Cenário]],Tabela4[[#This Row],[Cenário]],Tabela4[[#All],[Status]],Tabela4[[#Headers],[Não liberado  para testes]])</f>
        <v>1</v>
      </c>
      <c r="W370" t="str">
        <f>IF(Tabela4[[#This Row],[Elo - Em correção ]]&gt;0,"Sim","Não")</f>
        <v>Não</v>
      </c>
      <c r="X370" t="str">
        <f>IF(Tabela4[[#This Row],[Keyuser - Aguardando tarefa precedente]]&gt;0,"Sim","Não")</f>
        <v>Não</v>
      </c>
      <c r="Y370" t="str">
        <f>IF(Tabela4[[#This Row],[Não liberado  para testes]]&gt;0,"Sim","Não")</f>
        <v>Sim</v>
      </c>
      <c r="Z370" t="str">
        <f ca="1">IF(Tabela4[[#This Row],[Status]]="Keyuser - Pendente",NETWORKDAYS(Tabela4[[#This Row],[Dt Inicial]],TODAY()),"")</f>
        <v/>
      </c>
      <c r="AA370" t="b">
        <f>AND(Tabela4[[#This Row],[Status]]="Keyuser - Aguardando tarefa precedente",K369="Keyuser - Concluído ")</f>
        <v>0</v>
      </c>
    </row>
    <row r="371" spans="1:27" x14ac:dyDescent="0.25">
      <c r="A371" t="str">
        <f>"OUT-"&amp;IFERROR(MID(Tabela4[[#This Row],[Cenário]],SEARCH("(",Tabela4[[#This Row],[Cenário]])+1,SEARCH(")",Tabela4[[#This Row],[Cenário]])-SEARCH("(",Tabela4[[#This Row],[Cenário]])-1),"")&amp;"_"&amp;ROW()</f>
        <v>OUT-Y904_371</v>
      </c>
      <c r="B371" t="s">
        <v>358</v>
      </c>
      <c r="C371" t="s">
        <v>577</v>
      </c>
      <c r="D371" t="s">
        <v>365</v>
      </c>
      <c r="E371">
        <v>2</v>
      </c>
      <c r="F371" t="s">
        <v>365</v>
      </c>
      <c r="G371" t="s">
        <v>310</v>
      </c>
      <c r="H371" s="18">
        <v>70583983</v>
      </c>
      <c r="I371" s="9" t="s">
        <v>578</v>
      </c>
      <c r="J371" s="9" t="s">
        <v>364</v>
      </c>
      <c r="K371" s="9" t="s">
        <v>271</v>
      </c>
      <c r="L371" s="78" t="s">
        <v>539</v>
      </c>
      <c r="N371" s="78">
        <v>45986</v>
      </c>
      <c r="O371" s="31"/>
      <c r="P371" s="9"/>
      <c r="Q371" s="9">
        <f>COUNTIF(Tabela4[[#All],[Cenário]],Tabela4[[#This Row],[Cenário]])</f>
        <v>8</v>
      </c>
      <c r="R371">
        <f>COUNTIFS(Tabela4[[#All],[Cenário]],Tabela4[[#This Row],[Cenário]],Tabela4[[#All],[Status]],"Keyuser - Concluído ")</f>
        <v>7</v>
      </c>
      <c r="S371" t="str">
        <f>IF(Tabela4[[#This Row],[Tarefas por Cenário]]-Tabela4[[#This Row],[Tarefas Concluídas]]&gt;0,"Não","Sim")</f>
        <v>Não</v>
      </c>
      <c r="T371">
        <f>COUNTIFS(Tabela4[[#All],[Cenário]],Tabela4[[#This Row],[Cenário]],Tabela4[[#All],[Status]],Tabela4[[#Headers],[Elo - Em correção ]])</f>
        <v>0</v>
      </c>
      <c r="U371">
        <f>COUNTIFS(Tabela4[[#All],[Cenário]],Tabela4[[#This Row],[Cenário]],Tabela4[[#All],[Status]],Tabela4[[#Headers],[Keyuser - Aguardando tarefa precedente]])</f>
        <v>0</v>
      </c>
      <c r="V371">
        <f>COUNTIFS(Tabela4[[#All],[Cenário]],Tabela4[[#This Row],[Cenário]],Tabela4[[#All],[Status]],Tabela4[[#Headers],[Não liberado  para testes]])</f>
        <v>1</v>
      </c>
      <c r="W371" t="str">
        <f>IF(Tabela4[[#This Row],[Elo - Em correção ]]&gt;0,"Sim","Não")</f>
        <v>Não</v>
      </c>
      <c r="X371" t="str">
        <f>IF(Tabela4[[#This Row],[Keyuser - Aguardando tarefa precedente]]&gt;0,"Sim","Não")</f>
        <v>Não</v>
      </c>
      <c r="Y371" t="str">
        <f>IF(Tabela4[[#This Row],[Não liberado  para testes]]&gt;0,"Sim","Não")</f>
        <v>Sim</v>
      </c>
      <c r="Z371" t="str">
        <f ca="1">IF(Tabela4[[#This Row],[Status]]="Keyuser - Pendente",NETWORKDAYS(Tabela4[[#This Row],[Dt Inicial]],TODAY()),"")</f>
        <v/>
      </c>
      <c r="AA371" t="b">
        <f>AND(Tabela4[[#This Row],[Status]]="Keyuser - Aguardando tarefa precedente",K370="Keyuser - Concluído ")</f>
        <v>0</v>
      </c>
    </row>
    <row r="372" spans="1:27" x14ac:dyDescent="0.25">
      <c r="A372" t="str">
        <f>"OUT-"&amp;IFERROR(MID(Tabela4[[#This Row],[Cenário]],SEARCH("(",Tabela4[[#This Row],[Cenário]])+1,SEARCH(")",Tabela4[[#This Row],[Cenário]])-SEARCH("(",Tabela4[[#This Row],[Cenário]])-1),"")&amp;"_"&amp;ROW()</f>
        <v>OUT-Y904_372</v>
      </c>
      <c r="B372" t="s">
        <v>358</v>
      </c>
      <c r="C372" t="s">
        <v>577</v>
      </c>
      <c r="D372" t="s">
        <v>366</v>
      </c>
      <c r="E372">
        <v>3</v>
      </c>
      <c r="F372" t="s">
        <v>366</v>
      </c>
      <c r="G372" t="s">
        <v>367</v>
      </c>
      <c r="H372" s="18">
        <v>70583983</v>
      </c>
      <c r="I372" s="9" t="s">
        <v>578</v>
      </c>
      <c r="J372" s="9" t="s">
        <v>364</v>
      </c>
      <c r="K372" s="9" t="s">
        <v>271</v>
      </c>
      <c r="L372" s="78" t="s">
        <v>539</v>
      </c>
      <c r="N372" s="78">
        <v>45986</v>
      </c>
      <c r="O372" s="51"/>
      <c r="P372" s="9"/>
      <c r="Q372" s="9">
        <f>COUNTIF(Tabela4[[#All],[Cenário]],Tabela4[[#This Row],[Cenário]])</f>
        <v>8</v>
      </c>
      <c r="R372">
        <f>COUNTIFS(Tabela4[[#All],[Cenário]],Tabela4[[#This Row],[Cenário]],Tabela4[[#All],[Status]],"Keyuser - Concluído ")</f>
        <v>7</v>
      </c>
      <c r="S372" t="str">
        <f>IF(Tabela4[[#This Row],[Tarefas por Cenário]]-Tabela4[[#This Row],[Tarefas Concluídas]]&gt;0,"Não","Sim")</f>
        <v>Não</v>
      </c>
      <c r="T372">
        <f>COUNTIFS(Tabela4[[#All],[Cenário]],Tabela4[[#This Row],[Cenário]],Tabela4[[#All],[Status]],Tabela4[[#Headers],[Elo - Em correção ]])</f>
        <v>0</v>
      </c>
      <c r="U372">
        <f>COUNTIFS(Tabela4[[#All],[Cenário]],Tabela4[[#This Row],[Cenário]],Tabela4[[#All],[Status]],Tabela4[[#Headers],[Keyuser - Aguardando tarefa precedente]])</f>
        <v>0</v>
      </c>
      <c r="V372">
        <f>COUNTIFS(Tabela4[[#All],[Cenário]],Tabela4[[#This Row],[Cenário]],Tabela4[[#All],[Status]],Tabela4[[#Headers],[Não liberado  para testes]])</f>
        <v>1</v>
      </c>
      <c r="W372" t="str">
        <f>IF(Tabela4[[#This Row],[Elo - Em correção ]]&gt;0,"Sim","Não")</f>
        <v>Não</v>
      </c>
      <c r="X372" t="str">
        <f>IF(Tabela4[[#This Row],[Keyuser - Aguardando tarefa precedente]]&gt;0,"Sim","Não")</f>
        <v>Não</v>
      </c>
      <c r="Y372" t="str">
        <f>IF(Tabela4[[#This Row],[Não liberado  para testes]]&gt;0,"Sim","Não")</f>
        <v>Sim</v>
      </c>
      <c r="Z372" t="str">
        <f ca="1">IF(Tabela4[[#This Row],[Status]]="Keyuser - Pendente",NETWORKDAYS(Tabela4[[#This Row],[Dt Inicial]],TODAY()),"")</f>
        <v/>
      </c>
      <c r="AA372" t="b">
        <f>AND(Tabela4[[#This Row],[Status]]="Keyuser - Aguardando tarefa precedente",K371="Keyuser - Concluído ")</f>
        <v>0</v>
      </c>
    </row>
    <row r="373" spans="1:27" x14ac:dyDescent="0.25">
      <c r="A373" t="str">
        <f>"OUT-"&amp;IFERROR(MID(Tabela4[[#This Row],[Cenário]],SEARCH("(",Tabela4[[#This Row],[Cenário]])+1,SEARCH(")",Tabela4[[#This Row],[Cenário]])-SEARCH("(",Tabela4[[#This Row],[Cenário]])-1),"")&amp;"_"&amp;ROW()</f>
        <v>OUT-Y904_373</v>
      </c>
      <c r="B373" t="s">
        <v>358</v>
      </c>
      <c r="C373" t="s">
        <v>577</v>
      </c>
      <c r="D373" t="s">
        <v>368</v>
      </c>
      <c r="E373">
        <v>4</v>
      </c>
      <c r="F373" t="s">
        <v>368</v>
      </c>
      <c r="G373" t="s">
        <v>369</v>
      </c>
      <c r="H373" s="9" t="s">
        <v>579</v>
      </c>
      <c r="J373" s="9" t="s">
        <v>364</v>
      </c>
      <c r="K373" s="9" t="s">
        <v>271</v>
      </c>
      <c r="L373" s="78" t="s">
        <v>539</v>
      </c>
      <c r="N373" s="78">
        <v>45986</v>
      </c>
      <c r="O373" s="51"/>
      <c r="P373" s="9"/>
      <c r="Q373" s="9">
        <f>COUNTIF(Tabela4[[#All],[Cenário]],Tabela4[[#This Row],[Cenário]])</f>
        <v>8</v>
      </c>
      <c r="R373">
        <f>COUNTIFS(Tabela4[[#All],[Cenário]],Tabela4[[#This Row],[Cenário]],Tabela4[[#All],[Status]],"Keyuser - Concluído ")</f>
        <v>7</v>
      </c>
      <c r="S373" t="str">
        <f>IF(Tabela4[[#This Row],[Tarefas por Cenário]]-Tabela4[[#This Row],[Tarefas Concluídas]]&gt;0,"Não","Sim")</f>
        <v>Não</v>
      </c>
      <c r="T373">
        <f>COUNTIFS(Tabela4[[#All],[Cenário]],Tabela4[[#This Row],[Cenário]],Tabela4[[#All],[Status]],Tabela4[[#Headers],[Elo - Em correção ]])</f>
        <v>0</v>
      </c>
      <c r="U373">
        <f>COUNTIFS(Tabela4[[#All],[Cenário]],Tabela4[[#This Row],[Cenário]],Tabela4[[#All],[Status]],Tabela4[[#Headers],[Keyuser - Aguardando tarefa precedente]])</f>
        <v>0</v>
      </c>
      <c r="V373">
        <f>COUNTIFS(Tabela4[[#All],[Cenário]],Tabela4[[#This Row],[Cenário]],Tabela4[[#All],[Status]],Tabela4[[#Headers],[Não liberado  para testes]])</f>
        <v>1</v>
      </c>
      <c r="W373" t="str">
        <f>IF(Tabela4[[#This Row],[Elo - Em correção ]]&gt;0,"Sim","Não")</f>
        <v>Não</v>
      </c>
      <c r="X373" t="str">
        <f>IF(Tabela4[[#This Row],[Keyuser - Aguardando tarefa precedente]]&gt;0,"Sim","Não")</f>
        <v>Não</v>
      </c>
      <c r="Y373" t="str">
        <f>IF(Tabela4[[#This Row],[Não liberado  para testes]]&gt;0,"Sim","Não")</f>
        <v>Sim</v>
      </c>
      <c r="Z373" t="str">
        <f ca="1">IF(Tabela4[[#This Row],[Status]]="Keyuser - Pendente",NETWORKDAYS(Tabela4[[#This Row],[Dt Inicial]],TODAY()),"")</f>
        <v/>
      </c>
      <c r="AA373" t="b">
        <f>AND(Tabela4[[#This Row],[Status]]="Keyuser - Aguardando tarefa precedente",K372="Keyuser - Concluído ")</f>
        <v>0</v>
      </c>
    </row>
    <row r="374" spans="1:27" x14ac:dyDescent="0.25">
      <c r="A374" t="str">
        <f>"OUT-"&amp;IFERROR(MID(Tabela4[[#This Row],[Cenário]],SEARCH("(",Tabela4[[#This Row],[Cenário]])+1,SEARCH(")",Tabela4[[#This Row],[Cenário]])-SEARCH("(",Tabela4[[#This Row],[Cenário]])-1),"")&amp;"_"&amp;ROW()</f>
        <v>OUT-Y904_374</v>
      </c>
      <c r="B374" t="s">
        <v>358</v>
      </c>
      <c r="C374" t="s">
        <v>577</v>
      </c>
      <c r="D374" t="s">
        <v>434</v>
      </c>
      <c r="E374">
        <v>5</v>
      </c>
      <c r="F374" t="s">
        <v>435</v>
      </c>
      <c r="G374" t="s">
        <v>287</v>
      </c>
      <c r="H374" s="9" t="s">
        <v>579</v>
      </c>
      <c r="K374" s="9" t="s">
        <v>271</v>
      </c>
      <c r="L374" s="78" t="s">
        <v>567</v>
      </c>
      <c r="N374" s="78">
        <v>45988</v>
      </c>
      <c r="O374" s="31"/>
      <c r="P374" s="9"/>
      <c r="Q374" s="9">
        <f>COUNTIF(Tabela4[[#All],[Cenário]],Tabela4[[#This Row],[Cenário]])</f>
        <v>8</v>
      </c>
      <c r="R374">
        <f>COUNTIFS(Tabela4[[#All],[Cenário]],Tabela4[[#This Row],[Cenário]],Tabela4[[#All],[Status]],"Keyuser - Concluído ")</f>
        <v>7</v>
      </c>
      <c r="S374" t="str">
        <f>IF(Tabela4[[#This Row],[Tarefas por Cenário]]-Tabela4[[#This Row],[Tarefas Concluídas]]&gt;0,"Não","Sim")</f>
        <v>Não</v>
      </c>
      <c r="T374">
        <f>COUNTIFS(Tabela4[[#All],[Cenário]],Tabela4[[#This Row],[Cenário]],Tabela4[[#All],[Status]],Tabela4[[#Headers],[Elo - Em correção ]])</f>
        <v>0</v>
      </c>
      <c r="U374">
        <f>COUNTIFS(Tabela4[[#All],[Cenário]],Tabela4[[#This Row],[Cenário]],Tabela4[[#All],[Status]],Tabela4[[#Headers],[Keyuser - Aguardando tarefa precedente]])</f>
        <v>0</v>
      </c>
      <c r="V374">
        <f>COUNTIFS(Tabela4[[#All],[Cenário]],Tabela4[[#This Row],[Cenário]],Tabela4[[#All],[Status]],Tabela4[[#Headers],[Não liberado  para testes]])</f>
        <v>1</v>
      </c>
      <c r="W374" t="str">
        <f>IF(Tabela4[[#This Row],[Elo - Em correção ]]&gt;0,"Sim","Não")</f>
        <v>Não</v>
      </c>
      <c r="X374" t="str">
        <f>IF(Tabela4[[#This Row],[Keyuser - Aguardando tarefa precedente]]&gt;0,"Sim","Não")</f>
        <v>Não</v>
      </c>
      <c r="Y374" t="str">
        <f>IF(Tabela4[[#This Row],[Não liberado  para testes]]&gt;0,"Sim","Não")</f>
        <v>Sim</v>
      </c>
      <c r="Z374" t="str">
        <f ca="1">IF(Tabela4[[#This Row],[Status]]="Keyuser - Pendente",NETWORKDAYS(Tabela4[[#This Row],[Dt Inicial]],TODAY()),"")</f>
        <v/>
      </c>
      <c r="AA374" t="b">
        <f>AND(Tabela4[[#This Row],[Status]]="Keyuser - Aguardando tarefa precedente",K373="Keyuser - Concluído ")</f>
        <v>0</v>
      </c>
    </row>
    <row r="375" spans="1:27" x14ac:dyDescent="0.25">
      <c r="A375" t="str">
        <f>"OUT-"&amp;IFERROR(MID(Tabela4[[#This Row],[Cenário]],SEARCH("(",Tabela4[[#This Row],[Cenário]])+1,SEARCH(")",Tabela4[[#This Row],[Cenário]])-SEARCH("(",Tabela4[[#This Row],[Cenário]])-1),"")&amp;"_"&amp;ROW()</f>
        <v>OUT-Y904_375</v>
      </c>
      <c r="B375" t="s">
        <v>358</v>
      </c>
      <c r="C375" t="s">
        <v>577</v>
      </c>
      <c r="D375" t="s">
        <v>373</v>
      </c>
      <c r="E375">
        <v>6</v>
      </c>
      <c r="F375" t="s">
        <v>373</v>
      </c>
      <c r="G375" t="s">
        <v>283</v>
      </c>
      <c r="H375" s="9" t="s">
        <v>579</v>
      </c>
      <c r="K375" s="9" t="s">
        <v>271</v>
      </c>
      <c r="L375" s="78" t="s">
        <v>567</v>
      </c>
      <c r="N375" s="78">
        <v>45988</v>
      </c>
      <c r="O375" s="31"/>
      <c r="P375" s="9"/>
      <c r="Q375" s="9">
        <f>COUNTIF(Tabela4[[#All],[Cenário]],Tabela4[[#This Row],[Cenário]])</f>
        <v>8</v>
      </c>
      <c r="R375">
        <f>COUNTIFS(Tabela4[[#All],[Cenário]],Tabela4[[#This Row],[Cenário]],Tabela4[[#All],[Status]],"Keyuser - Concluído ")</f>
        <v>7</v>
      </c>
      <c r="S375" t="str">
        <f>IF(Tabela4[[#This Row],[Tarefas por Cenário]]-Tabela4[[#This Row],[Tarefas Concluídas]]&gt;0,"Não","Sim")</f>
        <v>Não</v>
      </c>
      <c r="T375">
        <f>COUNTIFS(Tabela4[[#All],[Cenário]],Tabela4[[#This Row],[Cenário]],Tabela4[[#All],[Status]],Tabela4[[#Headers],[Elo - Em correção ]])</f>
        <v>0</v>
      </c>
      <c r="U375">
        <f>COUNTIFS(Tabela4[[#All],[Cenário]],Tabela4[[#This Row],[Cenário]],Tabela4[[#All],[Status]],Tabela4[[#Headers],[Keyuser - Aguardando tarefa precedente]])</f>
        <v>0</v>
      </c>
      <c r="V375">
        <f>COUNTIFS(Tabela4[[#All],[Cenário]],Tabela4[[#This Row],[Cenário]],Tabela4[[#All],[Status]],Tabela4[[#Headers],[Não liberado  para testes]])</f>
        <v>1</v>
      </c>
      <c r="W375" t="str">
        <f>IF(Tabela4[[#This Row],[Elo - Em correção ]]&gt;0,"Sim","Não")</f>
        <v>Não</v>
      </c>
      <c r="X375" t="str">
        <f>IF(Tabela4[[#This Row],[Keyuser - Aguardando tarefa precedente]]&gt;0,"Sim","Não")</f>
        <v>Não</v>
      </c>
      <c r="Y375" t="str">
        <f>IF(Tabela4[[#This Row],[Não liberado  para testes]]&gt;0,"Sim","Não")</f>
        <v>Sim</v>
      </c>
      <c r="Z375" t="str">
        <f ca="1">IF(Tabela4[[#This Row],[Status]]="Keyuser - Pendente",NETWORKDAYS(Tabela4[[#This Row],[Dt Inicial]],TODAY()),"")</f>
        <v/>
      </c>
      <c r="AA375" t="b">
        <f>AND(Tabela4[[#This Row],[Status]]="Keyuser - Aguardando tarefa precedente",K374="Keyuser - Concluído ")</f>
        <v>0</v>
      </c>
    </row>
    <row r="376" spans="1:27" x14ac:dyDescent="0.25">
      <c r="A376" t="str">
        <f>"OUT-"&amp;IFERROR(MID(Tabela4[[#This Row],[Cenário]],SEARCH("(",Tabela4[[#This Row],[Cenário]])+1,SEARCH(")",Tabela4[[#This Row],[Cenário]])-SEARCH("(",Tabela4[[#This Row],[Cenário]])-1),"")&amp;"_"&amp;ROW()</f>
        <v>OUT-Y904_376</v>
      </c>
      <c r="B376" t="s">
        <v>374</v>
      </c>
      <c r="C376" t="s">
        <v>577</v>
      </c>
      <c r="D376" t="s">
        <v>286</v>
      </c>
      <c r="E376">
        <v>7</v>
      </c>
      <c r="F376" t="s">
        <v>286</v>
      </c>
      <c r="G376" t="s">
        <v>287</v>
      </c>
      <c r="K376" s="9" t="s">
        <v>262</v>
      </c>
      <c r="N376" s="78"/>
      <c r="O376" s="31"/>
      <c r="P376" s="9"/>
      <c r="Q376" s="9">
        <f>COUNTIF(Tabela4[[#All],[Cenário]],Tabela4[[#This Row],[Cenário]])</f>
        <v>8</v>
      </c>
      <c r="R376">
        <f>COUNTIFS(Tabela4[[#All],[Cenário]],Tabela4[[#This Row],[Cenário]],Tabela4[[#All],[Status]],"Keyuser - Concluído ")</f>
        <v>7</v>
      </c>
      <c r="S376" t="str">
        <f>IF(Tabela4[[#This Row],[Tarefas por Cenário]]-Tabela4[[#This Row],[Tarefas Concluídas]]&gt;0,"Não","Sim")</f>
        <v>Não</v>
      </c>
      <c r="T376">
        <f>COUNTIFS(Tabela4[[#All],[Cenário]],Tabela4[[#This Row],[Cenário]],Tabela4[[#All],[Status]],Tabela4[[#Headers],[Elo - Em correção ]])</f>
        <v>0</v>
      </c>
      <c r="U376">
        <f>COUNTIFS(Tabela4[[#All],[Cenário]],Tabela4[[#This Row],[Cenário]],Tabela4[[#All],[Status]],Tabela4[[#Headers],[Keyuser - Aguardando tarefa precedente]])</f>
        <v>0</v>
      </c>
      <c r="V376">
        <f>COUNTIFS(Tabela4[[#All],[Cenário]],Tabela4[[#This Row],[Cenário]],Tabela4[[#All],[Status]],Tabela4[[#Headers],[Não liberado  para testes]])</f>
        <v>1</v>
      </c>
      <c r="W376" t="str">
        <f>IF(Tabela4[[#This Row],[Elo - Em correção ]]&gt;0,"Sim","Não")</f>
        <v>Não</v>
      </c>
      <c r="X376" t="str">
        <f>IF(Tabela4[[#This Row],[Keyuser - Aguardando tarefa precedente]]&gt;0,"Sim","Não")</f>
        <v>Não</v>
      </c>
      <c r="Y376" t="str">
        <f>IF(Tabela4[[#This Row],[Não liberado  para testes]]&gt;0,"Sim","Não")</f>
        <v>Sim</v>
      </c>
      <c r="Z376" t="str">
        <f ca="1">IF(Tabela4[[#This Row],[Status]]="Keyuser - Pendente",NETWORKDAYS(Tabela4[[#This Row],[Dt Inicial]],TODAY()),"")</f>
        <v/>
      </c>
      <c r="AA376" t="b">
        <f>AND(Tabela4[[#This Row],[Status]]="Keyuser - Aguardando tarefa precedente",K375="Keyuser - Concluído ")</f>
        <v>0</v>
      </c>
    </row>
    <row r="377" spans="1:27" x14ac:dyDescent="0.25">
      <c r="A377" t="str">
        <f>"OUT-"&amp;IFERROR(MID(Tabela4[[#This Row],[Cenário]],SEARCH("(",Tabela4[[#This Row],[Cenário]])+1,SEARCH(")",Tabela4[[#This Row],[Cenário]])-SEARCH("(",Tabela4[[#This Row],[Cenário]])-1),"")&amp;"_"&amp;ROW()</f>
        <v>OUT-Y904_377</v>
      </c>
      <c r="B377" t="s">
        <v>358</v>
      </c>
      <c r="C377" t="s">
        <v>577</v>
      </c>
      <c r="D377" t="s">
        <v>375</v>
      </c>
      <c r="E377">
        <v>8</v>
      </c>
      <c r="F377" t="s">
        <v>375</v>
      </c>
      <c r="G377" t="s">
        <v>367</v>
      </c>
      <c r="H377" s="18">
        <v>70583983</v>
      </c>
      <c r="I377" s="9" t="s">
        <v>578</v>
      </c>
      <c r="K377" s="9" t="s">
        <v>271</v>
      </c>
      <c r="L377" s="78">
        <v>45994</v>
      </c>
      <c r="N377" s="78">
        <v>45994</v>
      </c>
      <c r="O377" s="31"/>
      <c r="P377" s="9"/>
      <c r="Q377" s="9">
        <f>COUNTIF(Tabela4[[#All],[Cenário]],Tabela4[[#This Row],[Cenário]])</f>
        <v>8</v>
      </c>
      <c r="R377">
        <f>COUNTIFS(Tabela4[[#All],[Cenário]],Tabela4[[#This Row],[Cenário]],Tabela4[[#All],[Status]],"Keyuser - Concluído ")</f>
        <v>7</v>
      </c>
      <c r="S377" t="str">
        <f>IF(Tabela4[[#This Row],[Tarefas por Cenário]]-Tabela4[[#This Row],[Tarefas Concluídas]]&gt;0,"Não","Sim")</f>
        <v>Não</v>
      </c>
      <c r="T377">
        <f>COUNTIFS(Tabela4[[#All],[Cenário]],Tabela4[[#This Row],[Cenário]],Tabela4[[#All],[Status]],Tabela4[[#Headers],[Elo - Em correção ]])</f>
        <v>0</v>
      </c>
      <c r="U377">
        <f>COUNTIFS(Tabela4[[#All],[Cenário]],Tabela4[[#This Row],[Cenário]],Tabela4[[#All],[Status]],Tabela4[[#Headers],[Keyuser - Aguardando tarefa precedente]])</f>
        <v>0</v>
      </c>
      <c r="V377">
        <f>COUNTIFS(Tabela4[[#All],[Cenário]],Tabela4[[#This Row],[Cenário]],Tabela4[[#All],[Status]],Tabela4[[#Headers],[Não liberado  para testes]])</f>
        <v>1</v>
      </c>
      <c r="W377" t="str">
        <f>IF(Tabela4[[#This Row],[Elo - Em correção ]]&gt;0,"Sim","Não")</f>
        <v>Não</v>
      </c>
      <c r="X377" t="str">
        <f>IF(Tabela4[[#This Row],[Keyuser - Aguardando tarefa precedente]]&gt;0,"Sim","Não")</f>
        <v>Não</v>
      </c>
      <c r="Y377" t="str">
        <f>IF(Tabela4[[#This Row],[Não liberado  para testes]]&gt;0,"Sim","Não")</f>
        <v>Sim</v>
      </c>
      <c r="Z377" t="str">
        <f ca="1">IF(Tabela4[[#This Row],[Status]]="Keyuser - Pendente",NETWORKDAYS(Tabela4[[#This Row],[Dt Inicial]],TODAY()),"")</f>
        <v/>
      </c>
      <c r="AA377" t="b">
        <f>AND(Tabela4[[#This Row],[Status]]="Keyuser - Aguardando tarefa precedente",K376="Keyuser - Concluído ")</f>
        <v>0</v>
      </c>
    </row>
    <row r="378" spans="1:27" x14ac:dyDescent="0.25">
      <c r="A378" t="str">
        <f>"OUT-"&amp;IFERROR(MID(Tabela4[[#This Row],[Cenário]],SEARCH("(",Tabela4[[#This Row],[Cenário]])+1,SEARCH(")",Tabela4[[#This Row],[Cenário]])-SEARCH("(",Tabela4[[#This Row],[Cenário]])-1),"")&amp;"_"&amp;ROW()</f>
        <v>OUT-Y90R_378</v>
      </c>
      <c r="B378" t="s">
        <v>358</v>
      </c>
      <c r="C378" t="s">
        <v>580</v>
      </c>
      <c r="D378" t="s">
        <v>360</v>
      </c>
      <c r="E378">
        <v>1</v>
      </c>
      <c r="F378" t="s">
        <v>360</v>
      </c>
      <c r="G378" t="s">
        <v>377</v>
      </c>
      <c r="H378" s="13">
        <v>60668361</v>
      </c>
      <c r="I378" s="13"/>
      <c r="J378" s="13"/>
      <c r="K378" s="9" t="s">
        <v>271</v>
      </c>
      <c r="L378" s="78">
        <v>45989</v>
      </c>
      <c r="N378" s="78">
        <v>45989</v>
      </c>
      <c r="O378" s="31"/>
      <c r="P378" s="9"/>
      <c r="Q378" s="9">
        <f>COUNTIF(Tabela4[[#All],[Cenário]],Tabela4[[#This Row],[Cenário]])</f>
        <v>6</v>
      </c>
      <c r="R378">
        <f>COUNTIFS(Tabela4[[#All],[Cenário]],Tabela4[[#This Row],[Cenário]],Tabela4[[#All],[Status]],"Keyuser - Concluído ")</f>
        <v>5</v>
      </c>
      <c r="S378" t="str">
        <f>IF(Tabela4[[#This Row],[Tarefas por Cenário]]-Tabela4[[#This Row],[Tarefas Concluídas]]&gt;0,"Não","Sim")</f>
        <v>Não</v>
      </c>
      <c r="T378">
        <f>COUNTIFS(Tabela4[[#All],[Cenário]],Tabela4[[#This Row],[Cenário]],Tabela4[[#All],[Status]],Tabela4[[#Headers],[Elo - Em correção ]])</f>
        <v>0</v>
      </c>
      <c r="U378">
        <f>COUNTIFS(Tabela4[[#All],[Cenário]],Tabela4[[#This Row],[Cenário]],Tabela4[[#All],[Status]],Tabela4[[#Headers],[Keyuser - Aguardando tarefa precedente]])</f>
        <v>0</v>
      </c>
      <c r="V378">
        <f>COUNTIFS(Tabela4[[#All],[Cenário]],Tabela4[[#This Row],[Cenário]],Tabela4[[#All],[Status]],Tabela4[[#Headers],[Não liberado  para testes]])</f>
        <v>1</v>
      </c>
      <c r="W378" t="str">
        <f>IF(Tabela4[[#This Row],[Elo - Em correção ]]&gt;0,"Sim","Não")</f>
        <v>Não</v>
      </c>
      <c r="X378" t="str">
        <f>IF(Tabela4[[#This Row],[Keyuser - Aguardando tarefa precedente]]&gt;0,"Sim","Não")</f>
        <v>Não</v>
      </c>
      <c r="Y378" t="str">
        <f>IF(Tabela4[[#This Row],[Não liberado  para testes]]&gt;0,"Sim","Não")</f>
        <v>Sim</v>
      </c>
      <c r="Z378" t="str">
        <f ca="1">IF(Tabela4[[#This Row],[Status]]="Keyuser - Pendente",NETWORKDAYS(Tabela4[[#This Row],[Dt Inicial]],TODAY()),"")</f>
        <v/>
      </c>
      <c r="AA378" t="b">
        <f>AND(Tabela4[[#This Row],[Status]]="Keyuser - Aguardando tarefa precedente",K377="Keyuser - Concluído ")</f>
        <v>0</v>
      </c>
    </row>
    <row r="379" spans="1:27" x14ac:dyDescent="0.25">
      <c r="A379" t="str">
        <f>"OUT-"&amp;IFERROR(MID(Tabela4[[#This Row],[Cenário]],SEARCH("(",Tabela4[[#This Row],[Cenário]])+1,SEARCH(")",Tabela4[[#This Row],[Cenário]])-SEARCH("(",Tabela4[[#This Row],[Cenário]])-1),"")&amp;"_"&amp;ROW()</f>
        <v>OUT-Y90R_379</v>
      </c>
      <c r="B379" t="s">
        <v>358</v>
      </c>
      <c r="C379" t="s">
        <v>580</v>
      </c>
      <c r="D379" t="s">
        <v>365</v>
      </c>
      <c r="E379">
        <v>2</v>
      </c>
      <c r="F379" t="s">
        <v>365</v>
      </c>
      <c r="G379" t="s">
        <v>310</v>
      </c>
      <c r="H379" s="13">
        <v>60668361</v>
      </c>
      <c r="I379" s="13"/>
      <c r="J379" s="13"/>
      <c r="K379" s="9" t="s">
        <v>271</v>
      </c>
      <c r="L379" s="78">
        <v>45989</v>
      </c>
      <c r="N379" s="78">
        <v>45989</v>
      </c>
      <c r="O379" s="31"/>
      <c r="P379" s="9"/>
      <c r="Q379" s="9">
        <f>COUNTIF(Tabela4[[#All],[Cenário]],Tabela4[[#This Row],[Cenário]])</f>
        <v>6</v>
      </c>
      <c r="R379">
        <f>COUNTIFS(Tabela4[[#All],[Cenário]],Tabela4[[#This Row],[Cenário]],Tabela4[[#All],[Status]],"Keyuser - Concluído ")</f>
        <v>5</v>
      </c>
      <c r="S379" t="str">
        <f>IF(Tabela4[[#This Row],[Tarefas por Cenário]]-Tabela4[[#This Row],[Tarefas Concluídas]]&gt;0,"Não","Sim")</f>
        <v>Não</v>
      </c>
      <c r="T379">
        <f>COUNTIFS(Tabela4[[#All],[Cenário]],Tabela4[[#This Row],[Cenário]],Tabela4[[#All],[Status]],Tabela4[[#Headers],[Elo - Em correção ]])</f>
        <v>0</v>
      </c>
      <c r="U379">
        <f>COUNTIFS(Tabela4[[#All],[Cenário]],Tabela4[[#This Row],[Cenário]],Tabela4[[#All],[Status]],Tabela4[[#Headers],[Keyuser - Aguardando tarefa precedente]])</f>
        <v>0</v>
      </c>
      <c r="V379">
        <f>COUNTIFS(Tabela4[[#All],[Cenário]],Tabela4[[#This Row],[Cenário]],Tabela4[[#All],[Status]],Tabela4[[#Headers],[Não liberado  para testes]])</f>
        <v>1</v>
      </c>
      <c r="W379" t="str">
        <f>IF(Tabela4[[#This Row],[Elo - Em correção ]]&gt;0,"Sim","Não")</f>
        <v>Não</v>
      </c>
      <c r="X379" t="str">
        <f>IF(Tabela4[[#This Row],[Keyuser - Aguardando tarefa precedente]]&gt;0,"Sim","Não")</f>
        <v>Não</v>
      </c>
      <c r="Y379" t="str">
        <f>IF(Tabela4[[#This Row],[Não liberado  para testes]]&gt;0,"Sim","Não")</f>
        <v>Sim</v>
      </c>
      <c r="Z379" t="str">
        <f ca="1">IF(Tabela4[[#This Row],[Status]]="Keyuser - Pendente",NETWORKDAYS(Tabela4[[#This Row],[Dt Inicial]],TODAY()),"")</f>
        <v/>
      </c>
      <c r="AA379" t="b">
        <f>AND(Tabela4[[#This Row],[Status]]="Keyuser - Aguardando tarefa precedente",K378="Keyuser - Concluído ")</f>
        <v>0</v>
      </c>
    </row>
    <row r="380" spans="1:27" x14ac:dyDescent="0.25">
      <c r="A380" t="str">
        <f>"OUT-"&amp;IFERROR(MID(Tabela4[[#This Row],[Cenário]],SEARCH("(",Tabela4[[#This Row],[Cenário]])+1,SEARCH(")",Tabela4[[#This Row],[Cenário]])-SEARCH("(",Tabela4[[#This Row],[Cenário]])-1),"")&amp;"_"&amp;ROW()</f>
        <v>OUT-Y90R_380</v>
      </c>
      <c r="B380" t="s">
        <v>358</v>
      </c>
      <c r="C380" t="s">
        <v>580</v>
      </c>
      <c r="D380" t="s">
        <v>368</v>
      </c>
      <c r="E380">
        <v>3</v>
      </c>
      <c r="F380" t="s">
        <v>368</v>
      </c>
      <c r="G380" t="s">
        <v>377</v>
      </c>
      <c r="H380" s="13" t="s">
        <v>581</v>
      </c>
      <c r="I380" s="13"/>
      <c r="J380" s="13"/>
      <c r="K380" s="9" t="s">
        <v>271</v>
      </c>
      <c r="L380" s="78">
        <v>45989</v>
      </c>
      <c r="N380" s="78">
        <v>45989</v>
      </c>
      <c r="O380" s="31" t="s">
        <v>582</v>
      </c>
      <c r="P380" s="9"/>
      <c r="Q380" s="9">
        <f>COUNTIF(Tabela4[[#All],[Cenário]],Tabela4[[#This Row],[Cenário]])</f>
        <v>6</v>
      </c>
      <c r="R380">
        <f>COUNTIFS(Tabela4[[#All],[Cenário]],Tabela4[[#This Row],[Cenário]],Tabela4[[#All],[Status]],"Keyuser - Concluído ")</f>
        <v>5</v>
      </c>
      <c r="S380" t="str">
        <f>IF(Tabela4[[#This Row],[Tarefas por Cenário]]-Tabela4[[#This Row],[Tarefas Concluídas]]&gt;0,"Não","Sim")</f>
        <v>Não</v>
      </c>
      <c r="T380">
        <f>COUNTIFS(Tabela4[[#All],[Cenário]],Tabela4[[#This Row],[Cenário]],Tabela4[[#All],[Status]],Tabela4[[#Headers],[Elo - Em correção ]])</f>
        <v>0</v>
      </c>
      <c r="U380">
        <f>COUNTIFS(Tabela4[[#All],[Cenário]],Tabela4[[#This Row],[Cenário]],Tabela4[[#All],[Status]],Tabela4[[#Headers],[Keyuser - Aguardando tarefa precedente]])</f>
        <v>0</v>
      </c>
      <c r="V380">
        <f>COUNTIFS(Tabela4[[#All],[Cenário]],Tabela4[[#This Row],[Cenário]],Tabela4[[#All],[Status]],Tabela4[[#Headers],[Não liberado  para testes]])</f>
        <v>1</v>
      </c>
      <c r="W380" t="str">
        <f>IF(Tabela4[[#This Row],[Elo - Em correção ]]&gt;0,"Sim","Não")</f>
        <v>Não</v>
      </c>
      <c r="X380" t="str">
        <f>IF(Tabela4[[#This Row],[Keyuser - Aguardando tarefa precedente]]&gt;0,"Sim","Não")</f>
        <v>Não</v>
      </c>
      <c r="Y380" t="str">
        <f>IF(Tabela4[[#This Row],[Não liberado  para testes]]&gt;0,"Sim","Não")</f>
        <v>Sim</v>
      </c>
      <c r="Z380" t="str">
        <f ca="1">IF(Tabela4[[#This Row],[Status]]="Keyuser - Pendente",NETWORKDAYS(Tabela4[[#This Row],[Dt Inicial]],TODAY()),"")</f>
        <v/>
      </c>
      <c r="AA380" t="b">
        <f>AND(Tabela4[[#This Row],[Status]]="Keyuser - Aguardando tarefa precedente",K379="Keyuser - Concluído ")</f>
        <v>0</v>
      </c>
    </row>
    <row r="381" spans="1:27" x14ac:dyDescent="0.25">
      <c r="A381" t="str">
        <f>"OUT-"&amp;IFERROR(MID(Tabela4[[#This Row],[Cenário]],SEARCH("(",Tabela4[[#This Row],[Cenário]])+1,SEARCH(")",Tabela4[[#This Row],[Cenário]])-SEARCH("(",Tabela4[[#This Row],[Cenário]])-1),"")&amp;"_"&amp;ROW()</f>
        <v>OUT-Y90R_381</v>
      </c>
      <c r="B381" t="s">
        <v>358</v>
      </c>
      <c r="C381" t="s">
        <v>580</v>
      </c>
      <c r="D381" t="s">
        <v>371</v>
      </c>
      <c r="E381">
        <v>4</v>
      </c>
      <c r="F381" t="s">
        <v>372</v>
      </c>
      <c r="G381" t="s">
        <v>287</v>
      </c>
      <c r="H381" s="13" t="s">
        <v>581</v>
      </c>
      <c r="I381" s="13"/>
      <c r="J381" s="13"/>
      <c r="K381" s="9" t="s">
        <v>271</v>
      </c>
      <c r="N381" s="78"/>
      <c r="O381" s="31" t="s">
        <v>583</v>
      </c>
      <c r="P381" s="9"/>
      <c r="Q381" s="9">
        <f>COUNTIF(Tabela4[[#All],[Cenário]],Tabela4[[#This Row],[Cenário]])</f>
        <v>6</v>
      </c>
      <c r="R381">
        <f>COUNTIFS(Tabela4[[#All],[Cenário]],Tabela4[[#This Row],[Cenário]],Tabela4[[#All],[Status]],"Keyuser - Concluído ")</f>
        <v>5</v>
      </c>
      <c r="S381" t="str">
        <f>IF(Tabela4[[#This Row],[Tarefas por Cenário]]-Tabela4[[#This Row],[Tarefas Concluídas]]&gt;0,"Não","Sim")</f>
        <v>Não</v>
      </c>
      <c r="T381">
        <f>COUNTIFS(Tabela4[[#All],[Cenário]],Tabela4[[#This Row],[Cenário]],Tabela4[[#All],[Status]],Tabela4[[#Headers],[Elo - Em correção ]])</f>
        <v>0</v>
      </c>
      <c r="U381">
        <f>COUNTIFS(Tabela4[[#All],[Cenário]],Tabela4[[#This Row],[Cenário]],Tabela4[[#All],[Status]],Tabela4[[#Headers],[Keyuser - Aguardando tarefa precedente]])</f>
        <v>0</v>
      </c>
      <c r="V381">
        <f>COUNTIFS(Tabela4[[#All],[Cenário]],Tabela4[[#This Row],[Cenário]],Tabela4[[#All],[Status]],Tabela4[[#Headers],[Não liberado  para testes]])</f>
        <v>1</v>
      </c>
      <c r="W381" t="str">
        <f>IF(Tabela4[[#This Row],[Elo - Em correção ]]&gt;0,"Sim","Não")</f>
        <v>Não</v>
      </c>
      <c r="X381" t="str">
        <f>IF(Tabela4[[#This Row],[Keyuser - Aguardando tarefa precedente]]&gt;0,"Sim","Não")</f>
        <v>Não</v>
      </c>
      <c r="Y381" t="str">
        <f>IF(Tabela4[[#This Row],[Não liberado  para testes]]&gt;0,"Sim","Não")</f>
        <v>Sim</v>
      </c>
      <c r="Z381" t="str">
        <f ca="1">IF(Tabela4[[#This Row],[Status]]="Keyuser - Pendente",NETWORKDAYS(Tabela4[[#This Row],[Dt Inicial]],TODAY()),"")</f>
        <v/>
      </c>
      <c r="AA381" t="b">
        <f>AND(Tabela4[[#This Row],[Status]]="Keyuser - Aguardando tarefa precedente",K380="Keyuser - Concluído ")</f>
        <v>0</v>
      </c>
    </row>
    <row r="382" spans="1:27" x14ac:dyDescent="0.25">
      <c r="A382" t="str">
        <f>"OUT-"&amp;IFERROR(MID(Tabela4[[#This Row],[Cenário]],SEARCH("(",Tabela4[[#This Row],[Cenário]])+1,SEARCH(")",Tabela4[[#This Row],[Cenário]])-SEARCH("(",Tabela4[[#This Row],[Cenário]])-1),"")&amp;"_"&amp;ROW()</f>
        <v>OUT-Y90R_382</v>
      </c>
      <c r="B382" t="s">
        <v>358</v>
      </c>
      <c r="C382" t="s">
        <v>580</v>
      </c>
      <c r="D382" t="s">
        <v>373</v>
      </c>
      <c r="E382">
        <v>5</v>
      </c>
      <c r="F382" t="s">
        <v>373</v>
      </c>
      <c r="G382" t="s">
        <v>283</v>
      </c>
      <c r="H382" s="13" t="s">
        <v>581</v>
      </c>
      <c r="I382" s="13"/>
      <c r="J382" s="13"/>
      <c r="K382" s="9" t="s">
        <v>271</v>
      </c>
      <c r="L382" s="78">
        <v>45789</v>
      </c>
      <c r="N382" s="78">
        <v>45789</v>
      </c>
      <c r="O382" s="31" t="s">
        <v>584</v>
      </c>
      <c r="P382" s="9"/>
      <c r="Q382" s="9">
        <f>COUNTIF(Tabela4[[#All],[Cenário]],Tabela4[[#This Row],[Cenário]])</f>
        <v>6</v>
      </c>
      <c r="R382">
        <f>COUNTIFS(Tabela4[[#All],[Cenário]],Tabela4[[#This Row],[Cenário]],Tabela4[[#All],[Status]],"Keyuser - Concluído ")</f>
        <v>5</v>
      </c>
      <c r="S382" t="str">
        <f>IF(Tabela4[[#This Row],[Tarefas por Cenário]]-Tabela4[[#This Row],[Tarefas Concluídas]]&gt;0,"Não","Sim")</f>
        <v>Não</v>
      </c>
      <c r="T382">
        <f>COUNTIFS(Tabela4[[#All],[Cenário]],Tabela4[[#This Row],[Cenário]],Tabela4[[#All],[Status]],Tabela4[[#Headers],[Elo - Em correção ]])</f>
        <v>0</v>
      </c>
      <c r="U382">
        <f>COUNTIFS(Tabela4[[#All],[Cenário]],Tabela4[[#This Row],[Cenário]],Tabela4[[#All],[Status]],Tabela4[[#Headers],[Keyuser - Aguardando tarefa precedente]])</f>
        <v>0</v>
      </c>
      <c r="V382">
        <f>COUNTIFS(Tabela4[[#All],[Cenário]],Tabela4[[#This Row],[Cenário]],Tabela4[[#All],[Status]],Tabela4[[#Headers],[Não liberado  para testes]])</f>
        <v>1</v>
      </c>
      <c r="W382" t="str">
        <f>IF(Tabela4[[#This Row],[Elo - Em correção ]]&gt;0,"Sim","Não")</f>
        <v>Não</v>
      </c>
      <c r="X382" t="str">
        <f>IF(Tabela4[[#This Row],[Keyuser - Aguardando tarefa precedente]]&gt;0,"Sim","Não")</f>
        <v>Não</v>
      </c>
      <c r="Y382" t="str">
        <f>IF(Tabela4[[#This Row],[Não liberado  para testes]]&gt;0,"Sim","Não")</f>
        <v>Sim</v>
      </c>
      <c r="Z382" t="str">
        <f ca="1">IF(Tabela4[[#This Row],[Status]]="Keyuser - Pendente",NETWORKDAYS(Tabela4[[#This Row],[Dt Inicial]],TODAY()),"")</f>
        <v/>
      </c>
      <c r="AA382" t="b">
        <f>AND(Tabela4[[#This Row],[Status]]="Keyuser - Aguardando tarefa precedente",K381="Keyuser - Concluído ")</f>
        <v>0</v>
      </c>
    </row>
    <row r="383" spans="1:27" x14ac:dyDescent="0.25">
      <c r="A383" t="str">
        <f>"OUT-"&amp;IFERROR(MID(Tabela4[[#This Row],[Cenário]],SEARCH("(",Tabela4[[#This Row],[Cenário]])+1,SEARCH(")",Tabela4[[#This Row],[Cenário]])-SEARCH("(",Tabela4[[#This Row],[Cenário]])-1),"")&amp;"_"&amp;ROW()</f>
        <v>OUT-Y90R_383</v>
      </c>
      <c r="B383" t="s">
        <v>374</v>
      </c>
      <c r="C383" t="s">
        <v>580</v>
      </c>
      <c r="D383" t="s">
        <v>286</v>
      </c>
      <c r="E383">
        <v>6</v>
      </c>
      <c r="F383" t="s">
        <v>286</v>
      </c>
      <c r="G383" t="s">
        <v>287</v>
      </c>
      <c r="H383" s="13"/>
      <c r="I383" s="13"/>
      <c r="J383" s="13"/>
      <c r="K383" s="9" t="s">
        <v>262</v>
      </c>
      <c r="N383" s="78"/>
      <c r="O383" s="31"/>
      <c r="P383" s="9"/>
      <c r="Q383" s="9">
        <f>COUNTIF(Tabela4[[#All],[Cenário]],Tabela4[[#This Row],[Cenário]])</f>
        <v>6</v>
      </c>
      <c r="R383">
        <f>COUNTIFS(Tabela4[[#All],[Cenário]],Tabela4[[#This Row],[Cenário]],Tabela4[[#All],[Status]],"Keyuser - Concluído ")</f>
        <v>5</v>
      </c>
      <c r="S383" t="str">
        <f>IF(Tabela4[[#This Row],[Tarefas por Cenário]]-Tabela4[[#This Row],[Tarefas Concluídas]]&gt;0,"Não","Sim")</f>
        <v>Não</v>
      </c>
      <c r="T383">
        <f>COUNTIFS(Tabela4[[#All],[Cenário]],Tabela4[[#This Row],[Cenário]],Tabela4[[#All],[Status]],Tabela4[[#Headers],[Elo - Em correção ]])</f>
        <v>0</v>
      </c>
      <c r="U383">
        <f>COUNTIFS(Tabela4[[#All],[Cenário]],Tabela4[[#This Row],[Cenário]],Tabela4[[#All],[Status]],Tabela4[[#Headers],[Keyuser - Aguardando tarefa precedente]])</f>
        <v>0</v>
      </c>
      <c r="V383">
        <f>COUNTIFS(Tabela4[[#All],[Cenário]],Tabela4[[#This Row],[Cenário]],Tabela4[[#All],[Status]],Tabela4[[#Headers],[Não liberado  para testes]])</f>
        <v>1</v>
      </c>
      <c r="W383" t="str">
        <f>IF(Tabela4[[#This Row],[Elo - Em correção ]]&gt;0,"Sim","Não")</f>
        <v>Não</v>
      </c>
      <c r="X383" t="str">
        <f>IF(Tabela4[[#This Row],[Keyuser - Aguardando tarefa precedente]]&gt;0,"Sim","Não")</f>
        <v>Não</v>
      </c>
      <c r="Y383" t="str">
        <f>IF(Tabela4[[#This Row],[Não liberado  para testes]]&gt;0,"Sim","Não")</f>
        <v>Sim</v>
      </c>
      <c r="Z383" t="str">
        <f ca="1">IF(Tabela4[[#This Row],[Status]]="Keyuser - Pendente",NETWORKDAYS(Tabela4[[#This Row],[Dt Inicial]],TODAY()),"")</f>
        <v/>
      </c>
      <c r="AA383" t="b">
        <f>AND(Tabela4[[#This Row],[Status]]="Keyuser - Aguardando tarefa precedente",K382="Keyuser - Concluído ")</f>
        <v>0</v>
      </c>
    </row>
    <row r="384" spans="1:27" x14ac:dyDescent="0.25">
      <c r="A384" t="str">
        <f>"OUT-"&amp;IFERROR(MID(Tabela4[[#This Row],[Cenário]],SEARCH("(",Tabela4[[#This Row],[Cenário]])+1,SEARCH(")",Tabela4[[#This Row],[Cenário]])-SEARCH("(",Tabela4[[#This Row],[Cenário]])-1),"")&amp;"_"&amp;ROW()</f>
        <v>OUT-Y903_384</v>
      </c>
      <c r="B384" t="s">
        <v>358</v>
      </c>
      <c r="C384" t="s">
        <v>585</v>
      </c>
      <c r="D384" t="s">
        <v>360</v>
      </c>
      <c r="E384">
        <v>1</v>
      </c>
      <c r="F384" t="s">
        <v>360</v>
      </c>
      <c r="G384" t="s">
        <v>361</v>
      </c>
      <c r="H384" s="18">
        <v>70583984</v>
      </c>
      <c r="I384" s="13" t="s">
        <v>586</v>
      </c>
      <c r="J384" s="13" t="s">
        <v>364</v>
      </c>
      <c r="K384" s="9" t="s">
        <v>271</v>
      </c>
      <c r="L384" s="78" t="s">
        <v>539</v>
      </c>
      <c r="N384" s="78">
        <v>45986</v>
      </c>
      <c r="O384" s="31"/>
      <c r="P384" s="9"/>
      <c r="Q384" s="9">
        <f>COUNTIF(Tabela4[[#All],[Cenário]],Tabela4[[#This Row],[Cenário]])</f>
        <v>7</v>
      </c>
      <c r="R384">
        <f>COUNTIFS(Tabela4[[#All],[Cenário]],Tabela4[[#This Row],[Cenário]],Tabela4[[#All],[Status]],"Keyuser - Concluído ")</f>
        <v>6</v>
      </c>
      <c r="S384" t="str">
        <f>IF(Tabela4[[#This Row],[Tarefas por Cenário]]-Tabela4[[#This Row],[Tarefas Concluídas]]&gt;0,"Não","Sim")</f>
        <v>Não</v>
      </c>
      <c r="T384">
        <f>COUNTIFS(Tabela4[[#All],[Cenário]],Tabela4[[#This Row],[Cenário]],Tabela4[[#All],[Status]],Tabela4[[#Headers],[Elo - Em correção ]])</f>
        <v>0</v>
      </c>
      <c r="U384">
        <f>COUNTIFS(Tabela4[[#All],[Cenário]],Tabela4[[#This Row],[Cenário]],Tabela4[[#All],[Status]],Tabela4[[#Headers],[Keyuser - Aguardando tarefa precedente]])</f>
        <v>0</v>
      </c>
      <c r="V384">
        <f>COUNTIFS(Tabela4[[#All],[Cenário]],Tabela4[[#This Row],[Cenário]],Tabela4[[#All],[Status]],Tabela4[[#Headers],[Não liberado  para testes]])</f>
        <v>1</v>
      </c>
      <c r="W384" t="str">
        <f>IF(Tabela4[[#This Row],[Elo - Em correção ]]&gt;0,"Sim","Não")</f>
        <v>Não</v>
      </c>
      <c r="X384" t="str">
        <f>IF(Tabela4[[#This Row],[Keyuser - Aguardando tarefa precedente]]&gt;0,"Sim","Não")</f>
        <v>Não</v>
      </c>
      <c r="Y384" t="str">
        <f>IF(Tabela4[[#This Row],[Não liberado  para testes]]&gt;0,"Sim","Não")</f>
        <v>Sim</v>
      </c>
      <c r="Z384" t="str">
        <f ca="1">IF(Tabela4[[#This Row],[Status]]="Keyuser - Pendente",NETWORKDAYS(Tabela4[[#This Row],[Dt Inicial]],TODAY()),"")</f>
        <v/>
      </c>
      <c r="AA384" t="b">
        <f>AND(Tabela4[[#This Row],[Status]]="Keyuser - Aguardando tarefa precedente",K383="Keyuser - Concluído ")</f>
        <v>0</v>
      </c>
    </row>
    <row r="385" spans="1:27" x14ac:dyDescent="0.25">
      <c r="A385" t="str">
        <f>"OUT-"&amp;IFERROR(MID(Tabela4[[#This Row],[Cenário]],SEARCH("(",Tabela4[[#This Row],[Cenário]])+1,SEARCH(")",Tabela4[[#This Row],[Cenário]])-SEARCH("(",Tabela4[[#This Row],[Cenário]])-1),"")&amp;"_"&amp;ROW()</f>
        <v>OUT-Y903_385</v>
      </c>
      <c r="B385" t="s">
        <v>358</v>
      </c>
      <c r="C385" t="s">
        <v>585</v>
      </c>
      <c r="D385" t="s">
        <v>365</v>
      </c>
      <c r="E385">
        <v>2</v>
      </c>
      <c r="F385" t="s">
        <v>365</v>
      </c>
      <c r="G385" t="s">
        <v>310</v>
      </c>
      <c r="H385" s="18">
        <v>70583984</v>
      </c>
      <c r="I385" s="13" t="s">
        <v>586</v>
      </c>
      <c r="J385" s="13" t="s">
        <v>364</v>
      </c>
      <c r="K385" s="9" t="s">
        <v>271</v>
      </c>
      <c r="L385" s="78" t="s">
        <v>539</v>
      </c>
      <c r="N385" s="78">
        <v>45986</v>
      </c>
      <c r="O385" s="31"/>
      <c r="P385" s="9"/>
      <c r="Q385" s="9">
        <f>COUNTIF(Tabela4[[#All],[Cenário]],Tabela4[[#This Row],[Cenário]])</f>
        <v>7</v>
      </c>
      <c r="R385">
        <f>COUNTIFS(Tabela4[[#All],[Cenário]],Tabela4[[#This Row],[Cenário]],Tabela4[[#All],[Status]],"Keyuser - Concluído ")</f>
        <v>6</v>
      </c>
      <c r="S385" t="str">
        <f>IF(Tabela4[[#This Row],[Tarefas por Cenário]]-Tabela4[[#This Row],[Tarefas Concluídas]]&gt;0,"Não","Sim")</f>
        <v>Não</v>
      </c>
      <c r="T385">
        <f>COUNTIFS(Tabela4[[#All],[Cenário]],Tabela4[[#This Row],[Cenário]],Tabela4[[#All],[Status]],Tabela4[[#Headers],[Elo - Em correção ]])</f>
        <v>0</v>
      </c>
      <c r="U385">
        <f>COUNTIFS(Tabela4[[#All],[Cenário]],Tabela4[[#This Row],[Cenário]],Tabela4[[#All],[Status]],Tabela4[[#Headers],[Keyuser - Aguardando tarefa precedente]])</f>
        <v>0</v>
      </c>
      <c r="V385">
        <f>COUNTIFS(Tabela4[[#All],[Cenário]],Tabela4[[#This Row],[Cenário]],Tabela4[[#All],[Status]],Tabela4[[#Headers],[Não liberado  para testes]])</f>
        <v>1</v>
      </c>
      <c r="W385" t="str">
        <f>IF(Tabela4[[#This Row],[Elo - Em correção ]]&gt;0,"Sim","Não")</f>
        <v>Não</v>
      </c>
      <c r="X385" t="str">
        <f>IF(Tabela4[[#This Row],[Keyuser - Aguardando tarefa precedente]]&gt;0,"Sim","Não")</f>
        <v>Não</v>
      </c>
      <c r="Y385" t="str">
        <f>IF(Tabela4[[#This Row],[Não liberado  para testes]]&gt;0,"Sim","Não")</f>
        <v>Sim</v>
      </c>
      <c r="Z385" t="str">
        <f ca="1">IF(Tabela4[[#This Row],[Status]]="Keyuser - Pendente",NETWORKDAYS(Tabela4[[#This Row],[Dt Inicial]],TODAY()),"")</f>
        <v/>
      </c>
      <c r="AA385" t="b">
        <f>AND(Tabela4[[#This Row],[Status]]="Keyuser - Aguardando tarefa precedente",K384="Keyuser - Concluído ")</f>
        <v>0</v>
      </c>
    </row>
    <row r="386" spans="1:27" x14ac:dyDescent="0.25">
      <c r="A386" t="str">
        <f>"OUT-"&amp;IFERROR(MID(Tabela4[[#This Row],[Cenário]],SEARCH("(",Tabela4[[#This Row],[Cenário]])+1,SEARCH(")",Tabela4[[#This Row],[Cenário]])-SEARCH("(",Tabela4[[#This Row],[Cenário]])-1),"")&amp;"_"&amp;ROW()</f>
        <v>OUT-Y903_386</v>
      </c>
      <c r="B386" t="s">
        <v>358</v>
      </c>
      <c r="C386" t="s">
        <v>585</v>
      </c>
      <c r="D386" t="s">
        <v>366</v>
      </c>
      <c r="E386">
        <v>3</v>
      </c>
      <c r="F386" t="s">
        <v>366</v>
      </c>
      <c r="G386" t="s">
        <v>367</v>
      </c>
      <c r="H386" s="18">
        <v>70583984</v>
      </c>
      <c r="I386" s="13" t="s">
        <v>586</v>
      </c>
      <c r="J386" s="13" t="s">
        <v>364</v>
      </c>
      <c r="K386" s="9" t="s">
        <v>271</v>
      </c>
      <c r="L386" s="78" t="s">
        <v>539</v>
      </c>
      <c r="N386" s="78">
        <v>45986</v>
      </c>
      <c r="O386" s="31"/>
      <c r="P386" s="9"/>
      <c r="Q386" s="9">
        <f>COUNTIF(Tabela4[[#All],[Cenário]],Tabela4[[#This Row],[Cenário]])</f>
        <v>7</v>
      </c>
      <c r="R386">
        <f>COUNTIFS(Tabela4[[#All],[Cenário]],Tabela4[[#This Row],[Cenário]],Tabela4[[#All],[Status]],"Keyuser - Concluído ")</f>
        <v>6</v>
      </c>
      <c r="S386" t="str">
        <f>IF(Tabela4[[#This Row],[Tarefas por Cenário]]-Tabela4[[#This Row],[Tarefas Concluídas]]&gt;0,"Não","Sim")</f>
        <v>Não</v>
      </c>
      <c r="T386">
        <f>COUNTIFS(Tabela4[[#All],[Cenário]],Tabela4[[#This Row],[Cenário]],Tabela4[[#All],[Status]],Tabela4[[#Headers],[Elo - Em correção ]])</f>
        <v>0</v>
      </c>
      <c r="U386">
        <f>COUNTIFS(Tabela4[[#All],[Cenário]],Tabela4[[#This Row],[Cenário]],Tabela4[[#All],[Status]],Tabela4[[#Headers],[Keyuser - Aguardando tarefa precedente]])</f>
        <v>0</v>
      </c>
      <c r="V386">
        <f>COUNTIFS(Tabela4[[#All],[Cenário]],Tabela4[[#This Row],[Cenário]],Tabela4[[#All],[Status]],Tabela4[[#Headers],[Não liberado  para testes]])</f>
        <v>1</v>
      </c>
      <c r="W386" t="str">
        <f>IF(Tabela4[[#This Row],[Elo - Em correção ]]&gt;0,"Sim","Não")</f>
        <v>Não</v>
      </c>
      <c r="X386" t="str">
        <f>IF(Tabela4[[#This Row],[Keyuser - Aguardando tarefa precedente]]&gt;0,"Sim","Não")</f>
        <v>Não</v>
      </c>
      <c r="Y386" t="str">
        <f>IF(Tabela4[[#This Row],[Não liberado  para testes]]&gt;0,"Sim","Não")</f>
        <v>Sim</v>
      </c>
      <c r="Z386" t="str">
        <f ca="1">IF(Tabela4[[#This Row],[Status]]="Keyuser - Pendente",NETWORKDAYS(Tabela4[[#This Row],[Dt Inicial]],TODAY()),"")</f>
        <v/>
      </c>
      <c r="AA386" t="b">
        <f>AND(Tabela4[[#This Row],[Status]]="Keyuser - Aguardando tarefa precedente",K385="Keyuser - Concluído ")</f>
        <v>0</v>
      </c>
    </row>
    <row r="387" spans="1:27" x14ac:dyDescent="0.25">
      <c r="A387" t="str">
        <f>"OUT-"&amp;IFERROR(MID(Tabela4[[#This Row],[Cenário]],SEARCH("(",Tabela4[[#This Row],[Cenário]])+1,SEARCH(")",Tabela4[[#This Row],[Cenário]])-SEARCH("(",Tabela4[[#This Row],[Cenário]])-1),"")&amp;"_"&amp;ROW()</f>
        <v>OUT-Y903_387</v>
      </c>
      <c r="B387" t="s">
        <v>358</v>
      </c>
      <c r="C387" t="s">
        <v>585</v>
      </c>
      <c r="D387" t="s">
        <v>368</v>
      </c>
      <c r="E387">
        <v>4</v>
      </c>
      <c r="F387" t="s">
        <v>368</v>
      </c>
      <c r="G387" t="s">
        <v>369</v>
      </c>
      <c r="H387" s="13" t="s">
        <v>587</v>
      </c>
      <c r="I387" s="13"/>
      <c r="J387" s="13" t="s">
        <v>364</v>
      </c>
      <c r="K387" s="9" t="s">
        <v>271</v>
      </c>
      <c r="L387" s="78">
        <v>45986</v>
      </c>
      <c r="N387" s="78">
        <v>45986</v>
      </c>
      <c r="O387" s="71"/>
      <c r="P387" s="9"/>
      <c r="Q387" s="9">
        <f>COUNTIF(Tabela4[[#All],[Cenário]],Tabela4[[#This Row],[Cenário]])</f>
        <v>7</v>
      </c>
      <c r="R387">
        <f>COUNTIFS(Tabela4[[#All],[Cenário]],Tabela4[[#This Row],[Cenário]],Tabela4[[#All],[Status]],"Keyuser - Concluído ")</f>
        <v>6</v>
      </c>
      <c r="S387" t="str">
        <f>IF(Tabela4[[#This Row],[Tarefas por Cenário]]-Tabela4[[#This Row],[Tarefas Concluídas]]&gt;0,"Não","Sim")</f>
        <v>Não</v>
      </c>
      <c r="T387">
        <f>COUNTIFS(Tabela4[[#All],[Cenário]],Tabela4[[#This Row],[Cenário]],Tabela4[[#All],[Status]],Tabela4[[#Headers],[Elo - Em correção ]])</f>
        <v>0</v>
      </c>
      <c r="U387">
        <f>COUNTIFS(Tabela4[[#All],[Cenário]],Tabela4[[#This Row],[Cenário]],Tabela4[[#All],[Status]],Tabela4[[#Headers],[Keyuser - Aguardando tarefa precedente]])</f>
        <v>0</v>
      </c>
      <c r="V387">
        <f>COUNTIFS(Tabela4[[#All],[Cenário]],Tabela4[[#This Row],[Cenário]],Tabela4[[#All],[Status]],Tabela4[[#Headers],[Não liberado  para testes]])</f>
        <v>1</v>
      </c>
      <c r="W387" t="str">
        <f>IF(Tabela4[[#This Row],[Elo - Em correção ]]&gt;0,"Sim","Não")</f>
        <v>Não</v>
      </c>
      <c r="X387" t="str">
        <f>IF(Tabela4[[#This Row],[Keyuser - Aguardando tarefa precedente]]&gt;0,"Sim","Não")</f>
        <v>Não</v>
      </c>
      <c r="Y387" t="str">
        <f>IF(Tabela4[[#This Row],[Não liberado  para testes]]&gt;0,"Sim","Não")</f>
        <v>Sim</v>
      </c>
      <c r="Z387" t="str">
        <f ca="1">IF(Tabela4[[#This Row],[Status]]="Keyuser - Pendente",NETWORKDAYS(Tabela4[[#This Row],[Dt Inicial]],TODAY()),"")</f>
        <v/>
      </c>
      <c r="AA387" t="b">
        <f>AND(Tabela4[[#This Row],[Status]]="Keyuser - Aguardando tarefa precedente",K386="Keyuser - Concluído ")</f>
        <v>0</v>
      </c>
    </row>
    <row r="388" spans="1:27" x14ac:dyDescent="0.25">
      <c r="A388" t="str">
        <f>"OUT-"&amp;IFERROR(MID(Tabela4[[#This Row],[Cenário]],SEARCH("(",Tabela4[[#This Row],[Cenário]])+1,SEARCH(")",Tabela4[[#This Row],[Cenário]])-SEARCH("(",Tabela4[[#This Row],[Cenário]])-1),"")&amp;"_"&amp;ROW()</f>
        <v>OUT-Y903_388</v>
      </c>
      <c r="B388" t="s">
        <v>358</v>
      </c>
      <c r="C388" t="s">
        <v>585</v>
      </c>
      <c r="D388" t="s">
        <v>434</v>
      </c>
      <c r="E388">
        <v>5</v>
      </c>
      <c r="F388" t="s">
        <v>435</v>
      </c>
      <c r="G388" t="s">
        <v>287</v>
      </c>
      <c r="H388" s="13" t="s">
        <v>587</v>
      </c>
      <c r="I388" s="13"/>
      <c r="J388" s="13"/>
      <c r="K388" s="9" t="s">
        <v>271</v>
      </c>
      <c r="L388" s="78" t="s">
        <v>567</v>
      </c>
      <c r="N388" s="78">
        <v>45988</v>
      </c>
      <c r="O388" s="31"/>
      <c r="P388" s="9"/>
      <c r="Q388" s="9">
        <f>COUNTIF(Tabela4[[#All],[Cenário]],Tabela4[[#This Row],[Cenário]])</f>
        <v>7</v>
      </c>
      <c r="R388">
        <f>COUNTIFS(Tabela4[[#All],[Cenário]],Tabela4[[#This Row],[Cenário]],Tabela4[[#All],[Status]],"Keyuser - Concluído ")</f>
        <v>6</v>
      </c>
      <c r="S388" t="str">
        <f>IF(Tabela4[[#This Row],[Tarefas por Cenário]]-Tabela4[[#This Row],[Tarefas Concluídas]]&gt;0,"Não","Sim")</f>
        <v>Não</v>
      </c>
      <c r="T388">
        <f>COUNTIFS(Tabela4[[#All],[Cenário]],Tabela4[[#This Row],[Cenário]],Tabela4[[#All],[Status]],Tabela4[[#Headers],[Elo - Em correção ]])</f>
        <v>0</v>
      </c>
      <c r="U388">
        <f>COUNTIFS(Tabela4[[#All],[Cenário]],Tabela4[[#This Row],[Cenário]],Tabela4[[#All],[Status]],Tabela4[[#Headers],[Keyuser - Aguardando tarefa precedente]])</f>
        <v>0</v>
      </c>
      <c r="V388">
        <f>COUNTIFS(Tabela4[[#All],[Cenário]],Tabela4[[#This Row],[Cenário]],Tabela4[[#All],[Status]],Tabela4[[#Headers],[Não liberado  para testes]])</f>
        <v>1</v>
      </c>
      <c r="W388" t="str">
        <f>IF(Tabela4[[#This Row],[Elo - Em correção ]]&gt;0,"Sim","Não")</f>
        <v>Não</v>
      </c>
      <c r="X388" t="str">
        <f>IF(Tabela4[[#This Row],[Keyuser - Aguardando tarefa precedente]]&gt;0,"Sim","Não")</f>
        <v>Não</v>
      </c>
      <c r="Y388" t="str">
        <f>IF(Tabela4[[#This Row],[Não liberado  para testes]]&gt;0,"Sim","Não")</f>
        <v>Sim</v>
      </c>
      <c r="Z388" t="str">
        <f ca="1">IF(Tabela4[[#This Row],[Status]]="Keyuser - Pendente",NETWORKDAYS(Tabela4[[#This Row],[Dt Inicial]],TODAY()),"")</f>
        <v/>
      </c>
      <c r="AA388" t="b">
        <f>AND(Tabela4[[#This Row],[Status]]="Keyuser - Aguardando tarefa precedente",K387="Keyuser - Concluído ")</f>
        <v>0</v>
      </c>
    </row>
    <row r="389" spans="1:27" x14ac:dyDescent="0.25">
      <c r="A389" t="str">
        <f>"OUT-"&amp;IFERROR(MID(Tabela4[[#This Row],[Cenário]],SEARCH("(",Tabela4[[#This Row],[Cenário]])+1,SEARCH(")",Tabela4[[#This Row],[Cenário]])-SEARCH("(",Tabela4[[#This Row],[Cenário]])-1),"")&amp;"_"&amp;ROW()</f>
        <v>OUT-Y903_389</v>
      </c>
      <c r="B389" t="s">
        <v>358</v>
      </c>
      <c r="C389" t="s">
        <v>585</v>
      </c>
      <c r="D389" t="s">
        <v>373</v>
      </c>
      <c r="E389">
        <v>6</v>
      </c>
      <c r="F389" t="s">
        <v>373</v>
      </c>
      <c r="G389" t="s">
        <v>283</v>
      </c>
      <c r="H389" s="13" t="s">
        <v>587</v>
      </c>
      <c r="I389" s="13"/>
      <c r="J389" s="13"/>
      <c r="K389" s="9" t="s">
        <v>271</v>
      </c>
      <c r="L389" s="78" t="s">
        <v>567</v>
      </c>
      <c r="N389" s="78">
        <v>45988</v>
      </c>
      <c r="O389" s="31"/>
      <c r="P389" s="9"/>
      <c r="Q389" s="9">
        <f>COUNTIF(Tabela4[[#All],[Cenário]],Tabela4[[#This Row],[Cenário]])</f>
        <v>7</v>
      </c>
      <c r="R389">
        <f>COUNTIFS(Tabela4[[#All],[Cenário]],Tabela4[[#This Row],[Cenário]],Tabela4[[#All],[Status]],"Keyuser - Concluído ")</f>
        <v>6</v>
      </c>
      <c r="S389" t="str">
        <f>IF(Tabela4[[#This Row],[Tarefas por Cenário]]-Tabela4[[#This Row],[Tarefas Concluídas]]&gt;0,"Não","Sim")</f>
        <v>Não</v>
      </c>
      <c r="T389">
        <f>COUNTIFS(Tabela4[[#All],[Cenário]],Tabela4[[#This Row],[Cenário]],Tabela4[[#All],[Status]],Tabela4[[#Headers],[Elo - Em correção ]])</f>
        <v>0</v>
      </c>
      <c r="U389">
        <f>COUNTIFS(Tabela4[[#All],[Cenário]],Tabela4[[#This Row],[Cenário]],Tabela4[[#All],[Status]],Tabela4[[#Headers],[Keyuser - Aguardando tarefa precedente]])</f>
        <v>0</v>
      </c>
      <c r="V389">
        <f>COUNTIFS(Tabela4[[#All],[Cenário]],Tabela4[[#This Row],[Cenário]],Tabela4[[#All],[Status]],Tabela4[[#Headers],[Não liberado  para testes]])</f>
        <v>1</v>
      </c>
      <c r="W389" t="str">
        <f>IF(Tabela4[[#This Row],[Elo - Em correção ]]&gt;0,"Sim","Não")</f>
        <v>Não</v>
      </c>
      <c r="X389" t="str">
        <f>IF(Tabela4[[#This Row],[Keyuser - Aguardando tarefa precedente]]&gt;0,"Sim","Não")</f>
        <v>Não</v>
      </c>
      <c r="Y389" t="str">
        <f>IF(Tabela4[[#This Row],[Não liberado  para testes]]&gt;0,"Sim","Não")</f>
        <v>Sim</v>
      </c>
      <c r="Z389" t="str">
        <f ca="1">IF(Tabela4[[#This Row],[Status]]="Keyuser - Pendente",NETWORKDAYS(Tabela4[[#This Row],[Dt Inicial]],TODAY()),"")</f>
        <v/>
      </c>
      <c r="AA389" t="b">
        <f>AND(Tabela4[[#This Row],[Status]]="Keyuser - Aguardando tarefa precedente",K388="Keyuser - Concluído ")</f>
        <v>0</v>
      </c>
    </row>
    <row r="390" spans="1:27" x14ac:dyDescent="0.25">
      <c r="A390" t="str">
        <f>"OUT-"&amp;IFERROR(MID(Tabela4[[#This Row],[Cenário]],SEARCH("(",Tabela4[[#This Row],[Cenário]])+1,SEARCH(")",Tabela4[[#This Row],[Cenário]])-SEARCH("(",Tabela4[[#This Row],[Cenário]])-1),"")&amp;"_"&amp;ROW()</f>
        <v>OUT-Y903_390</v>
      </c>
      <c r="B390" t="s">
        <v>374</v>
      </c>
      <c r="C390" t="s">
        <v>585</v>
      </c>
      <c r="D390" t="s">
        <v>286</v>
      </c>
      <c r="E390">
        <v>7</v>
      </c>
      <c r="F390" t="s">
        <v>286</v>
      </c>
      <c r="G390" t="s">
        <v>287</v>
      </c>
      <c r="H390" s="13"/>
      <c r="I390" s="13"/>
      <c r="J390" s="13"/>
      <c r="K390" s="9" t="s">
        <v>262</v>
      </c>
      <c r="N390" s="78"/>
      <c r="O390" s="31"/>
      <c r="P390" s="9"/>
      <c r="Q390" s="9">
        <f>COUNTIF(Tabela4[[#All],[Cenário]],Tabela4[[#This Row],[Cenário]])</f>
        <v>7</v>
      </c>
      <c r="R390">
        <f>COUNTIFS(Tabela4[[#All],[Cenário]],Tabela4[[#This Row],[Cenário]],Tabela4[[#All],[Status]],"Keyuser - Concluído ")</f>
        <v>6</v>
      </c>
      <c r="S390" t="str">
        <f>IF(Tabela4[[#This Row],[Tarefas por Cenário]]-Tabela4[[#This Row],[Tarefas Concluídas]]&gt;0,"Não","Sim")</f>
        <v>Não</v>
      </c>
      <c r="T390">
        <f>COUNTIFS(Tabela4[[#All],[Cenário]],Tabela4[[#This Row],[Cenário]],Tabela4[[#All],[Status]],Tabela4[[#Headers],[Elo - Em correção ]])</f>
        <v>0</v>
      </c>
      <c r="U390">
        <f>COUNTIFS(Tabela4[[#All],[Cenário]],Tabela4[[#This Row],[Cenário]],Tabela4[[#All],[Status]],Tabela4[[#Headers],[Keyuser - Aguardando tarefa precedente]])</f>
        <v>0</v>
      </c>
      <c r="V390">
        <f>COUNTIFS(Tabela4[[#All],[Cenário]],Tabela4[[#This Row],[Cenário]],Tabela4[[#All],[Status]],Tabela4[[#Headers],[Não liberado  para testes]])</f>
        <v>1</v>
      </c>
      <c r="W390" t="str">
        <f>IF(Tabela4[[#This Row],[Elo - Em correção ]]&gt;0,"Sim","Não")</f>
        <v>Não</v>
      </c>
      <c r="X390" t="str">
        <f>IF(Tabela4[[#This Row],[Keyuser - Aguardando tarefa precedente]]&gt;0,"Sim","Não")</f>
        <v>Não</v>
      </c>
      <c r="Y390" t="str">
        <f>IF(Tabela4[[#This Row],[Não liberado  para testes]]&gt;0,"Sim","Não")</f>
        <v>Sim</v>
      </c>
      <c r="Z390" t="str">
        <f ca="1">IF(Tabela4[[#This Row],[Status]]="Keyuser - Pendente",NETWORKDAYS(Tabela4[[#This Row],[Dt Inicial]],TODAY()),"")</f>
        <v/>
      </c>
      <c r="AA390" t="b">
        <f>AND(Tabela4[[#This Row],[Status]]="Keyuser - Aguardando tarefa precedente",K389="Keyuser - Concluído ")</f>
        <v>0</v>
      </c>
    </row>
    <row r="391" spans="1:27" x14ac:dyDescent="0.25">
      <c r="A391" t="str">
        <f>"OUT-"&amp;IFERROR(MID(Tabela4[[#This Row],[Cenário]],SEARCH("(",Tabela4[[#This Row],[Cenário]])+1,SEARCH(")",Tabela4[[#This Row],[Cenário]])-SEARCH("(",Tabela4[[#This Row],[Cenário]])-1),"")&amp;"_"&amp;ROW()</f>
        <v>OUT-Y90C_391</v>
      </c>
      <c r="B391" t="s">
        <v>358</v>
      </c>
      <c r="C391" t="s">
        <v>588</v>
      </c>
      <c r="D391" t="s">
        <v>360</v>
      </c>
      <c r="E391">
        <v>1</v>
      </c>
      <c r="F391" t="s">
        <v>360</v>
      </c>
      <c r="G391" t="s">
        <v>377</v>
      </c>
      <c r="H391" s="13">
        <v>60668362</v>
      </c>
      <c r="I391" s="13"/>
      <c r="J391" s="13"/>
      <c r="K391" s="9" t="s">
        <v>271</v>
      </c>
      <c r="L391" s="78">
        <v>45989</v>
      </c>
      <c r="N391" s="78">
        <v>45989</v>
      </c>
      <c r="O391" s="31"/>
      <c r="P391" s="9"/>
      <c r="Q391" s="9">
        <f>COUNTIF(Tabela4[[#All],[Cenário]],Tabela4[[#This Row],[Cenário]])</f>
        <v>5</v>
      </c>
      <c r="R391">
        <f>COUNTIFS(Tabela4[[#All],[Cenário]],Tabela4[[#This Row],[Cenário]],Tabela4[[#All],[Status]],"Keyuser - Concluído ")</f>
        <v>5</v>
      </c>
      <c r="S391" t="str">
        <f>IF(Tabela4[[#This Row],[Tarefas por Cenário]]-Tabela4[[#This Row],[Tarefas Concluídas]]&gt;0,"Não","Sim")</f>
        <v>Sim</v>
      </c>
      <c r="T391">
        <f>COUNTIFS(Tabela4[[#All],[Cenário]],Tabela4[[#This Row],[Cenário]],Tabela4[[#All],[Status]],Tabela4[[#Headers],[Elo - Em correção ]])</f>
        <v>0</v>
      </c>
      <c r="U391">
        <f>COUNTIFS(Tabela4[[#All],[Cenário]],Tabela4[[#This Row],[Cenário]],Tabela4[[#All],[Status]],Tabela4[[#Headers],[Keyuser - Aguardando tarefa precedente]])</f>
        <v>0</v>
      </c>
      <c r="V391">
        <f>COUNTIFS(Tabela4[[#All],[Cenário]],Tabela4[[#This Row],[Cenário]],Tabela4[[#All],[Status]],Tabela4[[#Headers],[Não liberado  para testes]])</f>
        <v>0</v>
      </c>
      <c r="W391" t="str">
        <f>IF(Tabela4[[#This Row],[Elo - Em correção ]]&gt;0,"Sim","Não")</f>
        <v>Não</v>
      </c>
      <c r="X391" t="str">
        <f>IF(Tabela4[[#This Row],[Keyuser - Aguardando tarefa precedente]]&gt;0,"Sim","Não")</f>
        <v>Não</v>
      </c>
      <c r="Y391" t="str">
        <f>IF(Tabela4[[#This Row],[Não liberado  para testes]]&gt;0,"Sim","Não")</f>
        <v>Não</v>
      </c>
      <c r="Z391" t="str">
        <f ca="1">IF(Tabela4[[#This Row],[Status]]="Keyuser - Pendente",NETWORKDAYS(Tabela4[[#This Row],[Dt Inicial]],TODAY()),"")</f>
        <v/>
      </c>
      <c r="AA391" t="b">
        <f>AND(Tabela4[[#This Row],[Status]]="Keyuser - Aguardando tarefa precedente",K390="Keyuser - Concluído ")</f>
        <v>0</v>
      </c>
    </row>
    <row r="392" spans="1:27" x14ac:dyDescent="0.25">
      <c r="A392" t="str">
        <f>"OUT-"&amp;IFERROR(MID(Tabela4[[#This Row],[Cenário]],SEARCH("(",Tabela4[[#This Row],[Cenário]])+1,SEARCH(")",Tabela4[[#This Row],[Cenário]])-SEARCH("(",Tabela4[[#This Row],[Cenário]])-1),"")&amp;"_"&amp;ROW()</f>
        <v>OUT-Y90C_392</v>
      </c>
      <c r="B392" t="s">
        <v>358</v>
      </c>
      <c r="C392" t="s">
        <v>588</v>
      </c>
      <c r="D392" t="s">
        <v>365</v>
      </c>
      <c r="E392">
        <v>2</v>
      </c>
      <c r="F392" t="s">
        <v>365</v>
      </c>
      <c r="G392" t="s">
        <v>310</v>
      </c>
      <c r="H392" s="13">
        <v>60668362</v>
      </c>
      <c r="I392" s="13"/>
      <c r="J392" s="13"/>
      <c r="K392" s="9" t="s">
        <v>271</v>
      </c>
      <c r="L392" s="78">
        <v>45989</v>
      </c>
      <c r="N392" s="78">
        <v>45989</v>
      </c>
      <c r="O392" s="31"/>
      <c r="P392" s="9"/>
      <c r="Q392" s="9">
        <f>COUNTIF(Tabela4[[#All],[Cenário]],Tabela4[[#This Row],[Cenário]])</f>
        <v>5</v>
      </c>
      <c r="R392">
        <f>COUNTIFS(Tabela4[[#All],[Cenário]],Tabela4[[#This Row],[Cenário]],Tabela4[[#All],[Status]],"Keyuser - Concluído ")</f>
        <v>5</v>
      </c>
      <c r="S392" t="str">
        <f>IF(Tabela4[[#This Row],[Tarefas por Cenário]]-Tabela4[[#This Row],[Tarefas Concluídas]]&gt;0,"Não","Sim")</f>
        <v>Sim</v>
      </c>
      <c r="T392">
        <f>COUNTIFS(Tabela4[[#All],[Cenário]],Tabela4[[#This Row],[Cenário]],Tabela4[[#All],[Status]],Tabela4[[#Headers],[Elo - Em correção ]])</f>
        <v>0</v>
      </c>
      <c r="U392">
        <f>COUNTIFS(Tabela4[[#All],[Cenário]],Tabela4[[#This Row],[Cenário]],Tabela4[[#All],[Status]],Tabela4[[#Headers],[Keyuser - Aguardando tarefa precedente]])</f>
        <v>0</v>
      </c>
      <c r="V392">
        <f>COUNTIFS(Tabela4[[#All],[Cenário]],Tabela4[[#This Row],[Cenário]],Tabela4[[#All],[Status]],Tabela4[[#Headers],[Não liberado  para testes]])</f>
        <v>0</v>
      </c>
      <c r="W392" t="str">
        <f>IF(Tabela4[[#This Row],[Elo - Em correção ]]&gt;0,"Sim","Não")</f>
        <v>Não</v>
      </c>
      <c r="X392" t="str">
        <f>IF(Tabela4[[#This Row],[Keyuser - Aguardando tarefa precedente]]&gt;0,"Sim","Não")</f>
        <v>Não</v>
      </c>
      <c r="Y392" t="str">
        <f>IF(Tabela4[[#This Row],[Não liberado  para testes]]&gt;0,"Sim","Não")</f>
        <v>Não</v>
      </c>
      <c r="Z392" t="str">
        <f ca="1">IF(Tabela4[[#This Row],[Status]]="Keyuser - Pendente",NETWORKDAYS(Tabela4[[#This Row],[Dt Inicial]],TODAY()),"")</f>
        <v/>
      </c>
      <c r="AA392" t="b">
        <f>AND(Tabela4[[#This Row],[Status]]="Keyuser - Aguardando tarefa precedente",K391="Keyuser - Concluído ")</f>
        <v>0</v>
      </c>
    </row>
    <row r="393" spans="1:27" x14ac:dyDescent="0.25">
      <c r="A393" t="str">
        <f>"OUT-"&amp;IFERROR(MID(Tabela4[[#This Row],[Cenário]],SEARCH("(",Tabela4[[#This Row],[Cenário]])+1,SEARCH(")",Tabela4[[#This Row],[Cenário]])-SEARCH("(",Tabela4[[#This Row],[Cenário]])-1),"")&amp;"_"&amp;ROW()</f>
        <v>OUT-Y90C_393</v>
      </c>
      <c r="B393" t="s">
        <v>358</v>
      </c>
      <c r="C393" t="s">
        <v>588</v>
      </c>
      <c r="D393" t="s">
        <v>368</v>
      </c>
      <c r="E393">
        <v>3</v>
      </c>
      <c r="F393" t="s">
        <v>368</v>
      </c>
      <c r="G393" t="s">
        <v>377</v>
      </c>
      <c r="H393" s="13" t="s">
        <v>589</v>
      </c>
      <c r="I393" s="13"/>
      <c r="J393" s="13"/>
      <c r="K393" s="9" t="s">
        <v>271</v>
      </c>
      <c r="L393" s="78">
        <v>45989</v>
      </c>
      <c r="N393" s="78">
        <v>45989</v>
      </c>
      <c r="O393" s="31" t="s">
        <v>590</v>
      </c>
      <c r="P393" s="9"/>
      <c r="Q393" s="9">
        <f>COUNTIF(Tabela4[[#All],[Cenário]],Tabela4[[#This Row],[Cenário]])</f>
        <v>5</v>
      </c>
      <c r="R393">
        <f>COUNTIFS(Tabela4[[#All],[Cenário]],Tabela4[[#This Row],[Cenário]],Tabela4[[#All],[Status]],"Keyuser - Concluído ")</f>
        <v>5</v>
      </c>
      <c r="S393" t="str">
        <f>IF(Tabela4[[#This Row],[Tarefas por Cenário]]-Tabela4[[#This Row],[Tarefas Concluídas]]&gt;0,"Não","Sim")</f>
        <v>Sim</v>
      </c>
      <c r="T393">
        <f>COUNTIFS(Tabela4[[#All],[Cenário]],Tabela4[[#This Row],[Cenário]],Tabela4[[#All],[Status]],Tabela4[[#Headers],[Elo - Em correção ]])</f>
        <v>0</v>
      </c>
      <c r="U393">
        <f>COUNTIFS(Tabela4[[#All],[Cenário]],Tabela4[[#This Row],[Cenário]],Tabela4[[#All],[Status]],Tabela4[[#Headers],[Keyuser - Aguardando tarefa precedente]])</f>
        <v>0</v>
      </c>
      <c r="V393">
        <f>COUNTIFS(Tabela4[[#All],[Cenário]],Tabela4[[#This Row],[Cenário]],Tabela4[[#All],[Status]],Tabela4[[#Headers],[Não liberado  para testes]])</f>
        <v>0</v>
      </c>
      <c r="W393" t="str">
        <f>IF(Tabela4[[#This Row],[Elo - Em correção ]]&gt;0,"Sim","Não")</f>
        <v>Não</v>
      </c>
      <c r="X393" t="str">
        <f>IF(Tabela4[[#This Row],[Keyuser - Aguardando tarefa precedente]]&gt;0,"Sim","Não")</f>
        <v>Não</v>
      </c>
      <c r="Y393" t="str">
        <f>IF(Tabela4[[#This Row],[Não liberado  para testes]]&gt;0,"Sim","Não")</f>
        <v>Não</v>
      </c>
      <c r="Z393" t="str">
        <f ca="1">IF(Tabela4[[#This Row],[Status]]="Keyuser - Pendente",NETWORKDAYS(Tabela4[[#This Row],[Dt Inicial]],TODAY()),"")</f>
        <v/>
      </c>
      <c r="AA393" t="b">
        <f>AND(Tabela4[[#This Row],[Status]]="Keyuser - Aguardando tarefa precedente",K392="Keyuser - Concluído ")</f>
        <v>0</v>
      </c>
    </row>
    <row r="394" spans="1:27" x14ac:dyDescent="0.25">
      <c r="A394" t="str">
        <f>"OUT-"&amp;IFERROR(MID(Tabela4[[#This Row],[Cenário]],SEARCH("(",Tabela4[[#This Row],[Cenário]])+1,SEARCH(")",Tabela4[[#This Row],[Cenário]])-SEARCH("(",Tabela4[[#This Row],[Cenário]])-1),"")&amp;"_"&amp;ROW()</f>
        <v>OUT-Y90C_394</v>
      </c>
      <c r="B394" t="s">
        <v>358</v>
      </c>
      <c r="C394" t="s">
        <v>588</v>
      </c>
      <c r="D394" t="s">
        <v>371</v>
      </c>
      <c r="E394">
        <v>4</v>
      </c>
      <c r="F394" t="s">
        <v>372</v>
      </c>
      <c r="G394" t="s">
        <v>287</v>
      </c>
      <c r="H394" s="13" t="s">
        <v>589</v>
      </c>
      <c r="I394" s="13"/>
      <c r="J394" s="13"/>
      <c r="K394" s="9" t="s">
        <v>271</v>
      </c>
      <c r="L394" s="78">
        <v>45994</v>
      </c>
      <c r="N394" s="78">
        <v>45994</v>
      </c>
      <c r="O394" s="31"/>
      <c r="P394" s="9"/>
      <c r="Q394" s="9">
        <f>COUNTIF(Tabela4[[#All],[Cenário]],Tabela4[[#This Row],[Cenário]])</f>
        <v>5</v>
      </c>
      <c r="R394">
        <f>COUNTIFS(Tabela4[[#All],[Cenário]],Tabela4[[#This Row],[Cenário]],Tabela4[[#All],[Status]],"Keyuser - Concluído ")</f>
        <v>5</v>
      </c>
      <c r="S394" t="str">
        <f>IF(Tabela4[[#This Row],[Tarefas por Cenário]]-Tabela4[[#This Row],[Tarefas Concluídas]]&gt;0,"Não","Sim")</f>
        <v>Sim</v>
      </c>
      <c r="T394">
        <f>COUNTIFS(Tabela4[[#All],[Cenário]],Tabela4[[#This Row],[Cenário]],Tabela4[[#All],[Status]],Tabela4[[#Headers],[Elo - Em correção ]])</f>
        <v>0</v>
      </c>
      <c r="U394">
        <f>COUNTIFS(Tabela4[[#All],[Cenário]],Tabela4[[#This Row],[Cenário]],Tabela4[[#All],[Status]],Tabela4[[#Headers],[Keyuser - Aguardando tarefa precedente]])</f>
        <v>0</v>
      </c>
      <c r="V394">
        <f>COUNTIFS(Tabela4[[#All],[Cenário]],Tabela4[[#This Row],[Cenário]],Tabela4[[#All],[Status]],Tabela4[[#Headers],[Não liberado  para testes]])</f>
        <v>0</v>
      </c>
      <c r="W394" t="str">
        <f>IF(Tabela4[[#This Row],[Elo - Em correção ]]&gt;0,"Sim","Não")</f>
        <v>Não</v>
      </c>
      <c r="X394" t="str">
        <f>IF(Tabela4[[#This Row],[Keyuser - Aguardando tarefa precedente]]&gt;0,"Sim","Não")</f>
        <v>Não</v>
      </c>
      <c r="Y394" t="str">
        <f>IF(Tabela4[[#This Row],[Não liberado  para testes]]&gt;0,"Sim","Não")</f>
        <v>Não</v>
      </c>
      <c r="Z394" t="str">
        <f ca="1">IF(Tabela4[[#This Row],[Status]]="Keyuser - Pendente",NETWORKDAYS(Tabela4[[#This Row],[Dt Inicial]],TODAY()),"")</f>
        <v/>
      </c>
      <c r="AA394" t="b">
        <f>AND(Tabela4[[#This Row],[Status]]="Keyuser - Aguardando tarefa precedente",K393="Keyuser - Concluído ")</f>
        <v>0</v>
      </c>
    </row>
    <row r="395" spans="1:27" x14ac:dyDescent="0.25">
      <c r="A395" t="str">
        <f>"OUT-"&amp;IFERROR(MID(Tabela4[[#This Row],[Cenário]],SEARCH("(",Tabela4[[#This Row],[Cenário]])+1,SEARCH(")",Tabela4[[#This Row],[Cenário]])-SEARCH("(",Tabela4[[#This Row],[Cenário]])-1),"")&amp;"_"&amp;ROW()</f>
        <v>OUT-Y90C_395</v>
      </c>
      <c r="B395" t="s">
        <v>358</v>
      </c>
      <c r="C395" t="s">
        <v>588</v>
      </c>
      <c r="D395" t="s">
        <v>373</v>
      </c>
      <c r="E395">
        <v>5</v>
      </c>
      <c r="F395" t="s">
        <v>373</v>
      </c>
      <c r="G395" t="s">
        <v>283</v>
      </c>
      <c r="H395" s="13" t="s">
        <v>589</v>
      </c>
      <c r="I395" s="13"/>
      <c r="J395" s="13"/>
      <c r="K395" s="9" t="s">
        <v>271</v>
      </c>
      <c r="L395" s="78">
        <v>45995</v>
      </c>
      <c r="N395" s="78">
        <v>45995</v>
      </c>
      <c r="O395" s="31" t="s">
        <v>576</v>
      </c>
      <c r="P395" s="9"/>
      <c r="Q395" s="9">
        <f>COUNTIF(Tabela4[[#All],[Cenário]],Tabela4[[#This Row],[Cenário]])</f>
        <v>5</v>
      </c>
      <c r="R395">
        <f>COUNTIFS(Tabela4[[#All],[Cenário]],Tabela4[[#This Row],[Cenário]],Tabela4[[#All],[Status]],"Keyuser - Concluído ")</f>
        <v>5</v>
      </c>
      <c r="S395" t="str">
        <f>IF(Tabela4[[#This Row],[Tarefas por Cenário]]-Tabela4[[#This Row],[Tarefas Concluídas]]&gt;0,"Não","Sim")</f>
        <v>Sim</v>
      </c>
      <c r="T395">
        <f>COUNTIFS(Tabela4[[#All],[Cenário]],Tabela4[[#This Row],[Cenário]],Tabela4[[#All],[Status]],Tabela4[[#Headers],[Elo - Em correção ]])</f>
        <v>0</v>
      </c>
      <c r="U395">
        <f>COUNTIFS(Tabela4[[#All],[Cenário]],Tabela4[[#This Row],[Cenário]],Tabela4[[#All],[Status]],Tabela4[[#Headers],[Keyuser - Aguardando tarefa precedente]])</f>
        <v>0</v>
      </c>
      <c r="V395">
        <f>COUNTIFS(Tabela4[[#All],[Cenário]],Tabela4[[#This Row],[Cenário]],Tabela4[[#All],[Status]],Tabela4[[#Headers],[Não liberado  para testes]])</f>
        <v>0</v>
      </c>
      <c r="W395" t="str">
        <f>IF(Tabela4[[#This Row],[Elo - Em correção ]]&gt;0,"Sim","Não")</f>
        <v>Não</v>
      </c>
      <c r="X395" t="str">
        <f>IF(Tabela4[[#This Row],[Keyuser - Aguardando tarefa precedente]]&gt;0,"Sim","Não")</f>
        <v>Não</v>
      </c>
      <c r="Y395" t="str">
        <f>IF(Tabela4[[#This Row],[Não liberado  para testes]]&gt;0,"Sim","Não")</f>
        <v>Não</v>
      </c>
      <c r="Z395" t="str">
        <f ca="1">IF(Tabela4[[#This Row],[Status]]="Keyuser - Pendente",NETWORKDAYS(Tabela4[[#This Row],[Dt Inicial]],TODAY()),"")</f>
        <v/>
      </c>
      <c r="AA395" t="b">
        <f>AND(Tabela4[[#This Row],[Status]]="Keyuser - Aguardando tarefa precedente",K394="Keyuser - Concluído ")</f>
        <v>0</v>
      </c>
    </row>
    <row r="396" spans="1:27" x14ac:dyDescent="0.25">
      <c r="A396" t="str">
        <f>"OUT-"&amp;IFERROR(MID(Tabela4[[#This Row],[Cenário]],SEARCH("(",Tabela4[[#This Row],[Cenário]])+1,SEARCH(")",Tabela4[[#This Row],[Cenário]])-SEARCH("(",Tabela4[[#This Row],[Cenário]])-1),"")&amp;"_"&amp;ROW()</f>
        <v>OUT-Y90T_396</v>
      </c>
      <c r="B396" t="s">
        <v>374</v>
      </c>
      <c r="C396" t="s">
        <v>591</v>
      </c>
      <c r="D396" t="s">
        <v>286</v>
      </c>
      <c r="E396">
        <v>6</v>
      </c>
      <c r="F396" t="s">
        <v>286</v>
      </c>
      <c r="G396" t="s">
        <v>287</v>
      </c>
      <c r="H396" s="13"/>
      <c r="I396" s="13"/>
      <c r="J396" s="13"/>
      <c r="K396" s="9" t="s">
        <v>262</v>
      </c>
      <c r="N396" s="78"/>
      <c r="O396" s="31"/>
      <c r="P396" s="9"/>
      <c r="Q396" s="9">
        <f>COUNTIF(Tabela4[[#All],[Cenário]],Tabela4[[#This Row],[Cenário]])</f>
        <v>7</v>
      </c>
      <c r="R396">
        <f>COUNTIFS(Tabela4[[#All],[Cenário]],Tabela4[[#This Row],[Cenário]],Tabela4[[#All],[Status]],"Keyuser - Concluído ")</f>
        <v>5</v>
      </c>
      <c r="S396" t="str">
        <f>IF(Tabela4[[#This Row],[Tarefas por Cenário]]-Tabela4[[#This Row],[Tarefas Concluídas]]&gt;0,"Não","Sim")</f>
        <v>Não</v>
      </c>
      <c r="T396">
        <f>COUNTIFS(Tabela4[[#All],[Cenário]],Tabela4[[#This Row],[Cenário]],Tabela4[[#All],[Status]],Tabela4[[#Headers],[Elo - Em correção ]])</f>
        <v>0</v>
      </c>
      <c r="U396">
        <f>COUNTIFS(Tabela4[[#All],[Cenário]],Tabela4[[#This Row],[Cenário]],Tabela4[[#All],[Status]],Tabela4[[#Headers],[Keyuser - Aguardando tarefa precedente]])</f>
        <v>0</v>
      </c>
      <c r="V396">
        <f>COUNTIFS(Tabela4[[#All],[Cenário]],Tabela4[[#This Row],[Cenário]],Tabela4[[#All],[Status]],Tabela4[[#Headers],[Não liberado  para testes]])</f>
        <v>2</v>
      </c>
      <c r="W396" t="str">
        <f>IF(Tabela4[[#This Row],[Elo - Em correção ]]&gt;0,"Sim","Não")</f>
        <v>Não</v>
      </c>
      <c r="X396" t="str">
        <f>IF(Tabela4[[#This Row],[Keyuser - Aguardando tarefa precedente]]&gt;0,"Sim","Não")</f>
        <v>Não</v>
      </c>
      <c r="Y396" t="str">
        <f>IF(Tabela4[[#This Row],[Não liberado  para testes]]&gt;0,"Sim","Não")</f>
        <v>Sim</v>
      </c>
      <c r="Z396" t="str">
        <f ca="1">IF(Tabela4[[#This Row],[Status]]="Keyuser - Pendente",NETWORKDAYS(Tabela4[[#This Row],[Dt Inicial]],TODAY()),"")</f>
        <v/>
      </c>
      <c r="AA396" t="b">
        <f>AND(Tabela4[[#This Row],[Status]]="Keyuser - Aguardando tarefa precedente",K395="Keyuser - Concluído ")</f>
        <v>0</v>
      </c>
    </row>
    <row r="397" spans="1:27" x14ac:dyDescent="0.25">
      <c r="A397" t="str">
        <f>"OUT-"&amp;IFERROR(MID(Tabela4[[#This Row],[Cenário]],SEARCH("(",Tabela4[[#This Row],[Cenário]])+1,SEARCH(")",Tabela4[[#This Row],[Cenário]])-SEARCH("(",Tabela4[[#This Row],[Cenário]])-1),"")&amp;"_"&amp;ROW()</f>
        <v>OUT-Y90T_397</v>
      </c>
      <c r="B397" t="s">
        <v>358</v>
      </c>
      <c r="C397" t="s">
        <v>591</v>
      </c>
      <c r="D397" t="s">
        <v>360</v>
      </c>
      <c r="E397">
        <v>1</v>
      </c>
      <c r="F397" t="s">
        <v>360</v>
      </c>
      <c r="G397" t="s">
        <v>377</v>
      </c>
      <c r="H397" s="13">
        <v>60668366</v>
      </c>
      <c r="I397" s="13"/>
      <c r="J397" s="13"/>
      <c r="K397" s="9" t="s">
        <v>271</v>
      </c>
      <c r="L397" s="78">
        <v>45995</v>
      </c>
      <c r="N397" s="78">
        <v>45995</v>
      </c>
      <c r="O397" s="31"/>
      <c r="P397" s="9"/>
      <c r="Q397" s="9">
        <f>COUNTIF(Tabela4[[#All],[Cenário]],Tabela4[[#This Row],[Cenário]])</f>
        <v>7</v>
      </c>
      <c r="R397">
        <f>COUNTIFS(Tabela4[[#All],[Cenário]],Tabela4[[#This Row],[Cenário]],Tabela4[[#All],[Status]],"Keyuser - Concluído ")</f>
        <v>5</v>
      </c>
      <c r="S397" t="str">
        <f>IF(Tabela4[[#This Row],[Tarefas por Cenário]]-Tabela4[[#This Row],[Tarefas Concluídas]]&gt;0,"Não","Sim")</f>
        <v>Não</v>
      </c>
      <c r="T397">
        <f>COUNTIFS(Tabela4[[#All],[Cenário]],Tabela4[[#This Row],[Cenário]],Tabela4[[#All],[Status]],Tabela4[[#Headers],[Elo - Em correção ]])</f>
        <v>0</v>
      </c>
      <c r="U397">
        <f>COUNTIFS(Tabela4[[#All],[Cenário]],Tabela4[[#This Row],[Cenário]],Tabela4[[#All],[Status]],Tabela4[[#Headers],[Keyuser - Aguardando tarefa precedente]])</f>
        <v>0</v>
      </c>
      <c r="V397">
        <f>COUNTIFS(Tabela4[[#All],[Cenário]],Tabela4[[#This Row],[Cenário]],Tabela4[[#All],[Status]],Tabela4[[#Headers],[Não liberado  para testes]])</f>
        <v>2</v>
      </c>
      <c r="W397" t="str">
        <f>IF(Tabela4[[#This Row],[Elo - Em correção ]]&gt;0,"Sim","Não")</f>
        <v>Não</v>
      </c>
      <c r="X397" t="str">
        <f>IF(Tabela4[[#This Row],[Keyuser - Aguardando tarefa precedente]]&gt;0,"Sim","Não")</f>
        <v>Não</v>
      </c>
      <c r="Y397" t="str">
        <f>IF(Tabela4[[#This Row],[Não liberado  para testes]]&gt;0,"Sim","Não")</f>
        <v>Sim</v>
      </c>
      <c r="Z397" t="str">
        <f ca="1">IF(Tabela4[[#This Row],[Status]]="Keyuser - Pendente",NETWORKDAYS(Tabela4[[#This Row],[Dt Inicial]],TODAY()),"")</f>
        <v/>
      </c>
      <c r="AA397" t="b">
        <f>AND(Tabela4[[#This Row],[Status]]="Keyuser - Aguardando tarefa precedente",K396="Keyuser - Concluído ")</f>
        <v>0</v>
      </c>
    </row>
    <row r="398" spans="1:27" x14ac:dyDescent="0.25">
      <c r="A398" t="str">
        <f>"OUT-"&amp;IFERROR(MID(Tabela4[[#This Row],[Cenário]],SEARCH("(",Tabela4[[#This Row],[Cenário]])+1,SEARCH(")",Tabela4[[#This Row],[Cenário]])-SEARCH("(",Tabela4[[#This Row],[Cenário]])-1),"")&amp;"_"&amp;ROW()</f>
        <v>OUT-Y90T_398</v>
      </c>
      <c r="B398" t="s">
        <v>358</v>
      </c>
      <c r="C398" t="s">
        <v>591</v>
      </c>
      <c r="D398" t="s">
        <v>365</v>
      </c>
      <c r="E398">
        <v>2</v>
      </c>
      <c r="F398" t="s">
        <v>365</v>
      </c>
      <c r="G398" t="s">
        <v>310</v>
      </c>
      <c r="H398" s="13">
        <v>60668366</v>
      </c>
      <c r="I398" s="13"/>
      <c r="J398" s="13"/>
      <c r="K398" s="9" t="s">
        <v>271</v>
      </c>
      <c r="L398" s="78">
        <v>45996</v>
      </c>
      <c r="N398" s="78">
        <v>45996</v>
      </c>
      <c r="O398" s="31"/>
      <c r="P398" s="9"/>
      <c r="Q398" s="9">
        <f>COUNTIF(Tabela4[[#All],[Cenário]],Tabela4[[#This Row],[Cenário]])</f>
        <v>7</v>
      </c>
      <c r="R398">
        <f>COUNTIFS(Tabela4[[#All],[Cenário]],Tabela4[[#This Row],[Cenário]],Tabela4[[#All],[Status]],"Keyuser - Concluído ")</f>
        <v>5</v>
      </c>
      <c r="S398" t="str">
        <f>IF(Tabela4[[#This Row],[Tarefas por Cenário]]-Tabela4[[#This Row],[Tarefas Concluídas]]&gt;0,"Não","Sim")</f>
        <v>Não</v>
      </c>
      <c r="T398">
        <f>COUNTIFS(Tabela4[[#All],[Cenário]],Tabela4[[#This Row],[Cenário]],Tabela4[[#All],[Status]],Tabela4[[#Headers],[Elo - Em correção ]])</f>
        <v>0</v>
      </c>
      <c r="U398">
        <f>COUNTIFS(Tabela4[[#All],[Cenário]],Tabela4[[#This Row],[Cenário]],Tabela4[[#All],[Status]],Tabela4[[#Headers],[Keyuser - Aguardando tarefa precedente]])</f>
        <v>0</v>
      </c>
      <c r="V398">
        <f>COUNTIFS(Tabela4[[#All],[Cenário]],Tabela4[[#This Row],[Cenário]],Tabela4[[#All],[Status]],Tabela4[[#Headers],[Não liberado  para testes]])</f>
        <v>2</v>
      </c>
      <c r="W398" t="str">
        <f>IF(Tabela4[[#This Row],[Elo - Em correção ]]&gt;0,"Sim","Não")</f>
        <v>Não</v>
      </c>
      <c r="X398" t="str">
        <f>IF(Tabela4[[#This Row],[Keyuser - Aguardando tarefa precedente]]&gt;0,"Sim","Não")</f>
        <v>Não</v>
      </c>
      <c r="Y398" t="str">
        <f>IF(Tabela4[[#This Row],[Não liberado  para testes]]&gt;0,"Sim","Não")</f>
        <v>Sim</v>
      </c>
      <c r="Z398" t="str">
        <f ca="1">IF(Tabela4[[#This Row],[Status]]="Keyuser - Pendente",NETWORKDAYS(Tabela4[[#This Row],[Dt Inicial]],TODAY()),"")</f>
        <v/>
      </c>
      <c r="AA398" t="b">
        <f>AND(Tabela4[[#This Row],[Status]]="Keyuser - Aguardando tarefa precedente",K397="Keyuser - Concluído ")</f>
        <v>0</v>
      </c>
    </row>
    <row r="399" spans="1:27" x14ac:dyDescent="0.25">
      <c r="A399" t="str">
        <f>"OUT-"&amp;IFERROR(MID(Tabela4[[#This Row],[Cenário]],SEARCH("(",Tabela4[[#This Row],[Cenário]])+1,SEARCH(")",Tabela4[[#This Row],[Cenário]])-SEARCH("(",Tabela4[[#This Row],[Cenário]])-1),"")&amp;"_"&amp;ROW()</f>
        <v>OUT-Y90T_399</v>
      </c>
      <c r="B399" t="s">
        <v>358</v>
      </c>
      <c r="C399" t="s">
        <v>591</v>
      </c>
      <c r="D399" t="s">
        <v>368</v>
      </c>
      <c r="E399">
        <v>3</v>
      </c>
      <c r="F399" t="s">
        <v>368</v>
      </c>
      <c r="G399" t="s">
        <v>377</v>
      </c>
      <c r="H399" s="13" t="s">
        <v>592</v>
      </c>
      <c r="I399" s="13"/>
      <c r="J399" s="13"/>
      <c r="K399" s="9" t="s">
        <v>271</v>
      </c>
      <c r="L399" s="78">
        <v>45996</v>
      </c>
      <c r="N399" s="78">
        <v>45996</v>
      </c>
      <c r="O399" s="31" t="s">
        <v>593</v>
      </c>
      <c r="P399" s="9"/>
      <c r="Q399" s="9">
        <f>COUNTIF(Tabela4[[#All],[Cenário]],Tabela4[[#This Row],[Cenário]])</f>
        <v>7</v>
      </c>
      <c r="R399">
        <f>COUNTIFS(Tabela4[[#All],[Cenário]],Tabela4[[#This Row],[Cenário]],Tabela4[[#All],[Status]],"Keyuser - Concluído ")</f>
        <v>5</v>
      </c>
      <c r="S399" t="str">
        <f>IF(Tabela4[[#This Row],[Tarefas por Cenário]]-Tabela4[[#This Row],[Tarefas Concluídas]]&gt;0,"Não","Sim")</f>
        <v>Não</v>
      </c>
      <c r="T399">
        <f>COUNTIFS(Tabela4[[#All],[Cenário]],Tabela4[[#This Row],[Cenário]],Tabela4[[#All],[Status]],Tabela4[[#Headers],[Elo - Em correção ]])</f>
        <v>0</v>
      </c>
      <c r="U399">
        <f>COUNTIFS(Tabela4[[#All],[Cenário]],Tabela4[[#This Row],[Cenário]],Tabela4[[#All],[Status]],Tabela4[[#Headers],[Keyuser - Aguardando tarefa precedente]])</f>
        <v>0</v>
      </c>
      <c r="V399">
        <f>COUNTIFS(Tabela4[[#All],[Cenário]],Tabela4[[#This Row],[Cenário]],Tabela4[[#All],[Status]],Tabela4[[#Headers],[Não liberado  para testes]])</f>
        <v>2</v>
      </c>
      <c r="W399" t="str">
        <f>IF(Tabela4[[#This Row],[Elo - Em correção ]]&gt;0,"Sim","Não")</f>
        <v>Não</v>
      </c>
      <c r="X399" t="str">
        <f>IF(Tabela4[[#This Row],[Keyuser - Aguardando tarefa precedente]]&gt;0,"Sim","Não")</f>
        <v>Não</v>
      </c>
      <c r="Y399" t="str">
        <f>IF(Tabela4[[#This Row],[Não liberado  para testes]]&gt;0,"Sim","Não")</f>
        <v>Sim</v>
      </c>
      <c r="Z399" t="str">
        <f ca="1">IF(Tabela4[[#This Row],[Status]]="Keyuser - Pendente",NETWORKDAYS(Tabela4[[#This Row],[Dt Inicial]],TODAY()),"")</f>
        <v/>
      </c>
      <c r="AA399" t="b">
        <f>AND(Tabela4[[#This Row],[Status]]="Keyuser - Aguardando tarefa precedente",K398="Keyuser - Concluído ")</f>
        <v>0</v>
      </c>
    </row>
    <row r="400" spans="1:27" x14ac:dyDescent="0.25">
      <c r="A400" t="str">
        <f>"OUT-"&amp;IFERROR(MID(Tabela4[[#This Row],[Cenário]],SEARCH("(",Tabela4[[#This Row],[Cenário]])+1,SEARCH(")",Tabela4[[#This Row],[Cenário]])-SEARCH("(",Tabela4[[#This Row],[Cenário]])-1),"")&amp;"_"&amp;ROW()</f>
        <v>OUT-Y90T_400</v>
      </c>
      <c r="B400" t="s">
        <v>358</v>
      </c>
      <c r="C400" t="s">
        <v>591</v>
      </c>
      <c r="D400" t="s">
        <v>371</v>
      </c>
      <c r="E400">
        <v>4</v>
      </c>
      <c r="F400" t="s">
        <v>372</v>
      </c>
      <c r="G400" t="s">
        <v>287</v>
      </c>
      <c r="H400" s="13" t="s">
        <v>592</v>
      </c>
      <c r="I400" s="13"/>
      <c r="J400" s="13"/>
      <c r="K400" s="9" t="s">
        <v>271</v>
      </c>
      <c r="L400" s="78">
        <v>45912</v>
      </c>
      <c r="N400" s="78">
        <v>45912</v>
      </c>
      <c r="O400" s="31"/>
      <c r="P400" s="9"/>
      <c r="Q400" s="9">
        <f>COUNTIF(Tabela4[[#All],[Cenário]],Tabela4[[#This Row],[Cenário]])</f>
        <v>7</v>
      </c>
      <c r="R400">
        <f>COUNTIFS(Tabela4[[#All],[Cenário]],Tabela4[[#This Row],[Cenário]],Tabela4[[#All],[Status]],"Keyuser - Concluído ")</f>
        <v>5</v>
      </c>
      <c r="S400" t="str">
        <f>IF(Tabela4[[#This Row],[Tarefas por Cenário]]-Tabela4[[#This Row],[Tarefas Concluídas]]&gt;0,"Não","Sim")</f>
        <v>Não</v>
      </c>
      <c r="T400">
        <f>COUNTIFS(Tabela4[[#All],[Cenário]],Tabela4[[#This Row],[Cenário]],Tabela4[[#All],[Status]],Tabela4[[#Headers],[Elo - Em correção ]])</f>
        <v>0</v>
      </c>
      <c r="U400">
        <f>COUNTIFS(Tabela4[[#All],[Cenário]],Tabela4[[#This Row],[Cenário]],Tabela4[[#All],[Status]],Tabela4[[#Headers],[Keyuser - Aguardando tarefa precedente]])</f>
        <v>0</v>
      </c>
      <c r="V400">
        <f>COUNTIFS(Tabela4[[#All],[Cenário]],Tabela4[[#This Row],[Cenário]],Tabela4[[#All],[Status]],Tabela4[[#Headers],[Não liberado  para testes]])</f>
        <v>2</v>
      </c>
      <c r="W400" t="str">
        <f>IF(Tabela4[[#This Row],[Elo - Em correção ]]&gt;0,"Sim","Não")</f>
        <v>Não</v>
      </c>
      <c r="X400" t="str">
        <f>IF(Tabela4[[#This Row],[Keyuser - Aguardando tarefa precedente]]&gt;0,"Sim","Não")</f>
        <v>Não</v>
      </c>
      <c r="Y400" t="str">
        <f>IF(Tabela4[[#This Row],[Não liberado  para testes]]&gt;0,"Sim","Não")</f>
        <v>Sim</v>
      </c>
      <c r="Z400" t="str">
        <f ca="1">IF(Tabela4[[#This Row],[Status]]="Keyuser - Pendente",NETWORKDAYS(Tabela4[[#This Row],[Dt Inicial]],TODAY()),"")</f>
        <v/>
      </c>
      <c r="AA400" t="b">
        <f>AND(Tabela4[[#This Row],[Status]]="Keyuser - Aguardando tarefa precedente",K399="Keyuser - Concluído ")</f>
        <v>0</v>
      </c>
    </row>
    <row r="401" spans="1:27" x14ac:dyDescent="0.25">
      <c r="A401" t="str">
        <f>"OUT-"&amp;IFERROR(MID(Tabela4[[#This Row],[Cenário]],SEARCH("(",Tabela4[[#This Row],[Cenário]])+1,SEARCH(")",Tabela4[[#This Row],[Cenário]])-SEARCH("(",Tabela4[[#This Row],[Cenário]])-1),"")&amp;"_"&amp;ROW()</f>
        <v>OUT-Y90T_401</v>
      </c>
      <c r="B401" t="s">
        <v>358</v>
      </c>
      <c r="C401" t="s">
        <v>591</v>
      </c>
      <c r="D401" t="s">
        <v>373</v>
      </c>
      <c r="E401">
        <v>5</v>
      </c>
      <c r="F401" t="s">
        <v>373</v>
      </c>
      <c r="G401" t="s">
        <v>283</v>
      </c>
      <c r="H401" s="13"/>
      <c r="I401" s="13"/>
      <c r="J401" s="13"/>
      <c r="K401" s="9" t="s">
        <v>271</v>
      </c>
      <c r="L401" s="78">
        <v>46000</v>
      </c>
      <c r="N401" s="78">
        <v>46000</v>
      </c>
      <c r="O401" s="31" t="s">
        <v>594</v>
      </c>
      <c r="P401" s="9"/>
      <c r="Q401" s="9">
        <f>COUNTIF(Tabela4[[#All],[Cenário]],Tabela4[[#This Row],[Cenário]])</f>
        <v>7</v>
      </c>
      <c r="R401">
        <f>COUNTIFS(Tabela4[[#All],[Cenário]],Tabela4[[#This Row],[Cenário]],Tabela4[[#All],[Status]],"Keyuser - Concluído ")</f>
        <v>5</v>
      </c>
      <c r="S401" t="str">
        <f>IF(Tabela4[[#This Row],[Tarefas por Cenário]]-Tabela4[[#This Row],[Tarefas Concluídas]]&gt;0,"Não","Sim")</f>
        <v>Não</v>
      </c>
      <c r="T401">
        <f>COUNTIFS(Tabela4[[#All],[Cenário]],Tabela4[[#This Row],[Cenário]],Tabela4[[#All],[Status]],Tabela4[[#Headers],[Elo - Em correção ]])</f>
        <v>0</v>
      </c>
      <c r="U401">
        <f>COUNTIFS(Tabela4[[#All],[Cenário]],Tabela4[[#This Row],[Cenário]],Tabela4[[#All],[Status]],Tabela4[[#Headers],[Keyuser - Aguardando tarefa precedente]])</f>
        <v>0</v>
      </c>
      <c r="V401">
        <f>COUNTIFS(Tabela4[[#All],[Cenário]],Tabela4[[#This Row],[Cenário]],Tabela4[[#All],[Status]],Tabela4[[#Headers],[Não liberado  para testes]])</f>
        <v>2</v>
      </c>
      <c r="W401" t="str">
        <f>IF(Tabela4[[#This Row],[Elo - Em correção ]]&gt;0,"Sim","Não")</f>
        <v>Não</v>
      </c>
      <c r="X401" t="str">
        <f>IF(Tabela4[[#This Row],[Keyuser - Aguardando tarefa precedente]]&gt;0,"Sim","Não")</f>
        <v>Não</v>
      </c>
      <c r="Y401" t="str">
        <f>IF(Tabela4[[#This Row],[Não liberado  para testes]]&gt;0,"Sim","Não")</f>
        <v>Sim</v>
      </c>
      <c r="Z401" t="str">
        <f ca="1">IF(Tabela4[[#This Row],[Status]]="Keyuser - Pendente",NETWORKDAYS(Tabela4[[#This Row],[Dt Inicial]],TODAY()),"")</f>
        <v/>
      </c>
      <c r="AA401" t="b">
        <f>AND(Tabela4[[#This Row],[Status]]="Keyuser - Aguardando tarefa precedente",K400="Keyuser - Concluído ")</f>
        <v>0</v>
      </c>
    </row>
    <row r="402" spans="1:27" x14ac:dyDescent="0.25">
      <c r="A402" t="str">
        <f>"OUT-"&amp;IFERROR(MID(Tabela4[[#This Row],[Cenário]],SEARCH("(",Tabela4[[#This Row],[Cenário]])+1,SEARCH(")",Tabela4[[#This Row],[Cenário]])-SEARCH("(",Tabela4[[#This Row],[Cenário]])-1),"")&amp;"_"&amp;ROW()</f>
        <v>OUT-Y90T_402</v>
      </c>
      <c r="B402" t="s">
        <v>374</v>
      </c>
      <c r="C402" t="s">
        <v>591</v>
      </c>
      <c r="D402" t="s">
        <v>286</v>
      </c>
      <c r="E402">
        <v>6</v>
      </c>
      <c r="F402" t="s">
        <v>286</v>
      </c>
      <c r="G402" t="s">
        <v>287</v>
      </c>
      <c r="H402" s="13"/>
      <c r="I402" s="13"/>
      <c r="J402" s="13"/>
      <c r="K402" s="9" t="s">
        <v>262</v>
      </c>
      <c r="N402" s="78"/>
      <c r="O402" s="31"/>
      <c r="P402" s="9"/>
      <c r="Q402" s="9">
        <f>COUNTIF(Tabela4[[#All],[Cenário]],Tabela4[[#This Row],[Cenário]])</f>
        <v>7</v>
      </c>
      <c r="R402">
        <f>COUNTIFS(Tabela4[[#All],[Cenário]],Tabela4[[#This Row],[Cenário]],Tabela4[[#All],[Status]],"Keyuser - Concluído ")</f>
        <v>5</v>
      </c>
      <c r="S402" t="str">
        <f>IF(Tabela4[[#This Row],[Tarefas por Cenário]]-Tabela4[[#This Row],[Tarefas Concluídas]]&gt;0,"Não","Sim")</f>
        <v>Não</v>
      </c>
      <c r="T402">
        <f>COUNTIFS(Tabela4[[#All],[Cenário]],Tabela4[[#This Row],[Cenário]],Tabela4[[#All],[Status]],Tabela4[[#Headers],[Elo - Em correção ]])</f>
        <v>0</v>
      </c>
      <c r="U402">
        <f>COUNTIFS(Tabela4[[#All],[Cenário]],Tabela4[[#This Row],[Cenário]],Tabela4[[#All],[Status]],Tabela4[[#Headers],[Keyuser - Aguardando tarefa precedente]])</f>
        <v>0</v>
      </c>
      <c r="V402">
        <f>COUNTIFS(Tabela4[[#All],[Cenário]],Tabela4[[#This Row],[Cenário]],Tabela4[[#All],[Status]],Tabela4[[#Headers],[Não liberado  para testes]])</f>
        <v>2</v>
      </c>
      <c r="W402" t="str">
        <f>IF(Tabela4[[#This Row],[Elo - Em correção ]]&gt;0,"Sim","Não")</f>
        <v>Não</v>
      </c>
      <c r="X402" t="str">
        <f>IF(Tabela4[[#This Row],[Keyuser - Aguardando tarefa precedente]]&gt;0,"Sim","Não")</f>
        <v>Não</v>
      </c>
      <c r="Y402" t="str">
        <f>IF(Tabela4[[#This Row],[Não liberado  para testes]]&gt;0,"Sim","Não")</f>
        <v>Sim</v>
      </c>
      <c r="Z402" t="str">
        <f ca="1">IF(Tabela4[[#This Row],[Status]]="Keyuser - Pendente",NETWORKDAYS(Tabela4[[#This Row],[Dt Inicial]],TODAY()),"")</f>
        <v/>
      </c>
      <c r="AA402" t="b">
        <f>AND(Tabela4[[#This Row],[Status]]="Keyuser - Aguardando tarefa precedente",K401="Keyuser - Concluído ")</f>
        <v>0</v>
      </c>
    </row>
    <row r="403" spans="1:27" x14ac:dyDescent="0.25">
      <c r="A403" t="str">
        <f>"OUT-"&amp;IFERROR(MID(Tabela4[[#This Row],[Cenário]],SEARCH("(",Tabela4[[#This Row],[Cenário]])+1,SEARCH(")",Tabela4[[#This Row],[Cenário]])-SEARCH("(",Tabela4[[#This Row],[Cenário]])-1),"")&amp;"_"&amp;ROW()</f>
        <v>OUT-Y002_403</v>
      </c>
      <c r="B403" t="s">
        <v>358</v>
      </c>
      <c r="C403" t="s">
        <v>595</v>
      </c>
      <c r="D403" t="s">
        <v>360</v>
      </c>
      <c r="E403">
        <v>1</v>
      </c>
      <c r="F403" t="s">
        <v>360</v>
      </c>
      <c r="G403" t="s">
        <v>361</v>
      </c>
      <c r="H403" s="9">
        <v>15603620</v>
      </c>
      <c r="I403" s="9" t="s">
        <v>596</v>
      </c>
      <c r="J403" s="9" t="s">
        <v>364</v>
      </c>
      <c r="K403" s="9" t="s">
        <v>271</v>
      </c>
      <c r="L403" s="78">
        <v>45947</v>
      </c>
      <c r="N403" s="78">
        <v>45947</v>
      </c>
      <c r="O403" s="31"/>
      <c r="P403" s="9"/>
      <c r="Q403" s="9">
        <f>COUNTIF(Tabela4[[#All],[Cenário]],Tabela4[[#This Row],[Cenário]])</f>
        <v>8</v>
      </c>
      <c r="R403">
        <f>COUNTIFS(Tabela4[[#All],[Cenário]],Tabela4[[#This Row],[Cenário]],Tabela4[[#All],[Status]],"Keyuser - Concluído ")</f>
        <v>7</v>
      </c>
      <c r="S403" t="str">
        <f>IF(Tabela4[[#This Row],[Tarefas por Cenário]]-Tabela4[[#This Row],[Tarefas Concluídas]]&gt;0,"Não","Sim")</f>
        <v>Não</v>
      </c>
      <c r="T403">
        <f>COUNTIFS(Tabela4[[#All],[Cenário]],Tabela4[[#This Row],[Cenário]],Tabela4[[#All],[Status]],Tabela4[[#Headers],[Elo - Em correção ]])</f>
        <v>0</v>
      </c>
      <c r="U403">
        <f>COUNTIFS(Tabela4[[#All],[Cenário]],Tabela4[[#This Row],[Cenário]],Tabela4[[#All],[Status]],Tabela4[[#Headers],[Keyuser - Aguardando tarefa precedente]])</f>
        <v>0</v>
      </c>
      <c r="V403">
        <f>COUNTIFS(Tabela4[[#All],[Cenário]],Tabela4[[#This Row],[Cenário]],Tabela4[[#All],[Status]],Tabela4[[#Headers],[Não liberado  para testes]])</f>
        <v>1</v>
      </c>
      <c r="W403" t="str">
        <f>IF(Tabela4[[#This Row],[Elo - Em correção ]]&gt;0,"Sim","Não")</f>
        <v>Não</v>
      </c>
      <c r="X403" t="str">
        <f>IF(Tabela4[[#This Row],[Keyuser - Aguardando tarefa precedente]]&gt;0,"Sim","Não")</f>
        <v>Não</v>
      </c>
      <c r="Y403" t="str">
        <f>IF(Tabela4[[#This Row],[Não liberado  para testes]]&gt;0,"Sim","Não")</f>
        <v>Sim</v>
      </c>
      <c r="Z403" t="str">
        <f ca="1">IF(Tabela4[[#This Row],[Status]]="Keyuser - Pendente",NETWORKDAYS(Tabela4[[#This Row],[Dt Inicial]],TODAY()),"")</f>
        <v/>
      </c>
      <c r="AA403" t="b">
        <f>AND(Tabela4[[#This Row],[Status]]="Keyuser - Aguardando tarefa precedente",K402="Keyuser - Concluído ")</f>
        <v>0</v>
      </c>
    </row>
    <row r="404" spans="1:27" x14ac:dyDescent="0.25">
      <c r="A404" t="str">
        <f>"OUT-"&amp;IFERROR(MID(Tabela4[[#This Row],[Cenário]],SEARCH("(",Tabela4[[#This Row],[Cenário]])+1,SEARCH(")",Tabela4[[#This Row],[Cenário]])-SEARCH("(",Tabela4[[#This Row],[Cenário]])-1),"")&amp;"_"&amp;ROW()</f>
        <v>OUT-Y002_404</v>
      </c>
      <c r="B404" t="s">
        <v>358</v>
      </c>
      <c r="C404" t="s">
        <v>595</v>
      </c>
      <c r="D404" t="s">
        <v>365</v>
      </c>
      <c r="E404">
        <v>2</v>
      </c>
      <c r="F404" t="s">
        <v>365</v>
      </c>
      <c r="G404" t="s">
        <v>310</v>
      </c>
      <c r="H404" s="9">
        <v>15603620</v>
      </c>
      <c r="I404" s="9" t="s">
        <v>596</v>
      </c>
      <c r="J404" s="9" t="s">
        <v>364</v>
      </c>
      <c r="K404" s="9" t="s">
        <v>271</v>
      </c>
      <c r="L404" s="78">
        <v>45947</v>
      </c>
      <c r="N404" s="78">
        <v>45947</v>
      </c>
      <c r="O404" s="31"/>
      <c r="P404" s="9"/>
      <c r="Q404" s="9">
        <f>COUNTIF(Tabela4[[#All],[Cenário]],Tabela4[[#This Row],[Cenário]])</f>
        <v>8</v>
      </c>
      <c r="R404">
        <f>COUNTIFS(Tabela4[[#All],[Cenário]],Tabela4[[#This Row],[Cenário]],Tabela4[[#All],[Status]],"Keyuser - Concluído ")</f>
        <v>7</v>
      </c>
      <c r="S404" t="str">
        <f>IF(Tabela4[[#This Row],[Tarefas por Cenário]]-Tabela4[[#This Row],[Tarefas Concluídas]]&gt;0,"Não","Sim")</f>
        <v>Não</v>
      </c>
      <c r="T404">
        <f>COUNTIFS(Tabela4[[#All],[Cenário]],Tabela4[[#This Row],[Cenário]],Tabela4[[#All],[Status]],Tabela4[[#Headers],[Elo - Em correção ]])</f>
        <v>0</v>
      </c>
      <c r="U404">
        <f>COUNTIFS(Tabela4[[#All],[Cenário]],Tabela4[[#This Row],[Cenário]],Tabela4[[#All],[Status]],Tabela4[[#Headers],[Keyuser - Aguardando tarefa precedente]])</f>
        <v>0</v>
      </c>
      <c r="V404">
        <f>COUNTIFS(Tabela4[[#All],[Cenário]],Tabela4[[#This Row],[Cenário]],Tabela4[[#All],[Status]],Tabela4[[#Headers],[Não liberado  para testes]])</f>
        <v>1</v>
      </c>
      <c r="W404" t="str">
        <f>IF(Tabela4[[#This Row],[Elo - Em correção ]]&gt;0,"Sim","Não")</f>
        <v>Não</v>
      </c>
      <c r="X404" t="str">
        <f>IF(Tabela4[[#This Row],[Keyuser - Aguardando tarefa precedente]]&gt;0,"Sim","Não")</f>
        <v>Não</v>
      </c>
      <c r="Y404" t="str">
        <f>IF(Tabela4[[#This Row],[Não liberado  para testes]]&gt;0,"Sim","Não")</f>
        <v>Sim</v>
      </c>
      <c r="Z404" t="str">
        <f ca="1">IF(Tabela4[[#This Row],[Status]]="Keyuser - Pendente",NETWORKDAYS(Tabela4[[#This Row],[Dt Inicial]],TODAY()),"")</f>
        <v/>
      </c>
      <c r="AA404" t="b">
        <f>AND(Tabela4[[#This Row],[Status]]="Keyuser - Aguardando tarefa precedente",K403="Keyuser - Concluído ")</f>
        <v>0</v>
      </c>
    </row>
    <row r="405" spans="1:27" x14ac:dyDescent="0.25">
      <c r="A405" t="str">
        <f>"OUT-"&amp;IFERROR(MID(Tabela4[[#This Row],[Cenário]],SEARCH("(",Tabela4[[#This Row],[Cenário]])+1,SEARCH(")",Tabela4[[#This Row],[Cenário]])-SEARCH("(",Tabela4[[#This Row],[Cenário]])-1),"")&amp;"_"&amp;ROW()</f>
        <v>OUT-Y002_405</v>
      </c>
      <c r="B405" t="s">
        <v>358</v>
      </c>
      <c r="C405" t="s">
        <v>595</v>
      </c>
      <c r="D405" t="s">
        <v>366</v>
      </c>
      <c r="E405">
        <v>3</v>
      </c>
      <c r="F405" t="s">
        <v>366</v>
      </c>
      <c r="G405" t="s">
        <v>367</v>
      </c>
      <c r="H405" s="9">
        <v>15603620</v>
      </c>
      <c r="I405" s="9" t="s">
        <v>596</v>
      </c>
      <c r="J405" s="9" t="s">
        <v>364</v>
      </c>
      <c r="K405" s="9" t="s">
        <v>271</v>
      </c>
      <c r="L405" s="78">
        <v>45947</v>
      </c>
      <c r="N405" s="78">
        <v>45947</v>
      </c>
      <c r="O405" s="31"/>
      <c r="P405" s="9"/>
      <c r="Q405" s="9">
        <f>COUNTIF(Tabela4[[#All],[Cenário]],Tabela4[[#This Row],[Cenário]])</f>
        <v>8</v>
      </c>
      <c r="R405">
        <f>COUNTIFS(Tabela4[[#All],[Cenário]],Tabela4[[#This Row],[Cenário]],Tabela4[[#All],[Status]],"Keyuser - Concluído ")</f>
        <v>7</v>
      </c>
      <c r="S405" t="str">
        <f>IF(Tabela4[[#This Row],[Tarefas por Cenário]]-Tabela4[[#This Row],[Tarefas Concluídas]]&gt;0,"Não","Sim")</f>
        <v>Não</v>
      </c>
      <c r="T405">
        <f>COUNTIFS(Tabela4[[#All],[Cenário]],Tabela4[[#This Row],[Cenário]],Tabela4[[#All],[Status]],Tabela4[[#Headers],[Elo - Em correção ]])</f>
        <v>0</v>
      </c>
      <c r="U405">
        <f>COUNTIFS(Tabela4[[#All],[Cenário]],Tabela4[[#This Row],[Cenário]],Tabela4[[#All],[Status]],Tabela4[[#Headers],[Keyuser - Aguardando tarefa precedente]])</f>
        <v>0</v>
      </c>
      <c r="V405">
        <f>COUNTIFS(Tabela4[[#All],[Cenário]],Tabela4[[#This Row],[Cenário]],Tabela4[[#All],[Status]],Tabela4[[#Headers],[Não liberado  para testes]])</f>
        <v>1</v>
      </c>
      <c r="W405" t="str">
        <f>IF(Tabela4[[#This Row],[Elo - Em correção ]]&gt;0,"Sim","Não")</f>
        <v>Não</v>
      </c>
      <c r="X405" t="str">
        <f>IF(Tabela4[[#This Row],[Keyuser - Aguardando tarefa precedente]]&gt;0,"Sim","Não")</f>
        <v>Não</v>
      </c>
      <c r="Y405" t="str">
        <f>IF(Tabela4[[#This Row],[Não liberado  para testes]]&gt;0,"Sim","Não")</f>
        <v>Sim</v>
      </c>
      <c r="Z405" t="str">
        <f ca="1">IF(Tabela4[[#This Row],[Status]]="Keyuser - Pendente",NETWORKDAYS(Tabela4[[#This Row],[Dt Inicial]],TODAY()),"")</f>
        <v/>
      </c>
      <c r="AA405" t="b">
        <f>AND(Tabela4[[#This Row],[Status]]="Keyuser - Aguardando tarefa precedente",K404="Keyuser - Concluído ")</f>
        <v>0</v>
      </c>
    </row>
    <row r="406" spans="1:27" x14ac:dyDescent="0.25">
      <c r="A406" t="str">
        <f>"OUT-"&amp;IFERROR(MID(Tabela4[[#This Row],[Cenário]],SEARCH("(",Tabela4[[#This Row],[Cenário]])+1,SEARCH(")",Tabela4[[#This Row],[Cenário]])-SEARCH("(",Tabela4[[#This Row],[Cenário]])-1),"")&amp;"_"&amp;ROW()</f>
        <v>OUT-Y002_406</v>
      </c>
      <c r="B406" t="s">
        <v>358</v>
      </c>
      <c r="C406" t="s">
        <v>595</v>
      </c>
      <c r="D406" t="s">
        <v>368</v>
      </c>
      <c r="E406">
        <v>4</v>
      </c>
      <c r="F406" t="s">
        <v>368</v>
      </c>
      <c r="G406" t="s">
        <v>369</v>
      </c>
      <c r="H406" s="13" t="s">
        <v>597</v>
      </c>
      <c r="K406" s="9" t="s">
        <v>271</v>
      </c>
      <c r="L406" s="78">
        <v>45947</v>
      </c>
      <c r="N406" s="78">
        <v>45947</v>
      </c>
      <c r="O406" s="31"/>
      <c r="P406" s="9"/>
      <c r="Q406" s="9">
        <f>COUNTIF(Tabela4[[#All],[Cenário]],Tabela4[[#This Row],[Cenário]])</f>
        <v>8</v>
      </c>
      <c r="R406">
        <f>COUNTIFS(Tabela4[[#All],[Cenário]],Tabela4[[#This Row],[Cenário]],Tabela4[[#All],[Status]],"Keyuser - Concluído ")</f>
        <v>7</v>
      </c>
      <c r="S406" t="str">
        <f>IF(Tabela4[[#This Row],[Tarefas por Cenário]]-Tabela4[[#This Row],[Tarefas Concluídas]]&gt;0,"Não","Sim")</f>
        <v>Não</v>
      </c>
      <c r="T406">
        <f>COUNTIFS(Tabela4[[#All],[Cenário]],Tabela4[[#This Row],[Cenário]],Tabela4[[#All],[Status]],Tabela4[[#Headers],[Elo - Em correção ]])</f>
        <v>0</v>
      </c>
      <c r="U406">
        <f>COUNTIFS(Tabela4[[#All],[Cenário]],Tabela4[[#This Row],[Cenário]],Tabela4[[#All],[Status]],Tabela4[[#Headers],[Keyuser - Aguardando tarefa precedente]])</f>
        <v>0</v>
      </c>
      <c r="V406">
        <f>COUNTIFS(Tabela4[[#All],[Cenário]],Tabela4[[#This Row],[Cenário]],Tabela4[[#All],[Status]],Tabela4[[#Headers],[Não liberado  para testes]])</f>
        <v>1</v>
      </c>
      <c r="W406" t="str">
        <f>IF(Tabela4[[#This Row],[Elo - Em correção ]]&gt;0,"Sim","Não")</f>
        <v>Não</v>
      </c>
      <c r="X406" t="str">
        <f>IF(Tabela4[[#This Row],[Keyuser - Aguardando tarefa precedente]]&gt;0,"Sim","Não")</f>
        <v>Não</v>
      </c>
      <c r="Y406" t="str">
        <f>IF(Tabela4[[#This Row],[Não liberado  para testes]]&gt;0,"Sim","Não")</f>
        <v>Sim</v>
      </c>
      <c r="Z406" t="str">
        <f ca="1">IF(Tabela4[[#This Row],[Status]]="Keyuser - Pendente",NETWORKDAYS(Tabela4[[#This Row],[Dt Inicial]],TODAY()),"")</f>
        <v/>
      </c>
      <c r="AA406" t="b">
        <f>AND(Tabela4[[#This Row],[Status]]="Keyuser - Aguardando tarefa precedente",K405="Keyuser - Concluído ")</f>
        <v>0</v>
      </c>
    </row>
    <row r="407" spans="1:27" x14ac:dyDescent="0.25">
      <c r="A407" t="str">
        <f>"OUT-"&amp;IFERROR(MID(Tabela4[[#This Row],[Cenário]],SEARCH("(",Tabela4[[#This Row],[Cenário]])+1,SEARCH(")",Tabela4[[#This Row],[Cenário]])-SEARCH("(",Tabela4[[#This Row],[Cenário]])-1),"")&amp;"_"&amp;ROW()</f>
        <v>OUT-Y002_407</v>
      </c>
      <c r="B407" t="s">
        <v>358</v>
      </c>
      <c r="C407" t="s">
        <v>595</v>
      </c>
      <c r="D407" t="s">
        <v>434</v>
      </c>
      <c r="E407">
        <v>5</v>
      </c>
      <c r="F407" t="s">
        <v>435</v>
      </c>
      <c r="G407" t="s">
        <v>287</v>
      </c>
      <c r="H407" s="13" t="s">
        <v>597</v>
      </c>
      <c r="I407" s="13"/>
      <c r="J407" s="13"/>
      <c r="K407" s="9" t="s">
        <v>271</v>
      </c>
      <c r="L407" s="78">
        <v>45947</v>
      </c>
      <c r="N407" s="78">
        <v>45947</v>
      </c>
      <c r="O407" s="31"/>
      <c r="P407" s="9"/>
      <c r="Q407" s="9">
        <f>COUNTIF(Tabela4[[#All],[Cenário]],Tabela4[[#This Row],[Cenário]])</f>
        <v>8</v>
      </c>
      <c r="R407">
        <f>COUNTIFS(Tabela4[[#All],[Cenário]],Tabela4[[#This Row],[Cenário]],Tabela4[[#All],[Status]],"Keyuser - Concluído ")</f>
        <v>7</v>
      </c>
      <c r="S407" t="str">
        <f>IF(Tabela4[[#This Row],[Tarefas por Cenário]]-Tabela4[[#This Row],[Tarefas Concluídas]]&gt;0,"Não","Sim")</f>
        <v>Não</v>
      </c>
      <c r="T407">
        <f>COUNTIFS(Tabela4[[#All],[Cenário]],Tabela4[[#This Row],[Cenário]],Tabela4[[#All],[Status]],Tabela4[[#Headers],[Elo - Em correção ]])</f>
        <v>0</v>
      </c>
      <c r="U407">
        <f>COUNTIFS(Tabela4[[#All],[Cenário]],Tabela4[[#This Row],[Cenário]],Tabela4[[#All],[Status]],Tabela4[[#Headers],[Keyuser - Aguardando tarefa precedente]])</f>
        <v>0</v>
      </c>
      <c r="V407">
        <f>COUNTIFS(Tabela4[[#All],[Cenário]],Tabela4[[#This Row],[Cenário]],Tabela4[[#All],[Status]],Tabela4[[#Headers],[Não liberado  para testes]])</f>
        <v>1</v>
      </c>
      <c r="W407" t="str">
        <f>IF(Tabela4[[#This Row],[Elo - Em correção ]]&gt;0,"Sim","Não")</f>
        <v>Não</v>
      </c>
      <c r="X407" t="str">
        <f>IF(Tabela4[[#This Row],[Keyuser - Aguardando tarefa precedente]]&gt;0,"Sim","Não")</f>
        <v>Não</v>
      </c>
      <c r="Y407" t="str">
        <f>IF(Tabela4[[#This Row],[Não liberado  para testes]]&gt;0,"Sim","Não")</f>
        <v>Sim</v>
      </c>
      <c r="Z407" t="str">
        <f ca="1">IF(Tabela4[[#This Row],[Status]]="Keyuser - Pendente",NETWORKDAYS(Tabela4[[#This Row],[Dt Inicial]],TODAY()),"")</f>
        <v/>
      </c>
      <c r="AA407" t="b">
        <f>AND(Tabela4[[#This Row],[Status]]="Keyuser - Aguardando tarefa precedente",K406="Keyuser - Concluído ")</f>
        <v>0</v>
      </c>
    </row>
    <row r="408" spans="1:27" x14ac:dyDescent="0.25">
      <c r="A408" t="str">
        <f>"OUT-"&amp;IFERROR(MID(Tabela4[[#This Row],[Cenário]],SEARCH("(",Tabela4[[#This Row],[Cenário]])+1,SEARCH(")",Tabela4[[#This Row],[Cenário]])-SEARCH("(",Tabela4[[#This Row],[Cenário]])-1),"")&amp;"_"&amp;ROW()</f>
        <v>OUT-Y002_408</v>
      </c>
      <c r="B408" t="s">
        <v>358</v>
      </c>
      <c r="C408" t="s">
        <v>595</v>
      </c>
      <c r="D408" t="s">
        <v>373</v>
      </c>
      <c r="E408">
        <v>6</v>
      </c>
      <c r="F408" t="s">
        <v>373</v>
      </c>
      <c r="G408" t="s">
        <v>283</v>
      </c>
      <c r="H408" s="15" t="s">
        <v>597</v>
      </c>
      <c r="I408" s="15"/>
      <c r="J408" s="15"/>
      <c r="K408" s="9" t="s">
        <v>271</v>
      </c>
      <c r="L408" s="78" t="s">
        <v>598</v>
      </c>
      <c r="N408" s="78">
        <v>45950</v>
      </c>
      <c r="O408" s="31"/>
      <c r="P408" s="9"/>
      <c r="Q408" s="9">
        <f>COUNTIF(Tabela4[[#All],[Cenário]],Tabela4[[#This Row],[Cenário]])</f>
        <v>8</v>
      </c>
      <c r="R408">
        <f>COUNTIFS(Tabela4[[#All],[Cenário]],Tabela4[[#This Row],[Cenário]],Tabela4[[#All],[Status]],"Keyuser - Concluído ")</f>
        <v>7</v>
      </c>
      <c r="S408" t="str">
        <f>IF(Tabela4[[#This Row],[Tarefas por Cenário]]-Tabela4[[#This Row],[Tarefas Concluídas]]&gt;0,"Não","Sim")</f>
        <v>Não</v>
      </c>
      <c r="T408">
        <f>COUNTIFS(Tabela4[[#All],[Cenário]],Tabela4[[#This Row],[Cenário]],Tabela4[[#All],[Status]],Tabela4[[#Headers],[Elo - Em correção ]])</f>
        <v>0</v>
      </c>
      <c r="U408">
        <f>COUNTIFS(Tabela4[[#All],[Cenário]],Tabela4[[#This Row],[Cenário]],Tabela4[[#All],[Status]],Tabela4[[#Headers],[Keyuser - Aguardando tarefa precedente]])</f>
        <v>0</v>
      </c>
      <c r="V408">
        <f>COUNTIFS(Tabela4[[#All],[Cenário]],Tabela4[[#This Row],[Cenário]],Tabela4[[#All],[Status]],Tabela4[[#Headers],[Não liberado  para testes]])</f>
        <v>1</v>
      </c>
      <c r="W408" t="str">
        <f>IF(Tabela4[[#This Row],[Elo - Em correção ]]&gt;0,"Sim","Não")</f>
        <v>Não</v>
      </c>
      <c r="X408" t="str">
        <f>IF(Tabela4[[#This Row],[Keyuser - Aguardando tarefa precedente]]&gt;0,"Sim","Não")</f>
        <v>Não</v>
      </c>
      <c r="Y408" t="str">
        <f>IF(Tabela4[[#This Row],[Não liberado  para testes]]&gt;0,"Sim","Não")</f>
        <v>Sim</v>
      </c>
      <c r="Z408" t="str">
        <f ca="1">IF(Tabela4[[#This Row],[Status]]="Keyuser - Pendente",NETWORKDAYS(Tabela4[[#This Row],[Dt Inicial]],TODAY()),"")</f>
        <v/>
      </c>
      <c r="AA408" t="b">
        <f>AND(Tabela4[[#This Row],[Status]]="Keyuser - Aguardando tarefa precedente",K407="Keyuser - Concluído ")</f>
        <v>0</v>
      </c>
    </row>
    <row r="409" spans="1:27" x14ac:dyDescent="0.25">
      <c r="A409" t="str">
        <f>"OUT-"&amp;IFERROR(MID(Tabela4[[#This Row],[Cenário]],SEARCH("(",Tabela4[[#This Row],[Cenário]])+1,SEARCH(")",Tabela4[[#This Row],[Cenário]])-SEARCH("(",Tabela4[[#This Row],[Cenário]])-1),"")&amp;"_"&amp;ROW()</f>
        <v>OUT-Y002_409</v>
      </c>
      <c r="B409" t="s">
        <v>374</v>
      </c>
      <c r="C409" t="s">
        <v>595</v>
      </c>
      <c r="D409" t="s">
        <v>286</v>
      </c>
      <c r="E409">
        <v>7</v>
      </c>
      <c r="F409" t="s">
        <v>286</v>
      </c>
      <c r="G409" t="s">
        <v>287</v>
      </c>
      <c r="H409" s="14"/>
      <c r="I409" s="15"/>
      <c r="J409" s="15"/>
      <c r="K409" s="9" t="s">
        <v>262</v>
      </c>
      <c r="N409" s="78"/>
      <c r="O409" s="31"/>
      <c r="P409" s="9"/>
      <c r="Q409" s="9">
        <f>COUNTIF(Tabela4[[#All],[Cenário]],Tabela4[[#This Row],[Cenário]])</f>
        <v>8</v>
      </c>
      <c r="R409">
        <f>COUNTIFS(Tabela4[[#All],[Cenário]],Tabela4[[#This Row],[Cenário]],Tabela4[[#All],[Status]],"Keyuser - Concluído ")</f>
        <v>7</v>
      </c>
      <c r="S409" t="str">
        <f>IF(Tabela4[[#This Row],[Tarefas por Cenário]]-Tabela4[[#This Row],[Tarefas Concluídas]]&gt;0,"Não","Sim")</f>
        <v>Não</v>
      </c>
      <c r="T409">
        <f>COUNTIFS(Tabela4[[#All],[Cenário]],Tabela4[[#This Row],[Cenário]],Tabela4[[#All],[Status]],Tabela4[[#Headers],[Elo - Em correção ]])</f>
        <v>0</v>
      </c>
      <c r="U409">
        <f>COUNTIFS(Tabela4[[#All],[Cenário]],Tabela4[[#This Row],[Cenário]],Tabela4[[#All],[Status]],Tabela4[[#Headers],[Keyuser - Aguardando tarefa precedente]])</f>
        <v>0</v>
      </c>
      <c r="V409">
        <f>COUNTIFS(Tabela4[[#All],[Cenário]],Tabela4[[#This Row],[Cenário]],Tabela4[[#All],[Status]],Tabela4[[#Headers],[Não liberado  para testes]])</f>
        <v>1</v>
      </c>
      <c r="W409" t="str">
        <f>IF(Tabela4[[#This Row],[Elo - Em correção ]]&gt;0,"Sim","Não")</f>
        <v>Não</v>
      </c>
      <c r="X409" t="str">
        <f>IF(Tabela4[[#This Row],[Keyuser - Aguardando tarefa precedente]]&gt;0,"Sim","Não")</f>
        <v>Não</v>
      </c>
      <c r="Y409" t="str">
        <f>IF(Tabela4[[#This Row],[Não liberado  para testes]]&gt;0,"Sim","Não")</f>
        <v>Sim</v>
      </c>
      <c r="Z409" t="str">
        <f ca="1">IF(Tabela4[[#This Row],[Status]]="Keyuser - Pendente",NETWORKDAYS(Tabela4[[#This Row],[Dt Inicial]],TODAY()),"")</f>
        <v/>
      </c>
      <c r="AA409" t="b">
        <f>AND(Tabela4[[#This Row],[Status]]="Keyuser - Aguardando tarefa precedente",K408="Keyuser - Concluído ")</f>
        <v>0</v>
      </c>
    </row>
    <row r="410" spans="1:27" x14ac:dyDescent="0.25">
      <c r="A410" t="str">
        <f>"OUT-"&amp;IFERROR(MID(Tabela4[[#This Row],[Cenário]],SEARCH("(",Tabela4[[#This Row],[Cenário]])+1,SEARCH(")",Tabela4[[#This Row],[Cenário]])-SEARCH("(",Tabela4[[#This Row],[Cenário]])-1),"")&amp;"_"&amp;ROW()</f>
        <v>OUT-Y002_410</v>
      </c>
      <c r="B410" t="s">
        <v>358</v>
      </c>
      <c r="C410" t="s">
        <v>595</v>
      </c>
      <c r="D410" t="s">
        <v>375</v>
      </c>
      <c r="E410">
        <v>8</v>
      </c>
      <c r="F410" t="s">
        <v>375</v>
      </c>
      <c r="G410" t="s">
        <v>367</v>
      </c>
      <c r="H410" s="9">
        <v>15603620</v>
      </c>
      <c r="I410" s="9" t="s">
        <v>596</v>
      </c>
      <c r="J410" s="9" t="s">
        <v>364</v>
      </c>
      <c r="K410" s="9" t="s">
        <v>271</v>
      </c>
      <c r="L410" s="78">
        <v>45950</v>
      </c>
      <c r="N410" s="78">
        <v>45950</v>
      </c>
      <c r="O410" s="31"/>
      <c r="P410" s="9"/>
      <c r="Q410" s="9">
        <f>COUNTIF(Tabela4[[#All],[Cenário]],Tabela4[[#This Row],[Cenário]])</f>
        <v>8</v>
      </c>
      <c r="R410">
        <f>COUNTIFS(Tabela4[[#All],[Cenário]],Tabela4[[#This Row],[Cenário]],Tabela4[[#All],[Status]],"Keyuser - Concluído ")</f>
        <v>7</v>
      </c>
      <c r="S410" t="str">
        <f>IF(Tabela4[[#This Row],[Tarefas por Cenário]]-Tabela4[[#This Row],[Tarefas Concluídas]]&gt;0,"Não","Sim")</f>
        <v>Não</v>
      </c>
      <c r="T410">
        <f>COUNTIFS(Tabela4[[#All],[Cenário]],Tabela4[[#This Row],[Cenário]],Tabela4[[#All],[Status]],Tabela4[[#Headers],[Elo - Em correção ]])</f>
        <v>0</v>
      </c>
      <c r="U410">
        <f>COUNTIFS(Tabela4[[#All],[Cenário]],Tabela4[[#This Row],[Cenário]],Tabela4[[#All],[Status]],Tabela4[[#Headers],[Keyuser - Aguardando tarefa precedente]])</f>
        <v>0</v>
      </c>
      <c r="V410">
        <f>COUNTIFS(Tabela4[[#All],[Cenário]],Tabela4[[#This Row],[Cenário]],Tabela4[[#All],[Status]],Tabela4[[#Headers],[Não liberado  para testes]])</f>
        <v>1</v>
      </c>
      <c r="W410" t="str">
        <f>IF(Tabela4[[#This Row],[Elo - Em correção ]]&gt;0,"Sim","Não")</f>
        <v>Não</v>
      </c>
      <c r="X410" t="str">
        <f>IF(Tabela4[[#This Row],[Keyuser - Aguardando tarefa precedente]]&gt;0,"Sim","Não")</f>
        <v>Não</v>
      </c>
      <c r="Y410" t="str">
        <f>IF(Tabela4[[#This Row],[Não liberado  para testes]]&gt;0,"Sim","Não")</f>
        <v>Sim</v>
      </c>
      <c r="Z410" t="str">
        <f ca="1">IF(Tabela4[[#This Row],[Status]]="Keyuser - Pendente",NETWORKDAYS(Tabela4[[#This Row],[Dt Inicial]],TODAY()),"")</f>
        <v/>
      </c>
      <c r="AA410" t="b">
        <f>AND(Tabela4[[#This Row],[Status]]="Keyuser - Aguardando tarefa precedente",K409="Keyuser - Concluído ")</f>
        <v>0</v>
      </c>
    </row>
    <row r="411" spans="1:27" x14ac:dyDescent="0.25">
      <c r="A411" t="str">
        <f>"OUT-"&amp;IFERROR(MID(Tabela4[[#This Row],[Cenário]],SEARCH("(",Tabela4[[#This Row],[Cenário]])+1,SEARCH(")",Tabela4[[#This Row],[Cenário]])-SEARCH("(",Tabela4[[#This Row],[Cenário]])-1),"")&amp;"_"&amp;ROW()</f>
        <v>OUT-YBIO_411</v>
      </c>
      <c r="B411" t="s">
        <v>358</v>
      </c>
      <c r="C411" t="s">
        <v>599</v>
      </c>
      <c r="D411" t="s">
        <v>360</v>
      </c>
      <c r="E411">
        <v>1</v>
      </c>
      <c r="F411" t="s">
        <v>360</v>
      </c>
      <c r="G411" t="s">
        <v>361</v>
      </c>
      <c r="H411" s="9">
        <v>15603621</v>
      </c>
      <c r="I411" s="13" t="s">
        <v>600</v>
      </c>
      <c r="J411" s="9" t="s">
        <v>364</v>
      </c>
      <c r="K411" s="9" t="s">
        <v>271</v>
      </c>
      <c r="L411" s="78" t="s">
        <v>598</v>
      </c>
      <c r="N411" s="78">
        <v>45950</v>
      </c>
      <c r="O411" s="31"/>
      <c r="P411" s="9"/>
      <c r="Q411" s="9">
        <f>COUNTIF(Tabela4[[#All],[Cenário]],Tabela4[[#This Row],[Cenário]])</f>
        <v>8</v>
      </c>
      <c r="R411">
        <f>COUNTIFS(Tabela4[[#All],[Cenário]],Tabela4[[#This Row],[Cenário]],Tabela4[[#All],[Status]],"Keyuser - Concluído ")</f>
        <v>7</v>
      </c>
      <c r="S411" t="str">
        <f>IF(Tabela4[[#This Row],[Tarefas por Cenário]]-Tabela4[[#This Row],[Tarefas Concluídas]]&gt;0,"Não","Sim")</f>
        <v>Não</v>
      </c>
      <c r="T411">
        <f>COUNTIFS(Tabela4[[#All],[Cenário]],Tabela4[[#This Row],[Cenário]],Tabela4[[#All],[Status]],Tabela4[[#Headers],[Elo - Em correção ]])</f>
        <v>0</v>
      </c>
      <c r="U411">
        <f>COUNTIFS(Tabela4[[#All],[Cenário]],Tabela4[[#This Row],[Cenário]],Tabela4[[#All],[Status]],Tabela4[[#Headers],[Keyuser - Aguardando tarefa precedente]])</f>
        <v>0</v>
      </c>
      <c r="V411">
        <f>COUNTIFS(Tabela4[[#All],[Cenário]],Tabela4[[#This Row],[Cenário]],Tabela4[[#All],[Status]],Tabela4[[#Headers],[Não liberado  para testes]])</f>
        <v>1</v>
      </c>
      <c r="W411" t="str">
        <f>IF(Tabela4[[#This Row],[Elo - Em correção ]]&gt;0,"Sim","Não")</f>
        <v>Não</v>
      </c>
      <c r="X411" t="str">
        <f>IF(Tabela4[[#This Row],[Keyuser - Aguardando tarefa precedente]]&gt;0,"Sim","Não")</f>
        <v>Não</v>
      </c>
      <c r="Y411" t="str">
        <f>IF(Tabela4[[#This Row],[Não liberado  para testes]]&gt;0,"Sim","Não")</f>
        <v>Sim</v>
      </c>
      <c r="Z411" t="str">
        <f ca="1">IF(Tabela4[[#This Row],[Status]]="Keyuser - Pendente",NETWORKDAYS(Tabela4[[#This Row],[Dt Inicial]],TODAY()),"")</f>
        <v/>
      </c>
      <c r="AA411" t="b">
        <f>AND(Tabela4[[#This Row],[Status]]="Keyuser - Aguardando tarefa precedente",K410="Keyuser - Concluído ")</f>
        <v>0</v>
      </c>
    </row>
    <row r="412" spans="1:27" x14ac:dyDescent="0.25">
      <c r="A412" t="str">
        <f>"OUT-"&amp;IFERROR(MID(Tabela4[[#This Row],[Cenário]],SEARCH("(",Tabela4[[#This Row],[Cenário]])+1,SEARCH(")",Tabela4[[#This Row],[Cenário]])-SEARCH("(",Tabela4[[#This Row],[Cenário]])-1),"")&amp;"_"&amp;ROW()</f>
        <v>OUT-YBIO_412</v>
      </c>
      <c r="B412" t="s">
        <v>358</v>
      </c>
      <c r="C412" t="s">
        <v>599</v>
      </c>
      <c r="D412" t="s">
        <v>365</v>
      </c>
      <c r="E412">
        <v>2</v>
      </c>
      <c r="F412" t="s">
        <v>365</v>
      </c>
      <c r="G412" t="s">
        <v>310</v>
      </c>
      <c r="H412" s="9">
        <v>15603621</v>
      </c>
      <c r="I412" s="13" t="s">
        <v>600</v>
      </c>
      <c r="J412" s="9" t="s">
        <v>364</v>
      </c>
      <c r="K412" s="9" t="s">
        <v>271</v>
      </c>
      <c r="L412" s="78" t="s">
        <v>598</v>
      </c>
      <c r="N412" s="78">
        <v>45950</v>
      </c>
      <c r="O412" s="31"/>
      <c r="P412" s="9"/>
      <c r="Q412" s="9">
        <f>COUNTIF(Tabela4[[#All],[Cenário]],Tabela4[[#This Row],[Cenário]])</f>
        <v>8</v>
      </c>
      <c r="R412">
        <f>COUNTIFS(Tabela4[[#All],[Cenário]],Tabela4[[#This Row],[Cenário]],Tabela4[[#All],[Status]],"Keyuser - Concluído ")</f>
        <v>7</v>
      </c>
      <c r="S412" t="str">
        <f>IF(Tabela4[[#This Row],[Tarefas por Cenário]]-Tabela4[[#This Row],[Tarefas Concluídas]]&gt;0,"Não","Sim")</f>
        <v>Não</v>
      </c>
      <c r="T412">
        <f>COUNTIFS(Tabela4[[#All],[Cenário]],Tabela4[[#This Row],[Cenário]],Tabela4[[#All],[Status]],Tabela4[[#Headers],[Elo - Em correção ]])</f>
        <v>0</v>
      </c>
      <c r="U412">
        <f>COUNTIFS(Tabela4[[#All],[Cenário]],Tabela4[[#This Row],[Cenário]],Tabela4[[#All],[Status]],Tabela4[[#Headers],[Keyuser - Aguardando tarefa precedente]])</f>
        <v>0</v>
      </c>
      <c r="V412">
        <f>COUNTIFS(Tabela4[[#All],[Cenário]],Tabela4[[#This Row],[Cenário]],Tabela4[[#All],[Status]],Tabela4[[#Headers],[Não liberado  para testes]])</f>
        <v>1</v>
      </c>
      <c r="W412" t="str">
        <f>IF(Tabela4[[#This Row],[Elo - Em correção ]]&gt;0,"Sim","Não")</f>
        <v>Não</v>
      </c>
      <c r="X412" t="str">
        <f>IF(Tabela4[[#This Row],[Keyuser - Aguardando tarefa precedente]]&gt;0,"Sim","Não")</f>
        <v>Não</v>
      </c>
      <c r="Y412" t="str">
        <f>IF(Tabela4[[#This Row],[Não liberado  para testes]]&gt;0,"Sim","Não")</f>
        <v>Sim</v>
      </c>
      <c r="Z412" t="str">
        <f ca="1">IF(Tabela4[[#This Row],[Status]]="Keyuser - Pendente",NETWORKDAYS(Tabela4[[#This Row],[Dt Inicial]],TODAY()),"")</f>
        <v/>
      </c>
      <c r="AA412" t="b">
        <f>AND(Tabela4[[#This Row],[Status]]="Keyuser - Aguardando tarefa precedente",K411="Keyuser - Concluído ")</f>
        <v>0</v>
      </c>
    </row>
    <row r="413" spans="1:27" x14ac:dyDescent="0.25">
      <c r="A413" t="str">
        <f>"OUT-"&amp;IFERROR(MID(Tabela4[[#This Row],[Cenário]],SEARCH("(",Tabela4[[#This Row],[Cenário]])+1,SEARCH(")",Tabela4[[#This Row],[Cenário]])-SEARCH("(",Tabela4[[#This Row],[Cenário]])-1),"")&amp;"_"&amp;ROW()</f>
        <v>OUT-YBIO_413</v>
      </c>
      <c r="B413" t="s">
        <v>358</v>
      </c>
      <c r="C413" t="s">
        <v>599</v>
      </c>
      <c r="D413" t="s">
        <v>366</v>
      </c>
      <c r="E413">
        <v>3</v>
      </c>
      <c r="F413" t="s">
        <v>366</v>
      </c>
      <c r="G413" t="s">
        <v>367</v>
      </c>
      <c r="H413" s="9">
        <v>15603621</v>
      </c>
      <c r="I413" s="13" t="s">
        <v>600</v>
      </c>
      <c r="J413" s="9" t="s">
        <v>364</v>
      </c>
      <c r="K413" s="9" t="s">
        <v>271</v>
      </c>
      <c r="L413" s="78" t="s">
        <v>598</v>
      </c>
      <c r="N413" s="78">
        <v>45950</v>
      </c>
      <c r="O413" s="31"/>
      <c r="P413" s="9"/>
      <c r="Q413" s="9">
        <f>COUNTIF(Tabela4[[#All],[Cenário]],Tabela4[[#This Row],[Cenário]])</f>
        <v>8</v>
      </c>
      <c r="R413">
        <f>COUNTIFS(Tabela4[[#All],[Cenário]],Tabela4[[#This Row],[Cenário]],Tabela4[[#All],[Status]],"Keyuser - Concluído ")</f>
        <v>7</v>
      </c>
      <c r="S413" t="str">
        <f>IF(Tabela4[[#This Row],[Tarefas por Cenário]]-Tabela4[[#This Row],[Tarefas Concluídas]]&gt;0,"Não","Sim")</f>
        <v>Não</v>
      </c>
      <c r="T413">
        <f>COUNTIFS(Tabela4[[#All],[Cenário]],Tabela4[[#This Row],[Cenário]],Tabela4[[#All],[Status]],Tabela4[[#Headers],[Elo - Em correção ]])</f>
        <v>0</v>
      </c>
      <c r="U413">
        <f>COUNTIFS(Tabela4[[#All],[Cenário]],Tabela4[[#This Row],[Cenário]],Tabela4[[#All],[Status]],Tabela4[[#Headers],[Keyuser - Aguardando tarefa precedente]])</f>
        <v>0</v>
      </c>
      <c r="V413">
        <f>COUNTIFS(Tabela4[[#All],[Cenário]],Tabela4[[#This Row],[Cenário]],Tabela4[[#All],[Status]],Tabela4[[#Headers],[Não liberado  para testes]])</f>
        <v>1</v>
      </c>
      <c r="W413" t="str">
        <f>IF(Tabela4[[#This Row],[Elo - Em correção ]]&gt;0,"Sim","Não")</f>
        <v>Não</v>
      </c>
      <c r="X413" t="str">
        <f>IF(Tabela4[[#This Row],[Keyuser - Aguardando tarefa precedente]]&gt;0,"Sim","Não")</f>
        <v>Não</v>
      </c>
      <c r="Y413" t="str">
        <f>IF(Tabela4[[#This Row],[Não liberado  para testes]]&gt;0,"Sim","Não")</f>
        <v>Sim</v>
      </c>
      <c r="Z413" t="str">
        <f ca="1">IF(Tabela4[[#This Row],[Status]]="Keyuser - Pendente",NETWORKDAYS(Tabela4[[#This Row],[Dt Inicial]],TODAY()),"")</f>
        <v/>
      </c>
      <c r="AA413" t="b">
        <f>AND(Tabela4[[#This Row],[Status]]="Keyuser - Aguardando tarefa precedente",K412="Keyuser - Concluído ")</f>
        <v>0</v>
      </c>
    </row>
    <row r="414" spans="1:27" x14ac:dyDescent="0.25">
      <c r="A414" t="str">
        <f>"OUT-"&amp;IFERROR(MID(Tabela4[[#This Row],[Cenário]],SEARCH("(",Tabela4[[#This Row],[Cenário]])+1,SEARCH(")",Tabela4[[#This Row],[Cenário]])-SEARCH("(",Tabela4[[#This Row],[Cenário]])-1),"")&amp;"_"&amp;ROW()</f>
        <v>OUT-YBIO_414</v>
      </c>
      <c r="B414" t="s">
        <v>358</v>
      </c>
      <c r="C414" t="s">
        <v>599</v>
      </c>
      <c r="D414" t="s">
        <v>368</v>
      </c>
      <c r="E414">
        <v>4</v>
      </c>
      <c r="F414" t="s">
        <v>368</v>
      </c>
      <c r="G414" t="s">
        <v>369</v>
      </c>
      <c r="H414" s="13" t="s">
        <v>601</v>
      </c>
      <c r="I414" s="13"/>
      <c r="J414" s="13"/>
      <c r="K414" s="9" t="s">
        <v>271</v>
      </c>
      <c r="L414" s="78">
        <v>45951</v>
      </c>
      <c r="N414" s="78">
        <v>45951</v>
      </c>
      <c r="O414" s="31"/>
      <c r="P414" s="9"/>
      <c r="Q414" s="9">
        <f>COUNTIF(Tabela4[[#All],[Cenário]],Tabela4[[#This Row],[Cenário]])</f>
        <v>8</v>
      </c>
      <c r="R414">
        <f>COUNTIFS(Tabela4[[#All],[Cenário]],Tabela4[[#This Row],[Cenário]],Tabela4[[#All],[Status]],"Keyuser - Concluído ")</f>
        <v>7</v>
      </c>
      <c r="S414" t="str">
        <f>IF(Tabela4[[#This Row],[Tarefas por Cenário]]-Tabela4[[#This Row],[Tarefas Concluídas]]&gt;0,"Não","Sim")</f>
        <v>Não</v>
      </c>
      <c r="T414">
        <f>COUNTIFS(Tabela4[[#All],[Cenário]],Tabela4[[#This Row],[Cenário]],Tabela4[[#All],[Status]],Tabela4[[#Headers],[Elo - Em correção ]])</f>
        <v>0</v>
      </c>
      <c r="U414">
        <f>COUNTIFS(Tabela4[[#All],[Cenário]],Tabela4[[#This Row],[Cenário]],Tabela4[[#All],[Status]],Tabela4[[#Headers],[Keyuser - Aguardando tarefa precedente]])</f>
        <v>0</v>
      </c>
      <c r="V414">
        <f>COUNTIFS(Tabela4[[#All],[Cenário]],Tabela4[[#This Row],[Cenário]],Tabela4[[#All],[Status]],Tabela4[[#Headers],[Não liberado  para testes]])</f>
        <v>1</v>
      </c>
      <c r="W414" t="str">
        <f>IF(Tabela4[[#This Row],[Elo - Em correção ]]&gt;0,"Sim","Não")</f>
        <v>Não</v>
      </c>
      <c r="X414" t="str">
        <f>IF(Tabela4[[#This Row],[Keyuser - Aguardando tarefa precedente]]&gt;0,"Sim","Não")</f>
        <v>Não</v>
      </c>
      <c r="Y414" t="str">
        <f>IF(Tabela4[[#This Row],[Não liberado  para testes]]&gt;0,"Sim","Não")</f>
        <v>Sim</v>
      </c>
      <c r="Z414" t="str">
        <f ca="1">IF(Tabela4[[#This Row],[Status]]="Keyuser - Pendente",NETWORKDAYS(Tabela4[[#This Row],[Dt Inicial]],TODAY()),"")</f>
        <v/>
      </c>
      <c r="AA414" t="b">
        <f>AND(Tabela4[[#This Row],[Status]]="Keyuser - Aguardando tarefa precedente",K413="Keyuser - Concluído ")</f>
        <v>0</v>
      </c>
    </row>
    <row r="415" spans="1:27" x14ac:dyDescent="0.25">
      <c r="A415" t="str">
        <f>"OUT-"&amp;IFERROR(MID(Tabela4[[#This Row],[Cenário]],SEARCH("(",Tabela4[[#This Row],[Cenário]])+1,SEARCH(")",Tabela4[[#This Row],[Cenário]])-SEARCH("(",Tabela4[[#This Row],[Cenário]])-1),"")&amp;"_"&amp;ROW()</f>
        <v>OUT-YBIO_415</v>
      </c>
      <c r="B415" t="s">
        <v>358</v>
      </c>
      <c r="C415" t="s">
        <v>599</v>
      </c>
      <c r="D415" t="s">
        <v>434</v>
      </c>
      <c r="E415">
        <v>5</v>
      </c>
      <c r="F415" t="s">
        <v>435</v>
      </c>
      <c r="G415" t="s">
        <v>287</v>
      </c>
      <c r="H415" s="13" t="s">
        <v>601</v>
      </c>
      <c r="I415" s="13"/>
      <c r="J415" s="13"/>
      <c r="K415" s="9" t="s">
        <v>271</v>
      </c>
      <c r="L415" s="78" t="s">
        <v>602</v>
      </c>
      <c r="N415" s="78">
        <v>45952</v>
      </c>
      <c r="O415" s="31"/>
      <c r="P415" s="9"/>
      <c r="Q415" s="9">
        <f>COUNTIF(Tabela4[[#All],[Cenário]],Tabela4[[#This Row],[Cenário]])</f>
        <v>8</v>
      </c>
      <c r="R415">
        <f>COUNTIFS(Tabela4[[#All],[Cenário]],Tabela4[[#This Row],[Cenário]],Tabela4[[#All],[Status]],"Keyuser - Concluído ")</f>
        <v>7</v>
      </c>
      <c r="S415" t="str">
        <f>IF(Tabela4[[#This Row],[Tarefas por Cenário]]-Tabela4[[#This Row],[Tarefas Concluídas]]&gt;0,"Não","Sim")</f>
        <v>Não</v>
      </c>
      <c r="T415">
        <f>COUNTIFS(Tabela4[[#All],[Cenário]],Tabela4[[#This Row],[Cenário]],Tabela4[[#All],[Status]],Tabela4[[#Headers],[Elo - Em correção ]])</f>
        <v>0</v>
      </c>
      <c r="U415">
        <f>COUNTIFS(Tabela4[[#All],[Cenário]],Tabela4[[#This Row],[Cenário]],Tabela4[[#All],[Status]],Tabela4[[#Headers],[Keyuser - Aguardando tarefa precedente]])</f>
        <v>0</v>
      </c>
      <c r="V415">
        <f>COUNTIFS(Tabela4[[#All],[Cenário]],Tabela4[[#This Row],[Cenário]],Tabela4[[#All],[Status]],Tabela4[[#Headers],[Não liberado  para testes]])</f>
        <v>1</v>
      </c>
      <c r="W415" t="str">
        <f>IF(Tabela4[[#This Row],[Elo - Em correção ]]&gt;0,"Sim","Não")</f>
        <v>Não</v>
      </c>
      <c r="X415" t="str">
        <f>IF(Tabela4[[#This Row],[Keyuser - Aguardando tarefa precedente]]&gt;0,"Sim","Não")</f>
        <v>Não</v>
      </c>
      <c r="Y415" t="str">
        <f>IF(Tabela4[[#This Row],[Não liberado  para testes]]&gt;0,"Sim","Não")</f>
        <v>Sim</v>
      </c>
      <c r="Z415" t="str">
        <f ca="1">IF(Tabela4[[#This Row],[Status]]="Keyuser - Pendente",NETWORKDAYS(Tabela4[[#This Row],[Dt Inicial]],TODAY()),"")</f>
        <v/>
      </c>
      <c r="AA415" t="b">
        <f>AND(Tabela4[[#This Row],[Status]]="Keyuser - Aguardando tarefa precedente",K414="Keyuser - Concluído ")</f>
        <v>0</v>
      </c>
    </row>
    <row r="416" spans="1:27" x14ac:dyDescent="0.25">
      <c r="A416" t="str">
        <f>"OUT-"&amp;IFERROR(MID(Tabela4[[#This Row],[Cenário]],SEARCH("(",Tabela4[[#This Row],[Cenário]])+1,SEARCH(")",Tabela4[[#This Row],[Cenário]])-SEARCH("(",Tabela4[[#This Row],[Cenário]])-1),"")&amp;"_"&amp;ROW()</f>
        <v>OUT-YBIO_416</v>
      </c>
      <c r="B416" t="s">
        <v>358</v>
      </c>
      <c r="C416" t="s">
        <v>599</v>
      </c>
      <c r="D416" t="s">
        <v>373</v>
      </c>
      <c r="E416">
        <v>6</v>
      </c>
      <c r="F416" t="s">
        <v>373</v>
      </c>
      <c r="G416" t="s">
        <v>283</v>
      </c>
      <c r="H416" s="33" t="s">
        <v>601</v>
      </c>
      <c r="I416" s="13"/>
      <c r="J416" s="13"/>
      <c r="K416" s="9" t="s">
        <v>271</v>
      </c>
      <c r="L416" s="78" t="s">
        <v>602</v>
      </c>
      <c r="N416" s="78">
        <v>45952</v>
      </c>
      <c r="O416" s="31"/>
      <c r="P416" s="9"/>
      <c r="Q416" s="9">
        <f>COUNTIF(Tabela4[[#All],[Cenário]],Tabela4[[#This Row],[Cenário]])</f>
        <v>8</v>
      </c>
      <c r="R416">
        <f>COUNTIFS(Tabela4[[#All],[Cenário]],Tabela4[[#This Row],[Cenário]],Tabela4[[#All],[Status]],"Keyuser - Concluído ")</f>
        <v>7</v>
      </c>
      <c r="S416" t="str">
        <f>IF(Tabela4[[#This Row],[Tarefas por Cenário]]-Tabela4[[#This Row],[Tarefas Concluídas]]&gt;0,"Não","Sim")</f>
        <v>Não</v>
      </c>
      <c r="T416">
        <f>COUNTIFS(Tabela4[[#All],[Cenário]],Tabela4[[#This Row],[Cenário]],Tabela4[[#All],[Status]],Tabela4[[#Headers],[Elo - Em correção ]])</f>
        <v>0</v>
      </c>
      <c r="U416">
        <f>COUNTIFS(Tabela4[[#All],[Cenário]],Tabela4[[#This Row],[Cenário]],Tabela4[[#All],[Status]],Tabela4[[#Headers],[Keyuser - Aguardando tarefa precedente]])</f>
        <v>0</v>
      </c>
      <c r="V416">
        <f>COUNTIFS(Tabela4[[#All],[Cenário]],Tabela4[[#This Row],[Cenário]],Tabela4[[#All],[Status]],Tabela4[[#Headers],[Não liberado  para testes]])</f>
        <v>1</v>
      </c>
      <c r="W416" t="str">
        <f>IF(Tabela4[[#This Row],[Elo - Em correção ]]&gt;0,"Sim","Não")</f>
        <v>Não</v>
      </c>
      <c r="X416" t="str">
        <f>IF(Tabela4[[#This Row],[Keyuser - Aguardando tarefa precedente]]&gt;0,"Sim","Não")</f>
        <v>Não</v>
      </c>
      <c r="Y416" t="str">
        <f>IF(Tabela4[[#This Row],[Não liberado  para testes]]&gt;0,"Sim","Não")</f>
        <v>Sim</v>
      </c>
      <c r="Z416" t="str">
        <f ca="1">IF(Tabela4[[#This Row],[Status]]="Keyuser - Pendente",NETWORKDAYS(Tabela4[[#This Row],[Dt Inicial]],TODAY()),"")</f>
        <v/>
      </c>
      <c r="AA416" t="b">
        <f>AND(Tabela4[[#This Row],[Status]]="Keyuser - Aguardando tarefa precedente",K415="Keyuser - Concluído ")</f>
        <v>0</v>
      </c>
    </row>
    <row r="417" spans="1:27" x14ac:dyDescent="0.25">
      <c r="A417" t="str">
        <f>"OUT-"&amp;IFERROR(MID(Tabela4[[#This Row],[Cenário]],SEARCH("(",Tabela4[[#This Row],[Cenário]])+1,SEARCH(")",Tabela4[[#This Row],[Cenário]])-SEARCH("(",Tabela4[[#This Row],[Cenário]])-1),"")&amp;"_"&amp;ROW()</f>
        <v>OUT-YBIO_417</v>
      </c>
      <c r="B417" t="s">
        <v>374</v>
      </c>
      <c r="C417" t="s">
        <v>599</v>
      </c>
      <c r="D417" t="s">
        <v>286</v>
      </c>
      <c r="E417">
        <v>7</v>
      </c>
      <c r="F417" t="s">
        <v>286</v>
      </c>
      <c r="G417" t="s">
        <v>287</v>
      </c>
      <c r="H417" s="13"/>
      <c r="I417" s="13"/>
      <c r="J417" s="13"/>
      <c r="K417" s="9" t="s">
        <v>262</v>
      </c>
      <c r="N417" s="78"/>
      <c r="O417" s="31"/>
      <c r="P417" s="9"/>
      <c r="Q417" s="9">
        <f>COUNTIF(Tabela4[[#All],[Cenário]],Tabela4[[#This Row],[Cenário]])</f>
        <v>8</v>
      </c>
      <c r="R417">
        <f>COUNTIFS(Tabela4[[#All],[Cenário]],Tabela4[[#This Row],[Cenário]],Tabela4[[#All],[Status]],"Keyuser - Concluído ")</f>
        <v>7</v>
      </c>
      <c r="S417" t="str">
        <f>IF(Tabela4[[#This Row],[Tarefas por Cenário]]-Tabela4[[#This Row],[Tarefas Concluídas]]&gt;0,"Não","Sim")</f>
        <v>Não</v>
      </c>
      <c r="T417">
        <f>COUNTIFS(Tabela4[[#All],[Cenário]],Tabela4[[#This Row],[Cenário]],Tabela4[[#All],[Status]],Tabela4[[#Headers],[Elo - Em correção ]])</f>
        <v>0</v>
      </c>
      <c r="U417">
        <f>COUNTIFS(Tabela4[[#All],[Cenário]],Tabela4[[#This Row],[Cenário]],Tabela4[[#All],[Status]],Tabela4[[#Headers],[Keyuser - Aguardando tarefa precedente]])</f>
        <v>0</v>
      </c>
      <c r="V417">
        <f>COUNTIFS(Tabela4[[#All],[Cenário]],Tabela4[[#This Row],[Cenário]],Tabela4[[#All],[Status]],Tabela4[[#Headers],[Não liberado  para testes]])</f>
        <v>1</v>
      </c>
      <c r="W417" t="str">
        <f>IF(Tabela4[[#This Row],[Elo - Em correção ]]&gt;0,"Sim","Não")</f>
        <v>Não</v>
      </c>
      <c r="X417" t="str">
        <f>IF(Tabela4[[#This Row],[Keyuser - Aguardando tarefa precedente]]&gt;0,"Sim","Não")</f>
        <v>Não</v>
      </c>
      <c r="Y417" t="str">
        <f>IF(Tabela4[[#This Row],[Não liberado  para testes]]&gt;0,"Sim","Não")</f>
        <v>Sim</v>
      </c>
      <c r="Z417" t="str">
        <f ca="1">IF(Tabela4[[#This Row],[Status]]="Keyuser - Pendente",NETWORKDAYS(Tabela4[[#This Row],[Dt Inicial]],TODAY()),"")</f>
        <v/>
      </c>
      <c r="AA417" t="b">
        <f>AND(Tabela4[[#This Row],[Status]]="Keyuser - Aguardando tarefa precedente",K416="Keyuser - Concluído ")</f>
        <v>0</v>
      </c>
    </row>
    <row r="418" spans="1:27" x14ac:dyDescent="0.25">
      <c r="A418" t="str">
        <f>"OUT-"&amp;IFERROR(MID(Tabela4[[#This Row],[Cenário]],SEARCH("(",Tabela4[[#This Row],[Cenário]])+1,SEARCH(")",Tabela4[[#This Row],[Cenário]])-SEARCH("(",Tabela4[[#This Row],[Cenário]])-1),"")&amp;"_"&amp;ROW()</f>
        <v>OUT-YBIO_418</v>
      </c>
      <c r="B418" t="s">
        <v>358</v>
      </c>
      <c r="C418" t="s">
        <v>599</v>
      </c>
      <c r="D418" t="s">
        <v>375</v>
      </c>
      <c r="E418">
        <v>8</v>
      </c>
      <c r="F418" t="s">
        <v>375</v>
      </c>
      <c r="G418" t="s">
        <v>367</v>
      </c>
      <c r="H418" s="9">
        <v>15603621</v>
      </c>
      <c r="I418" s="13" t="s">
        <v>600</v>
      </c>
      <c r="J418" s="9" t="s">
        <v>364</v>
      </c>
      <c r="K418" s="9" t="s">
        <v>271</v>
      </c>
      <c r="L418" s="78">
        <v>45952</v>
      </c>
      <c r="N418" s="78">
        <v>45952</v>
      </c>
      <c r="O418" s="31"/>
      <c r="P418" s="9"/>
      <c r="Q418" s="9">
        <f>COUNTIF(Tabela4[[#All],[Cenário]],Tabela4[[#This Row],[Cenário]])</f>
        <v>8</v>
      </c>
      <c r="R418">
        <f>COUNTIFS(Tabela4[[#All],[Cenário]],Tabela4[[#This Row],[Cenário]],Tabela4[[#All],[Status]],"Keyuser - Concluído ")</f>
        <v>7</v>
      </c>
      <c r="S418" t="str">
        <f>IF(Tabela4[[#This Row],[Tarefas por Cenário]]-Tabela4[[#This Row],[Tarefas Concluídas]]&gt;0,"Não","Sim")</f>
        <v>Não</v>
      </c>
      <c r="T418">
        <f>COUNTIFS(Tabela4[[#All],[Cenário]],Tabela4[[#This Row],[Cenário]],Tabela4[[#All],[Status]],Tabela4[[#Headers],[Elo - Em correção ]])</f>
        <v>0</v>
      </c>
      <c r="U418">
        <f>COUNTIFS(Tabela4[[#All],[Cenário]],Tabela4[[#This Row],[Cenário]],Tabela4[[#All],[Status]],Tabela4[[#Headers],[Keyuser - Aguardando tarefa precedente]])</f>
        <v>0</v>
      </c>
      <c r="V418">
        <f>COUNTIFS(Tabela4[[#All],[Cenário]],Tabela4[[#This Row],[Cenário]],Tabela4[[#All],[Status]],Tabela4[[#Headers],[Não liberado  para testes]])</f>
        <v>1</v>
      </c>
      <c r="W418" t="str">
        <f>IF(Tabela4[[#This Row],[Elo - Em correção ]]&gt;0,"Sim","Não")</f>
        <v>Não</v>
      </c>
      <c r="X418" t="str">
        <f>IF(Tabela4[[#This Row],[Keyuser - Aguardando tarefa precedente]]&gt;0,"Sim","Não")</f>
        <v>Não</v>
      </c>
      <c r="Y418" t="str">
        <f>IF(Tabela4[[#This Row],[Não liberado  para testes]]&gt;0,"Sim","Não")</f>
        <v>Sim</v>
      </c>
      <c r="Z418" t="str">
        <f ca="1">IF(Tabela4[[#This Row],[Status]]="Keyuser - Pendente",NETWORKDAYS(Tabela4[[#This Row],[Dt Inicial]],TODAY()),"")</f>
        <v/>
      </c>
      <c r="AA418" t="b">
        <f>AND(Tabela4[[#This Row],[Status]]="Keyuser - Aguardando tarefa precedente",K417="Keyuser - Concluído ")</f>
        <v>0</v>
      </c>
    </row>
    <row r="419" spans="1:27" x14ac:dyDescent="0.25">
      <c r="A419" t="str">
        <f>"OUT-"&amp;IFERROR(MID(Tabela4[[#This Row],[Cenário]],SEARCH("(",Tabela4[[#This Row],[Cenário]])+1,SEARCH(")",Tabela4[[#This Row],[Cenário]])-SEARCH("(",Tabela4[[#This Row],[Cenário]])-1),"")&amp;"_"&amp;ROW()</f>
        <v>OUT-YDEV_419</v>
      </c>
      <c r="B419" t="s">
        <v>374</v>
      </c>
      <c r="C419" t="s">
        <v>603</v>
      </c>
      <c r="D419" t="s">
        <v>360</v>
      </c>
      <c r="E419">
        <v>1</v>
      </c>
      <c r="F419" t="s">
        <v>360</v>
      </c>
      <c r="G419" t="s">
        <v>377</v>
      </c>
      <c r="H419" s="13"/>
      <c r="I419" s="13"/>
      <c r="J419" s="13"/>
      <c r="K419" s="9" t="s">
        <v>294</v>
      </c>
      <c r="N419" s="78"/>
      <c r="O419" s="31" t="s">
        <v>604</v>
      </c>
      <c r="P419" s="9"/>
      <c r="Q419" s="9">
        <f>COUNTIF(Tabela4[[#All],[Cenário]],Tabela4[[#This Row],[Cenário]])</f>
        <v>6</v>
      </c>
      <c r="R419">
        <f>COUNTIFS(Tabela4[[#All],[Cenário]],Tabela4[[#This Row],[Cenário]],Tabela4[[#All],[Status]],"Keyuser - Concluído ")</f>
        <v>0</v>
      </c>
      <c r="S419" t="str">
        <f>IF(Tabela4[[#This Row],[Tarefas por Cenário]]-Tabela4[[#This Row],[Tarefas Concluídas]]&gt;0,"Não","Sim")</f>
        <v>Não</v>
      </c>
      <c r="T419">
        <f>COUNTIFS(Tabela4[[#All],[Cenário]],Tabela4[[#This Row],[Cenário]],Tabela4[[#All],[Status]],Tabela4[[#Headers],[Elo - Em correção ]])</f>
        <v>0</v>
      </c>
      <c r="U419">
        <f>COUNTIFS(Tabela4[[#All],[Cenário]],Tabela4[[#This Row],[Cenário]],Tabela4[[#All],[Status]],Tabela4[[#Headers],[Keyuser - Aguardando tarefa precedente]])</f>
        <v>0</v>
      </c>
      <c r="V419">
        <f>COUNTIFS(Tabela4[[#All],[Cenário]],Tabela4[[#This Row],[Cenário]],Tabela4[[#All],[Status]],Tabela4[[#Headers],[Não liberado  para testes]])</f>
        <v>0</v>
      </c>
      <c r="W419" t="str">
        <f>IF(Tabela4[[#This Row],[Elo - Em correção ]]&gt;0,"Sim","Não")</f>
        <v>Não</v>
      </c>
      <c r="X419" t="str">
        <f>IF(Tabela4[[#This Row],[Keyuser - Aguardando tarefa precedente]]&gt;0,"Sim","Não")</f>
        <v>Não</v>
      </c>
      <c r="Y419" t="str">
        <f>IF(Tabela4[[#This Row],[Não liberado  para testes]]&gt;0,"Sim","Não")</f>
        <v>Não</v>
      </c>
      <c r="Z419" t="str">
        <f ca="1">IF(Tabela4[[#This Row],[Status]]="Keyuser - Pendente",NETWORKDAYS(Tabela4[[#This Row],[Dt Inicial]],TODAY()),"")</f>
        <v/>
      </c>
      <c r="AA419" t="b">
        <f>AND(Tabela4[[#This Row],[Status]]="Keyuser - Aguardando tarefa precedente",K418="Keyuser - Concluído ")</f>
        <v>0</v>
      </c>
    </row>
    <row r="420" spans="1:27" x14ac:dyDescent="0.25">
      <c r="A420" t="str">
        <f>"OUT-"&amp;IFERROR(MID(Tabela4[[#This Row],[Cenário]],SEARCH("(",Tabela4[[#This Row],[Cenário]])+1,SEARCH(")",Tabela4[[#This Row],[Cenário]])-SEARCH("(",Tabela4[[#This Row],[Cenário]])-1),"")&amp;"_"&amp;ROW()</f>
        <v>OUT-YDEV_420</v>
      </c>
      <c r="B420" t="s">
        <v>374</v>
      </c>
      <c r="C420" t="s">
        <v>603</v>
      </c>
      <c r="D420" t="s">
        <v>365</v>
      </c>
      <c r="E420">
        <v>2</v>
      </c>
      <c r="F420" t="s">
        <v>365</v>
      </c>
      <c r="G420" t="s">
        <v>310</v>
      </c>
      <c r="H420" s="13"/>
      <c r="I420" s="13"/>
      <c r="J420" s="13"/>
      <c r="K420" s="9" t="s">
        <v>294</v>
      </c>
      <c r="N420" s="78"/>
      <c r="O420" s="31" t="s">
        <v>604</v>
      </c>
      <c r="P420" s="9"/>
      <c r="Q420" s="9">
        <f>COUNTIF(Tabela4[[#All],[Cenário]],Tabela4[[#This Row],[Cenário]])</f>
        <v>6</v>
      </c>
      <c r="R420">
        <f>COUNTIFS(Tabela4[[#All],[Cenário]],Tabela4[[#This Row],[Cenário]],Tabela4[[#All],[Status]],"Keyuser - Concluído ")</f>
        <v>0</v>
      </c>
      <c r="S420" t="str">
        <f>IF(Tabela4[[#This Row],[Tarefas por Cenário]]-Tabela4[[#This Row],[Tarefas Concluídas]]&gt;0,"Não","Sim")</f>
        <v>Não</v>
      </c>
      <c r="T420">
        <f>COUNTIFS(Tabela4[[#All],[Cenário]],Tabela4[[#This Row],[Cenário]],Tabela4[[#All],[Status]],Tabela4[[#Headers],[Elo - Em correção ]])</f>
        <v>0</v>
      </c>
      <c r="U420">
        <f>COUNTIFS(Tabela4[[#All],[Cenário]],Tabela4[[#This Row],[Cenário]],Tabela4[[#All],[Status]],Tabela4[[#Headers],[Keyuser - Aguardando tarefa precedente]])</f>
        <v>0</v>
      </c>
      <c r="V420">
        <f>COUNTIFS(Tabela4[[#All],[Cenário]],Tabela4[[#This Row],[Cenário]],Tabela4[[#All],[Status]],Tabela4[[#Headers],[Não liberado  para testes]])</f>
        <v>0</v>
      </c>
      <c r="W420" t="str">
        <f>IF(Tabela4[[#This Row],[Elo - Em correção ]]&gt;0,"Sim","Não")</f>
        <v>Não</v>
      </c>
      <c r="X420" t="str">
        <f>IF(Tabela4[[#This Row],[Keyuser - Aguardando tarefa precedente]]&gt;0,"Sim","Não")</f>
        <v>Não</v>
      </c>
      <c r="Y420" t="str">
        <f>IF(Tabela4[[#This Row],[Não liberado  para testes]]&gt;0,"Sim","Não")</f>
        <v>Não</v>
      </c>
      <c r="Z420" t="str">
        <f ca="1">IF(Tabela4[[#This Row],[Status]]="Keyuser - Pendente",NETWORKDAYS(Tabela4[[#This Row],[Dt Inicial]],TODAY()),"")</f>
        <v/>
      </c>
      <c r="AA420" t="b">
        <f>AND(Tabela4[[#This Row],[Status]]="Keyuser - Aguardando tarefa precedente",K419="Keyuser - Concluído ")</f>
        <v>0</v>
      </c>
    </row>
    <row r="421" spans="1:27" x14ac:dyDescent="0.25">
      <c r="A421" t="str">
        <f>"OUT-"&amp;IFERROR(MID(Tabela4[[#This Row],[Cenário]],SEARCH("(",Tabela4[[#This Row],[Cenário]])+1,SEARCH(")",Tabela4[[#This Row],[Cenário]])-SEARCH("(",Tabela4[[#This Row],[Cenário]])-1),"")&amp;"_"&amp;ROW()</f>
        <v>OUT-YDEV_421</v>
      </c>
      <c r="B421" t="s">
        <v>374</v>
      </c>
      <c r="C421" t="s">
        <v>603</v>
      </c>
      <c r="D421" t="s">
        <v>368</v>
      </c>
      <c r="E421">
        <v>3</v>
      </c>
      <c r="F421" t="s">
        <v>368</v>
      </c>
      <c r="G421" t="s">
        <v>377</v>
      </c>
      <c r="H421" s="13"/>
      <c r="I421" s="13"/>
      <c r="J421" s="13"/>
      <c r="K421" s="9" t="s">
        <v>294</v>
      </c>
      <c r="N421" s="78"/>
      <c r="O421" s="31" t="s">
        <v>604</v>
      </c>
      <c r="P421" s="9"/>
      <c r="Q421" s="9">
        <f>COUNTIF(Tabela4[[#All],[Cenário]],Tabela4[[#This Row],[Cenário]])</f>
        <v>6</v>
      </c>
      <c r="R421">
        <f>COUNTIFS(Tabela4[[#All],[Cenário]],Tabela4[[#This Row],[Cenário]],Tabela4[[#All],[Status]],"Keyuser - Concluído ")</f>
        <v>0</v>
      </c>
      <c r="S421" t="str">
        <f>IF(Tabela4[[#This Row],[Tarefas por Cenário]]-Tabela4[[#This Row],[Tarefas Concluídas]]&gt;0,"Não","Sim")</f>
        <v>Não</v>
      </c>
      <c r="T421">
        <f>COUNTIFS(Tabela4[[#All],[Cenário]],Tabela4[[#This Row],[Cenário]],Tabela4[[#All],[Status]],Tabela4[[#Headers],[Elo - Em correção ]])</f>
        <v>0</v>
      </c>
      <c r="U421">
        <f>COUNTIFS(Tabela4[[#All],[Cenário]],Tabela4[[#This Row],[Cenário]],Tabela4[[#All],[Status]],Tabela4[[#Headers],[Keyuser - Aguardando tarefa precedente]])</f>
        <v>0</v>
      </c>
      <c r="V421">
        <f>COUNTIFS(Tabela4[[#All],[Cenário]],Tabela4[[#This Row],[Cenário]],Tabela4[[#All],[Status]],Tabela4[[#Headers],[Não liberado  para testes]])</f>
        <v>0</v>
      </c>
      <c r="W421" t="str">
        <f>IF(Tabela4[[#This Row],[Elo - Em correção ]]&gt;0,"Sim","Não")</f>
        <v>Não</v>
      </c>
      <c r="X421" t="str">
        <f>IF(Tabela4[[#This Row],[Keyuser - Aguardando tarefa precedente]]&gt;0,"Sim","Não")</f>
        <v>Não</v>
      </c>
      <c r="Y421" t="str">
        <f>IF(Tabela4[[#This Row],[Não liberado  para testes]]&gt;0,"Sim","Não")</f>
        <v>Não</v>
      </c>
      <c r="Z421" t="str">
        <f ca="1">IF(Tabela4[[#This Row],[Status]]="Keyuser - Pendente",NETWORKDAYS(Tabela4[[#This Row],[Dt Inicial]],TODAY()),"")</f>
        <v/>
      </c>
      <c r="AA421" t="b">
        <f>AND(Tabela4[[#This Row],[Status]]="Keyuser - Aguardando tarefa precedente",K420="Keyuser - Concluído ")</f>
        <v>0</v>
      </c>
    </row>
    <row r="422" spans="1:27" x14ac:dyDescent="0.25">
      <c r="A422" t="str">
        <f>"OUT-"&amp;IFERROR(MID(Tabela4[[#This Row],[Cenário]],SEARCH("(",Tabela4[[#This Row],[Cenário]])+1,SEARCH(")",Tabela4[[#This Row],[Cenário]])-SEARCH("(",Tabela4[[#This Row],[Cenário]])-1),"")&amp;"_"&amp;ROW()</f>
        <v>OUT-YDEV_422</v>
      </c>
      <c r="B422" t="s">
        <v>358</v>
      </c>
      <c r="C422" t="s">
        <v>603</v>
      </c>
      <c r="D422" t="s">
        <v>371</v>
      </c>
      <c r="E422">
        <v>4</v>
      </c>
      <c r="F422" t="s">
        <v>372</v>
      </c>
      <c r="G422" t="s">
        <v>287</v>
      </c>
      <c r="H422" s="13"/>
      <c r="I422" s="13"/>
      <c r="J422" s="13"/>
      <c r="K422" s="9" t="s">
        <v>294</v>
      </c>
      <c r="N422" s="78"/>
      <c r="O422" s="31" t="s">
        <v>604</v>
      </c>
      <c r="P422" s="9"/>
      <c r="Q422" s="9">
        <f>COUNTIF(Tabela4[[#All],[Cenário]],Tabela4[[#This Row],[Cenário]])</f>
        <v>6</v>
      </c>
      <c r="R422">
        <f>COUNTIFS(Tabela4[[#All],[Cenário]],Tabela4[[#This Row],[Cenário]],Tabela4[[#All],[Status]],"Keyuser - Concluído ")</f>
        <v>0</v>
      </c>
      <c r="S422" t="str">
        <f>IF(Tabela4[[#This Row],[Tarefas por Cenário]]-Tabela4[[#This Row],[Tarefas Concluídas]]&gt;0,"Não","Sim")</f>
        <v>Não</v>
      </c>
      <c r="T422">
        <f>COUNTIFS(Tabela4[[#All],[Cenário]],Tabela4[[#This Row],[Cenário]],Tabela4[[#All],[Status]],Tabela4[[#Headers],[Elo - Em correção ]])</f>
        <v>0</v>
      </c>
      <c r="U422">
        <f>COUNTIFS(Tabela4[[#All],[Cenário]],Tabela4[[#This Row],[Cenário]],Tabela4[[#All],[Status]],Tabela4[[#Headers],[Keyuser - Aguardando tarefa precedente]])</f>
        <v>0</v>
      </c>
      <c r="V422">
        <f>COUNTIFS(Tabela4[[#All],[Cenário]],Tabela4[[#This Row],[Cenário]],Tabela4[[#All],[Status]],Tabela4[[#Headers],[Não liberado  para testes]])</f>
        <v>0</v>
      </c>
      <c r="W422" t="str">
        <f>IF(Tabela4[[#This Row],[Elo - Em correção ]]&gt;0,"Sim","Não")</f>
        <v>Não</v>
      </c>
      <c r="X422" t="str">
        <f>IF(Tabela4[[#This Row],[Keyuser - Aguardando tarefa precedente]]&gt;0,"Sim","Não")</f>
        <v>Não</v>
      </c>
      <c r="Y422" t="str">
        <f>IF(Tabela4[[#This Row],[Não liberado  para testes]]&gt;0,"Sim","Não")</f>
        <v>Não</v>
      </c>
      <c r="Z422" t="str">
        <f ca="1">IF(Tabela4[[#This Row],[Status]]="Keyuser - Pendente",NETWORKDAYS(Tabela4[[#This Row],[Dt Inicial]],TODAY()),"")</f>
        <v/>
      </c>
      <c r="AA422" t="b">
        <f>AND(Tabela4[[#This Row],[Status]]="Keyuser - Aguardando tarefa precedente",K421="Keyuser - Concluído ")</f>
        <v>0</v>
      </c>
    </row>
    <row r="423" spans="1:27" x14ac:dyDescent="0.25">
      <c r="A423" t="str">
        <f>"OUT-"&amp;IFERROR(MID(Tabela4[[#This Row],[Cenário]],SEARCH("(",Tabela4[[#This Row],[Cenário]])+1,SEARCH(")",Tabela4[[#This Row],[Cenário]])-SEARCH("(",Tabela4[[#This Row],[Cenário]])-1),"")&amp;"_"&amp;ROW()</f>
        <v>OUT-YDEV_423</v>
      </c>
      <c r="B423" t="s">
        <v>374</v>
      </c>
      <c r="C423" t="s">
        <v>603</v>
      </c>
      <c r="D423" t="s">
        <v>373</v>
      </c>
      <c r="E423">
        <v>5</v>
      </c>
      <c r="F423" t="s">
        <v>373</v>
      </c>
      <c r="G423" t="s">
        <v>283</v>
      </c>
      <c r="H423" s="13"/>
      <c r="I423" s="13"/>
      <c r="J423" s="13"/>
      <c r="K423" s="9" t="s">
        <v>294</v>
      </c>
      <c r="N423" s="78"/>
      <c r="O423" s="31" t="s">
        <v>604</v>
      </c>
      <c r="P423" s="9"/>
      <c r="Q423" s="9">
        <f>COUNTIF(Tabela4[[#All],[Cenário]],Tabela4[[#This Row],[Cenário]])</f>
        <v>6</v>
      </c>
      <c r="R423">
        <f>COUNTIFS(Tabela4[[#All],[Cenário]],Tabela4[[#This Row],[Cenário]],Tabela4[[#All],[Status]],"Keyuser - Concluído ")</f>
        <v>0</v>
      </c>
      <c r="S423" t="str">
        <f>IF(Tabela4[[#This Row],[Tarefas por Cenário]]-Tabela4[[#This Row],[Tarefas Concluídas]]&gt;0,"Não","Sim")</f>
        <v>Não</v>
      </c>
      <c r="T423">
        <f>COUNTIFS(Tabela4[[#All],[Cenário]],Tabela4[[#This Row],[Cenário]],Tabela4[[#All],[Status]],Tabela4[[#Headers],[Elo - Em correção ]])</f>
        <v>0</v>
      </c>
      <c r="U423">
        <f>COUNTIFS(Tabela4[[#All],[Cenário]],Tabela4[[#This Row],[Cenário]],Tabela4[[#All],[Status]],Tabela4[[#Headers],[Keyuser - Aguardando tarefa precedente]])</f>
        <v>0</v>
      </c>
      <c r="V423">
        <f>COUNTIFS(Tabela4[[#All],[Cenário]],Tabela4[[#This Row],[Cenário]],Tabela4[[#All],[Status]],Tabela4[[#Headers],[Não liberado  para testes]])</f>
        <v>0</v>
      </c>
      <c r="W423" t="str">
        <f>IF(Tabela4[[#This Row],[Elo - Em correção ]]&gt;0,"Sim","Não")</f>
        <v>Não</v>
      </c>
      <c r="X423" t="str">
        <f>IF(Tabela4[[#This Row],[Keyuser - Aguardando tarefa precedente]]&gt;0,"Sim","Não")</f>
        <v>Não</v>
      </c>
      <c r="Y423" t="str">
        <f>IF(Tabela4[[#This Row],[Não liberado  para testes]]&gt;0,"Sim","Não")</f>
        <v>Não</v>
      </c>
      <c r="Z423" t="str">
        <f ca="1">IF(Tabela4[[#This Row],[Status]]="Keyuser - Pendente",NETWORKDAYS(Tabela4[[#This Row],[Dt Inicial]],TODAY()),"")</f>
        <v/>
      </c>
      <c r="AA423" t="b">
        <f>AND(Tabela4[[#This Row],[Status]]="Keyuser - Aguardando tarefa precedente",K422="Keyuser - Concluído ")</f>
        <v>0</v>
      </c>
    </row>
    <row r="424" spans="1:27" x14ac:dyDescent="0.25">
      <c r="A424" t="str">
        <f>"OUT-"&amp;IFERROR(MID(Tabela4[[#This Row],[Cenário]],SEARCH("(",Tabela4[[#This Row],[Cenário]])+1,SEARCH(")",Tabela4[[#This Row],[Cenário]])-SEARCH("(",Tabela4[[#This Row],[Cenário]])-1),"")&amp;"_"&amp;ROW()</f>
        <v>OUT-YDEV_424</v>
      </c>
      <c r="B424" t="s">
        <v>374</v>
      </c>
      <c r="C424" t="s">
        <v>603</v>
      </c>
      <c r="D424" t="s">
        <v>286</v>
      </c>
      <c r="E424">
        <v>6</v>
      </c>
      <c r="F424" t="s">
        <v>286</v>
      </c>
      <c r="G424" t="s">
        <v>287</v>
      </c>
      <c r="H424" s="13"/>
      <c r="I424" s="13"/>
      <c r="J424" s="13"/>
      <c r="K424" s="9" t="s">
        <v>294</v>
      </c>
      <c r="N424" s="78"/>
      <c r="O424" s="31" t="s">
        <v>604</v>
      </c>
      <c r="P424" s="9"/>
      <c r="Q424" s="9">
        <f>COUNTIF(Tabela4[[#All],[Cenário]],Tabela4[[#This Row],[Cenário]])</f>
        <v>6</v>
      </c>
      <c r="R424">
        <f>COUNTIFS(Tabela4[[#All],[Cenário]],Tabela4[[#This Row],[Cenário]],Tabela4[[#All],[Status]],"Keyuser - Concluído ")</f>
        <v>0</v>
      </c>
      <c r="S424" t="str">
        <f>IF(Tabela4[[#This Row],[Tarefas por Cenário]]-Tabela4[[#This Row],[Tarefas Concluídas]]&gt;0,"Não","Sim")</f>
        <v>Não</v>
      </c>
      <c r="T424">
        <f>COUNTIFS(Tabela4[[#All],[Cenário]],Tabela4[[#This Row],[Cenário]],Tabela4[[#All],[Status]],Tabela4[[#Headers],[Elo - Em correção ]])</f>
        <v>0</v>
      </c>
      <c r="U424">
        <f>COUNTIFS(Tabela4[[#All],[Cenário]],Tabela4[[#This Row],[Cenário]],Tabela4[[#All],[Status]],Tabela4[[#Headers],[Keyuser - Aguardando tarefa precedente]])</f>
        <v>0</v>
      </c>
      <c r="V424">
        <f>COUNTIFS(Tabela4[[#All],[Cenário]],Tabela4[[#This Row],[Cenário]],Tabela4[[#All],[Status]],Tabela4[[#Headers],[Não liberado  para testes]])</f>
        <v>0</v>
      </c>
      <c r="W424" t="str">
        <f>IF(Tabela4[[#This Row],[Elo - Em correção ]]&gt;0,"Sim","Não")</f>
        <v>Não</v>
      </c>
      <c r="X424" t="str">
        <f>IF(Tabela4[[#This Row],[Keyuser - Aguardando tarefa precedente]]&gt;0,"Sim","Não")</f>
        <v>Não</v>
      </c>
      <c r="Y424" t="str">
        <f>IF(Tabela4[[#This Row],[Não liberado  para testes]]&gt;0,"Sim","Não")</f>
        <v>Não</v>
      </c>
      <c r="Z424" t="str">
        <f ca="1">IF(Tabela4[[#This Row],[Status]]="Keyuser - Pendente",NETWORKDAYS(Tabela4[[#This Row],[Dt Inicial]],TODAY()),"")</f>
        <v/>
      </c>
      <c r="AA424" t="b">
        <f>AND(Tabela4[[#This Row],[Status]]="Keyuser - Aguardando tarefa precedente",K423="Keyuser - Concluído ")</f>
        <v>0</v>
      </c>
    </row>
    <row r="425" spans="1:27" x14ac:dyDescent="0.25">
      <c r="A425" t="str">
        <f>"OUT-"&amp;IFERROR(MID(Tabela4[[#This Row],[Cenário]],SEARCH("(",Tabela4[[#This Row],[Cenário]])+1,SEARCH(")",Tabela4[[#This Row],[Cenário]])-SEARCH("(",Tabela4[[#This Row],[Cenário]])-1),"")&amp;"_"&amp;ROW()</f>
        <v>OUT-YRET_425</v>
      </c>
      <c r="B425" t="s">
        <v>358</v>
      </c>
      <c r="C425" t="s">
        <v>605</v>
      </c>
      <c r="D425" t="s">
        <v>360</v>
      </c>
      <c r="E425">
        <v>1</v>
      </c>
      <c r="F425" t="s">
        <v>360</v>
      </c>
      <c r="G425" t="s">
        <v>377</v>
      </c>
      <c r="H425" s="13">
        <v>60668345</v>
      </c>
      <c r="I425" s="13"/>
      <c r="J425" s="13"/>
      <c r="K425" s="9" t="s">
        <v>271</v>
      </c>
      <c r="L425" s="78">
        <v>45960</v>
      </c>
      <c r="N425" s="78">
        <v>45960</v>
      </c>
      <c r="O425" s="31"/>
      <c r="P425" s="9"/>
      <c r="Q425" s="9">
        <f>COUNTIF(Tabela4[[#All],[Cenário]],Tabela4[[#This Row],[Cenário]])</f>
        <v>5</v>
      </c>
      <c r="R425">
        <f>COUNTIFS(Tabela4[[#All],[Cenário]],Tabela4[[#This Row],[Cenário]],Tabela4[[#All],[Status]],"Keyuser - Concluído ")</f>
        <v>5</v>
      </c>
      <c r="S425" t="str">
        <f>IF(Tabela4[[#This Row],[Tarefas por Cenário]]-Tabela4[[#This Row],[Tarefas Concluídas]]&gt;0,"Não","Sim")</f>
        <v>Sim</v>
      </c>
      <c r="T425">
        <f>COUNTIFS(Tabela4[[#All],[Cenário]],Tabela4[[#This Row],[Cenário]],Tabela4[[#All],[Status]],Tabela4[[#Headers],[Elo - Em correção ]])</f>
        <v>0</v>
      </c>
      <c r="U425">
        <f>COUNTIFS(Tabela4[[#All],[Cenário]],Tabela4[[#This Row],[Cenário]],Tabela4[[#All],[Status]],Tabela4[[#Headers],[Keyuser - Aguardando tarefa precedente]])</f>
        <v>0</v>
      </c>
      <c r="V425">
        <f>COUNTIFS(Tabela4[[#All],[Cenário]],Tabela4[[#This Row],[Cenário]],Tabela4[[#All],[Status]],Tabela4[[#Headers],[Não liberado  para testes]])</f>
        <v>0</v>
      </c>
      <c r="W425" t="str">
        <f>IF(Tabela4[[#This Row],[Elo - Em correção ]]&gt;0,"Sim","Não")</f>
        <v>Não</v>
      </c>
      <c r="X425" t="str">
        <f>IF(Tabela4[[#This Row],[Keyuser - Aguardando tarefa precedente]]&gt;0,"Sim","Não")</f>
        <v>Não</v>
      </c>
      <c r="Y425" t="str">
        <f>IF(Tabela4[[#This Row],[Não liberado  para testes]]&gt;0,"Sim","Não")</f>
        <v>Não</v>
      </c>
      <c r="Z425" t="str">
        <f ca="1">IF(Tabela4[[#This Row],[Status]]="Keyuser - Pendente",NETWORKDAYS(Tabela4[[#This Row],[Dt Inicial]],TODAY()),"")</f>
        <v/>
      </c>
      <c r="AA425" t="b">
        <f>AND(Tabela4[[#This Row],[Status]]="Keyuser - Aguardando tarefa precedente",K424="Keyuser - Concluído ")</f>
        <v>0</v>
      </c>
    </row>
    <row r="426" spans="1:27" x14ac:dyDescent="0.25">
      <c r="A426" t="str">
        <f>"OUT-"&amp;IFERROR(MID(Tabela4[[#This Row],[Cenário]],SEARCH("(",Tabela4[[#This Row],[Cenário]])+1,SEARCH(")",Tabela4[[#This Row],[Cenário]])-SEARCH("(",Tabela4[[#This Row],[Cenário]])-1),"")&amp;"_"&amp;ROW()</f>
        <v>OUT-YRET_426</v>
      </c>
      <c r="B426" t="s">
        <v>358</v>
      </c>
      <c r="C426" t="s">
        <v>605</v>
      </c>
      <c r="D426" t="s">
        <v>365</v>
      </c>
      <c r="E426">
        <v>2</v>
      </c>
      <c r="F426" t="s">
        <v>365</v>
      </c>
      <c r="G426" t="s">
        <v>310</v>
      </c>
      <c r="H426" s="13">
        <v>60668345</v>
      </c>
      <c r="I426" s="13"/>
      <c r="J426" s="13"/>
      <c r="K426" s="9" t="s">
        <v>271</v>
      </c>
      <c r="L426" s="78">
        <v>45961</v>
      </c>
      <c r="N426" s="78">
        <v>45961</v>
      </c>
      <c r="O426" s="31"/>
      <c r="P426" s="9"/>
      <c r="Q426" s="9">
        <f>COUNTIF(Tabela4[[#All],[Cenário]],Tabela4[[#This Row],[Cenário]])</f>
        <v>5</v>
      </c>
      <c r="R426">
        <f>COUNTIFS(Tabela4[[#All],[Cenário]],Tabela4[[#This Row],[Cenário]],Tabela4[[#All],[Status]],"Keyuser - Concluído ")</f>
        <v>5</v>
      </c>
      <c r="S426" t="str">
        <f>IF(Tabela4[[#This Row],[Tarefas por Cenário]]-Tabela4[[#This Row],[Tarefas Concluídas]]&gt;0,"Não","Sim")</f>
        <v>Sim</v>
      </c>
      <c r="T426">
        <f>COUNTIFS(Tabela4[[#All],[Cenário]],Tabela4[[#This Row],[Cenário]],Tabela4[[#All],[Status]],Tabela4[[#Headers],[Elo - Em correção ]])</f>
        <v>0</v>
      </c>
      <c r="U426">
        <f>COUNTIFS(Tabela4[[#All],[Cenário]],Tabela4[[#This Row],[Cenário]],Tabela4[[#All],[Status]],Tabela4[[#Headers],[Keyuser - Aguardando tarefa precedente]])</f>
        <v>0</v>
      </c>
      <c r="V426">
        <f>COUNTIFS(Tabela4[[#All],[Cenário]],Tabela4[[#This Row],[Cenário]],Tabela4[[#All],[Status]],Tabela4[[#Headers],[Não liberado  para testes]])</f>
        <v>0</v>
      </c>
      <c r="W426" t="str">
        <f>IF(Tabela4[[#This Row],[Elo - Em correção ]]&gt;0,"Sim","Não")</f>
        <v>Não</v>
      </c>
      <c r="X426" t="str">
        <f>IF(Tabela4[[#This Row],[Keyuser - Aguardando tarefa precedente]]&gt;0,"Sim","Não")</f>
        <v>Não</v>
      </c>
      <c r="Y426" t="str">
        <f>IF(Tabela4[[#This Row],[Não liberado  para testes]]&gt;0,"Sim","Não")</f>
        <v>Não</v>
      </c>
      <c r="Z426" t="str">
        <f ca="1">IF(Tabela4[[#This Row],[Status]]="Keyuser - Pendente",NETWORKDAYS(Tabela4[[#This Row],[Dt Inicial]],TODAY()),"")</f>
        <v/>
      </c>
      <c r="AA426" t="b">
        <f>AND(Tabela4[[#This Row],[Status]]="Keyuser - Aguardando tarefa precedente",K425="Keyuser - Concluído ")</f>
        <v>0</v>
      </c>
    </row>
    <row r="427" spans="1:27" x14ac:dyDescent="0.25">
      <c r="A427" t="str">
        <f>"OUT-"&amp;IFERROR(MID(Tabela4[[#This Row],[Cenário]],SEARCH("(",Tabela4[[#This Row],[Cenário]])+1,SEARCH(")",Tabela4[[#This Row],[Cenário]])-SEARCH("(",Tabela4[[#This Row],[Cenário]])-1),"")&amp;"_"&amp;ROW()</f>
        <v>OUT-YRET_427</v>
      </c>
      <c r="B427" t="s">
        <v>358</v>
      </c>
      <c r="C427" t="s">
        <v>605</v>
      </c>
      <c r="D427" t="s">
        <v>368</v>
      </c>
      <c r="E427">
        <v>4</v>
      </c>
      <c r="F427" t="s">
        <v>368</v>
      </c>
      <c r="G427" t="s">
        <v>377</v>
      </c>
      <c r="H427" s="13" t="s">
        <v>606</v>
      </c>
      <c r="I427" s="13"/>
      <c r="J427" s="13"/>
      <c r="K427" s="9" t="s">
        <v>271</v>
      </c>
      <c r="L427" s="78">
        <v>45964</v>
      </c>
      <c r="N427" s="78">
        <v>45964</v>
      </c>
      <c r="O427" s="31" t="s">
        <v>607</v>
      </c>
      <c r="P427" s="9"/>
      <c r="Q427" s="9">
        <f>COUNTIF(Tabela4[[#All],[Cenário]],Tabela4[[#This Row],[Cenário]])</f>
        <v>5</v>
      </c>
      <c r="R427">
        <f>COUNTIFS(Tabela4[[#All],[Cenário]],Tabela4[[#This Row],[Cenário]],Tabela4[[#All],[Status]],"Keyuser - Concluído ")</f>
        <v>5</v>
      </c>
      <c r="S427" t="str">
        <f>IF(Tabela4[[#This Row],[Tarefas por Cenário]]-Tabela4[[#This Row],[Tarefas Concluídas]]&gt;0,"Não","Sim")</f>
        <v>Sim</v>
      </c>
      <c r="T427">
        <f>COUNTIFS(Tabela4[[#All],[Cenário]],Tabela4[[#This Row],[Cenário]],Tabela4[[#All],[Status]],Tabela4[[#Headers],[Elo - Em correção ]])</f>
        <v>0</v>
      </c>
      <c r="U427">
        <f>COUNTIFS(Tabela4[[#All],[Cenário]],Tabela4[[#This Row],[Cenário]],Tabela4[[#All],[Status]],Tabela4[[#Headers],[Keyuser - Aguardando tarefa precedente]])</f>
        <v>0</v>
      </c>
      <c r="V427">
        <f>COUNTIFS(Tabela4[[#All],[Cenário]],Tabela4[[#This Row],[Cenário]],Tabela4[[#All],[Status]],Tabela4[[#Headers],[Não liberado  para testes]])</f>
        <v>0</v>
      </c>
      <c r="W427" t="str">
        <f>IF(Tabela4[[#This Row],[Elo - Em correção ]]&gt;0,"Sim","Não")</f>
        <v>Não</v>
      </c>
      <c r="X427" t="str">
        <f>IF(Tabela4[[#This Row],[Keyuser - Aguardando tarefa precedente]]&gt;0,"Sim","Não")</f>
        <v>Não</v>
      </c>
      <c r="Y427" t="str">
        <f>IF(Tabela4[[#This Row],[Não liberado  para testes]]&gt;0,"Sim","Não")</f>
        <v>Não</v>
      </c>
      <c r="Z427" t="str">
        <f ca="1">IF(Tabela4[[#This Row],[Status]]="Keyuser - Pendente",NETWORKDAYS(Tabela4[[#This Row],[Dt Inicial]],TODAY()),"")</f>
        <v/>
      </c>
      <c r="AA427" t="b">
        <f>AND(Tabela4[[#This Row],[Status]]="Keyuser - Aguardando tarefa precedente",K426="Keyuser - Concluído ")</f>
        <v>0</v>
      </c>
    </row>
    <row r="428" spans="1:27" x14ac:dyDescent="0.25">
      <c r="A428" t="str">
        <f>"OUT-"&amp;IFERROR(MID(Tabela4[[#This Row],[Cenário]],SEARCH("(",Tabela4[[#This Row],[Cenário]])+1,SEARCH(")",Tabela4[[#This Row],[Cenário]])-SEARCH("(",Tabela4[[#This Row],[Cenário]])-1),"")&amp;"_"&amp;ROW()</f>
        <v>OUT-YRET_428</v>
      </c>
      <c r="B428" t="s">
        <v>358</v>
      </c>
      <c r="C428" t="s">
        <v>605</v>
      </c>
      <c r="D428" t="s">
        <v>434</v>
      </c>
      <c r="E428">
        <v>5</v>
      </c>
      <c r="F428" t="s">
        <v>435</v>
      </c>
      <c r="G428" t="s">
        <v>287</v>
      </c>
      <c r="H428" s="13" t="s">
        <v>606</v>
      </c>
      <c r="I428" s="13"/>
      <c r="J428" s="13"/>
      <c r="K428" s="9" t="s">
        <v>271</v>
      </c>
      <c r="L428" s="78">
        <v>45972</v>
      </c>
      <c r="N428" s="78">
        <v>45972</v>
      </c>
      <c r="O428" s="31"/>
      <c r="P428" s="9"/>
      <c r="Q428" s="9">
        <f>COUNTIF(Tabela4[[#All],[Cenário]],Tabela4[[#This Row],[Cenário]])</f>
        <v>5</v>
      </c>
      <c r="R428">
        <f>COUNTIFS(Tabela4[[#All],[Cenário]],Tabela4[[#This Row],[Cenário]],Tabela4[[#All],[Status]],"Keyuser - Concluído ")</f>
        <v>5</v>
      </c>
      <c r="S428" t="str">
        <f>IF(Tabela4[[#This Row],[Tarefas por Cenário]]-Tabela4[[#This Row],[Tarefas Concluídas]]&gt;0,"Não","Sim")</f>
        <v>Sim</v>
      </c>
      <c r="T428">
        <f>COUNTIFS(Tabela4[[#All],[Cenário]],Tabela4[[#This Row],[Cenário]],Tabela4[[#All],[Status]],Tabela4[[#Headers],[Elo - Em correção ]])</f>
        <v>0</v>
      </c>
      <c r="U428">
        <f>COUNTIFS(Tabela4[[#All],[Cenário]],Tabela4[[#This Row],[Cenário]],Tabela4[[#All],[Status]],Tabela4[[#Headers],[Keyuser - Aguardando tarefa precedente]])</f>
        <v>0</v>
      </c>
      <c r="V428">
        <f>COUNTIFS(Tabela4[[#All],[Cenário]],Tabela4[[#This Row],[Cenário]],Tabela4[[#All],[Status]],Tabela4[[#Headers],[Não liberado  para testes]])</f>
        <v>0</v>
      </c>
      <c r="W428" t="str">
        <f>IF(Tabela4[[#This Row],[Elo - Em correção ]]&gt;0,"Sim","Não")</f>
        <v>Não</v>
      </c>
      <c r="X428" t="str">
        <f>IF(Tabela4[[#This Row],[Keyuser - Aguardando tarefa precedente]]&gt;0,"Sim","Não")</f>
        <v>Não</v>
      </c>
      <c r="Y428" t="str">
        <f>IF(Tabela4[[#This Row],[Não liberado  para testes]]&gt;0,"Sim","Não")</f>
        <v>Não</v>
      </c>
      <c r="Z428" t="str">
        <f ca="1">IF(Tabela4[[#This Row],[Status]]="Keyuser - Pendente",NETWORKDAYS(Tabela4[[#This Row],[Dt Inicial]],TODAY()),"")</f>
        <v/>
      </c>
      <c r="AA428" t="b">
        <f>AND(Tabela4[[#This Row],[Status]]="Keyuser - Aguardando tarefa precedente",K427="Keyuser - Concluído ")</f>
        <v>0</v>
      </c>
    </row>
    <row r="429" spans="1:27" x14ac:dyDescent="0.25">
      <c r="A429" t="str">
        <f>"OUT-"&amp;IFERROR(MID(Tabela4[[#This Row],[Cenário]],SEARCH("(",Tabela4[[#This Row],[Cenário]])+1,SEARCH(")",Tabela4[[#This Row],[Cenário]])-SEARCH("(",Tabela4[[#This Row],[Cenário]])-1),"")&amp;"_"&amp;ROW()</f>
        <v>OUT-YRET_429</v>
      </c>
      <c r="B429" t="s">
        <v>358</v>
      </c>
      <c r="C429" t="s">
        <v>605</v>
      </c>
      <c r="D429" t="s">
        <v>373</v>
      </c>
      <c r="E429">
        <v>6</v>
      </c>
      <c r="F429" t="s">
        <v>373</v>
      </c>
      <c r="G429" t="s">
        <v>283</v>
      </c>
      <c r="H429" s="13" t="s">
        <v>606</v>
      </c>
      <c r="I429" s="13"/>
      <c r="J429" s="13"/>
      <c r="K429" s="9" t="s">
        <v>271</v>
      </c>
      <c r="L429" s="78">
        <v>45971</v>
      </c>
      <c r="N429" s="78">
        <v>46002</v>
      </c>
      <c r="O429" s="31"/>
      <c r="P429" s="9"/>
      <c r="Q429" s="9">
        <f>COUNTIF(Tabela4[[#All],[Cenário]],Tabela4[[#This Row],[Cenário]])</f>
        <v>5</v>
      </c>
      <c r="R429">
        <f>COUNTIFS(Tabela4[[#All],[Cenário]],Tabela4[[#This Row],[Cenário]],Tabela4[[#All],[Status]],"Keyuser - Concluído ")</f>
        <v>5</v>
      </c>
      <c r="S429" t="str">
        <f>IF(Tabela4[[#This Row],[Tarefas por Cenário]]-Tabela4[[#This Row],[Tarefas Concluídas]]&gt;0,"Não","Sim")</f>
        <v>Sim</v>
      </c>
      <c r="T429">
        <f>COUNTIFS(Tabela4[[#All],[Cenário]],Tabela4[[#This Row],[Cenário]],Tabela4[[#All],[Status]],Tabela4[[#Headers],[Elo - Em correção ]])</f>
        <v>0</v>
      </c>
      <c r="U429">
        <f>COUNTIFS(Tabela4[[#All],[Cenário]],Tabela4[[#This Row],[Cenário]],Tabela4[[#All],[Status]],Tabela4[[#Headers],[Keyuser - Aguardando tarefa precedente]])</f>
        <v>0</v>
      </c>
      <c r="V429">
        <f>COUNTIFS(Tabela4[[#All],[Cenário]],Tabela4[[#This Row],[Cenário]],Tabela4[[#All],[Status]],Tabela4[[#Headers],[Não liberado  para testes]])</f>
        <v>0</v>
      </c>
      <c r="W429" t="str">
        <f>IF(Tabela4[[#This Row],[Elo - Em correção ]]&gt;0,"Sim","Não")</f>
        <v>Não</v>
      </c>
      <c r="X429" t="str">
        <f>IF(Tabela4[[#This Row],[Keyuser - Aguardando tarefa precedente]]&gt;0,"Sim","Não")</f>
        <v>Não</v>
      </c>
      <c r="Y429" t="str">
        <f>IF(Tabela4[[#This Row],[Não liberado  para testes]]&gt;0,"Sim","Não")</f>
        <v>Não</v>
      </c>
      <c r="Z429" t="str">
        <f ca="1">IF(Tabela4[[#This Row],[Status]]="Keyuser - Pendente",NETWORKDAYS(Tabela4[[#This Row],[Dt Inicial]],TODAY()),"")</f>
        <v/>
      </c>
      <c r="AA429" t="b">
        <f>AND(Tabela4[[#This Row],[Status]]="Keyuser - Aguardando tarefa precedente",K428="Keyuser - Concluído ")</f>
        <v>0</v>
      </c>
    </row>
    <row r="430" spans="1:27" x14ac:dyDescent="0.25">
      <c r="A430" t="str">
        <f>"OUT-"&amp;IFERROR(MID(Tabela4[[#This Row],[Cenário]],SEARCH("(",Tabela4[[#This Row],[Cenário]])+1,SEARCH(")",Tabela4[[#This Row],[Cenário]])-SEARCH("(",Tabela4[[#This Row],[Cenário]])-1),"")&amp;"_"&amp;ROW()</f>
        <v>OUT-Y202_430</v>
      </c>
      <c r="B430" t="s">
        <v>358</v>
      </c>
      <c r="C430" t="s">
        <v>608</v>
      </c>
      <c r="D430" t="s">
        <v>360</v>
      </c>
      <c r="E430">
        <v>1</v>
      </c>
      <c r="F430" t="s">
        <v>360</v>
      </c>
      <c r="G430" t="s">
        <v>361</v>
      </c>
      <c r="H430" s="18">
        <v>15603646</v>
      </c>
      <c r="I430" s="13" t="s">
        <v>609</v>
      </c>
      <c r="J430" s="13" t="s">
        <v>364</v>
      </c>
      <c r="K430" s="9" t="s">
        <v>271</v>
      </c>
      <c r="L430" s="78">
        <v>45953</v>
      </c>
      <c r="N430" s="78">
        <v>45953</v>
      </c>
      <c r="O430" s="31"/>
      <c r="P430" s="9"/>
      <c r="Q430" s="9">
        <f>COUNTIF(Tabela4[[#All],[Cenário]],Tabela4[[#This Row],[Cenário]])</f>
        <v>8</v>
      </c>
      <c r="R430">
        <f>COUNTIFS(Tabela4[[#All],[Cenário]],Tabela4[[#This Row],[Cenário]],Tabela4[[#All],[Status]],"Keyuser - Concluído ")</f>
        <v>7</v>
      </c>
      <c r="S430" t="str">
        <f>IF(Tabela4[[#This Row],[Tarefas por Cenário]]-Tabela4[[#This Row],[Tarefas Concluídas]]&gt;0,"Não","Sim")</f>
        <v>Não</v>
      </c>
      <c r="T430">
        <f>COUNTIFS(Tabela4[[#All],[Cenário]],Tabela4[[#This Row],[Cenário]],Tabela4[[#All],[Status]],Tabela4[[#Headers],[Elo - Em correção ]])</f>
        <v>0</v>
      </c>
      <c r="U430">
        <f>COUNTIFS(Tabela4[[#All],[Cenário]],Tabela4[[#This Row],[Cenário]],Tabela4[[#All],[Status]],Tabela4[[#Headers],[Keyuser - Aguardando tarefa precedente]])</f>
        <v>0</v>
      </c>
      <c r="V430">
        <f>COUNTIFS(Tabela4[[#All],[Cenário]],Tabela4[[#This Row],[Cenário]],Tabela4[[#All],[Status]],Tabela4[[#Headers],[Não liberado  para testes]])</f>
        <v>1</v>
      </c>
      <c r="W430" t="str">
        <f>IF(Tabela4[[#This Row],[Elo - Em correção ]]&gt;0,"Sim","Não")</f>
        <v>Não</v>
      </c>
      <c r="X430" t="str">
        <f>IF(Tabela4[[#This Row],[Keyuser - Aguardando tarefa precedente]]&gt;0,"Sim","Não")</f>
        <v>Não</v>
      </c>
      <c r="Y430" t="str">
        <f>IF(Tabela4[[#This Row],[Não liberado  para testes]]&gt;0,"Sim","Não")</f>
        <v>Sim</v>
      </c>
      <c r="Z430" t="str">
        <f ca="1">IF(Tabela4[[#This Row],[Status]]="Keyuser - Pendente",NETWORKDAYS(Tabela4[[#This Row],[Dt Inicial]],TODAY()),"")</f>
        <v/>
      </c>
      <c r="AA430" t="b">
        <f>AND(Tabela4[[#This Row],[Status]]="Keyuser - Aguardando tarefa precedente",K429="Keyuser - Concluído ")</f>
        <v>0</v>
      </c>
    </row>
    <row r="431" spans="1:27" x14ac:dyDescent="0.25">
      <c r="A431" t="str">
        <f>"OUT-"&amp;IFERROR(MID(Tabela4[[#This Row],[Cenário]],SEARCH("(",Tabela4[[#This Row],[Cenário]])+1,SEARCH(")",Tabela4[[#This Row],[Cenário]])-SEARCH("(",Tabela4[[#This Row],[Cenário]])-1),"")&amp;"_"&amp;ROW()</f>
        <v>OUT-Y202_431</v>
      </c>
      <c r="B431" t="s">
        <v>358</v>
      </c>
      <c r="C431" t="s">
        <v>608</v>
      </c>
      <c r="D431" t="s">
        <v>365</v>
      </c>
      <c r="E431">
        <v>2</v>
      </c>
      <c r="F431" t="s">
        <v>365</v>
      </c>
      <c r="G431" t="s">
        <v>310</v>
      </c>
      <c r="H431" s="18">
        <v>15603646</v>
      </c>
      <c r="I431" s="13" t="s">
        <v>609</v>
      </c>
      <c r="J431" s="13" t="s">
        <v>364</v>
      </c>
      <c r="K431" s="9" t="s">
        <v>271</v>
      </c>
      <c r="L431" s="78">
        <v>45957</v>
      </c>
      <c r="N431" s="78">
        <v>45957</v>
      </c>
      <c r="O431" s="31"/>
      <c r="P431" s="9"/>
      <c r="Q431" s="9">
        <f>COUNTIF(Tabela4[[#All],[Cenário]],Tabela4[[#This Row],[Cenário]])</f>
        <v>8</v>
      </c>
      <c r="R431">
        <f>COUNTIFS(Tabela4[[#All],[Cenário]],Tabela4[[#This Row],[Cenário]],Tabela4[[#All],[Status]],"Keyuser - Concluído ")</f>
        <v>7</v>
      </c>
      <c r="S431" t="str">
        <f>IF(Tabela4[[#This Row],[Tarefas por Cenário]]-Tabela4[[#This Row],[Tarefas Concluídas]]&gt;0,"Não","Sim")</f>
        <v>Não</v>
      </c>
      <c r="T431">
        <f>COUNTIFS(Tabela4[[#All],[Cenário]],Tabela4[[#This Row],[Cenário]],Tabela4[[#All],[Status]],Tabela4[[#Headers],[Elo - Em correção ]])</f>
        <v>0</v>
      </c>
      <c r="U431">
        <f>COUNTIFS(Tabela4[[#All],[Cenário]],Tabela4[[#This Row],[Cenário]],Tabela4[[#All],[Status]],Tabela4[[#Headers],[Keyuser - Aguardando tarefa precedente]])</f>
        <v>0</v>
      </c>
      <c r="V431">
        <f>COUNTIFS(Tabela4[[#All],[Cenário]],Tabela4[[#This Row],[Cenário]],Tabela4[[#All],[Status]],Tabela4[[#Headers],[Não liberado  para testes]])</f>
        <v>1</v>
      </c>
      <c r="W431" t="str">
        <f>IF(Tabela4[[#This Row],[Elo - Em correção ]]&gt;0,"Sim","Não")</f>
        <v>Não</v>
      </c>
      <c r="X431" t="str">
        <f>IF(Tabela4[[#This Row],[Keyuser - Aguardando tarefa precedente]]&gt;0,"Sim","Não")</f>
        <v>Não</v>
      </c>
      <c r="Y431" t="str">
        <f>IF(Tabela4[[#This Row],[Não liberado  para testes]]&gt;0,"Sim","Não")</f>
        <v>Sim</v>
      </c>
      <c r="Z431" t="str">
        <f ca="1">IF(Tabela4[[#This Row],[Status]]="Keyuser - Pendente",NETWORKDAYS(Tabela4[[#This Row],[Dt Inicial]],TODAY()),"")</f>
        <v/>
      </c>
      <c r="AA431" t="b">
        <f>AND(Tabela4[[#This Row],[Status]]="Keyuser - Aguardando tarefa precedente",K430="Keyuser - Concluído ")</f>
        <v>0</v>
      </c>
    </row>
    <row r="432" spans="1:27" x14ac:dyDescent="0.25">
      <c r="A432" t="str">
        <f>"OUT-"&amp;IFERROR(MID(Tabela4[[#This Row],[Cenário]],SEARCH("(",Tabela4[[#This Row],[Cenário]])+1,SEARCH(")",Tabela4[[#This Row],[Cenário]])-SEARCH("(",Tabela4[[#This Row],[Cenário]])-1),"")&amp;"_"&amp;ROW()</f>
        <v>OUT-Y202_432</v>
      </c>
      <c r="B432" t="s">
        <v>358</v>
      </c>
      <c r="C432" t="s">
        <v>608</v>
      </c>
      <c r="D432" t="s">
        <v>366</v>
      </c>
      <c r="E432">
        <v>3</v>
      </c>
      <c r="F432" t="s">
        <v>366</v>
      </c>
      <c r="G432" t="s">
        <v>367</v>
      </c>
      <c r="H432" s="18">
        <v>15603646</v>
      </c>
      <c r="I432" s="13" t="s">
        <v>609</v>
      </c>
      <c r="J432" s="13" t="s">
        <v>364</v>
      </c>
      <c r="K432" s="9" t="s">
        <v>271</v>
      </c>
      <c r="L432" s="78">
        <v>45957</v>
      </c>
      <c r="N432" s="78">
        <v>45957</v>
      </c>
      <c r="O432" s="31"/>
      <c r="P432" s="9"/>
      <c r="Q432" s="9">
        <f>COUNTIF(Tabela4[[#All],[Cenário]],Tabela4[[#This Row],[Cenário]])</f>
        <v>8</v>
      </c>
      <c r="R432">
        <f>COUNTIFS(Tabela4[[#All],[Cenário]],Tabela4[[#This Row],[Cenário]],Tabela4[[#All],[Status]],"Keyuser - Concluído ")</f>
        <v>7</v>
      </c>
      <c r="S432" t="str">
        <f>IF(Tabela4[[#This Row],[Tarefas por Cenário]]-Tabela4[[#This Row],[Tarefas Concluídas]]&gt;0,"Não","Sim")</f>
        <v>Não</v>
      </c>
      <c r="T432">
        <f>COUNTIFS(Tabela4[[#All],[Cenário]],Tabela4[[#This Row],[Cenário]],Tabela4[[#All],[Status]],Tabela4[[#Headers],[Elo - Em correção ]])</f>
        <v>0</v>
      </c>
      <c r="U432">
        <f>COUNTIFS(Tabela4[[#All],[Cenário]],Tabela4[[#This Row],[Cenário]],Tabela4[[#All],[Status]],Tabela4[[#Headers],[Keyuser - Aguardando tarefa precedente]])</f>
        <v>0</v>
      </c>
      <c r="V432">
        <f>COUNTIFS(Tabela4[[#All],[Cenário]],Tabela4[[#This Row],[Cenário]],Tabela4[[#All],[Status]],Tabela4[[#Headers],[Não liberado  para testes]])</f>
        <v>1</v>
      </c>
      <c r="W432" t="str">
        <f>IF(Tabela4[[#This Row],[Elo - Em correção ]]&gt;0,"Sim","Não")</f>
        <v>Não</v>
      </c>
      <c r="X432" t="str">
        <f>IF(Tabela4[[#This Row],[Keyuser - Aguardando tarefa precedente]]&gt;0,"Sim","Não")</f>
        <v>Não</v>
      </c>
      <c r="Y432" t="str">
        <f>IF(Tabela4[[#This Row],[Não liberado  para testes]]&gt;0,"Sim","Não")</f>
        <v>Sim</v>
      </c>
      <c r="Z432" t="str">
        <f ca="1">IF(Tabela4[[#This Row],[Status]]="Keyuser - Pendente",NETWORKDAYS(Tabela4[[#This Row],[Dt Inicial]],TODAY()),"")</f>
        <v/>
      </c>
      <c r="AA432" t="b">
        <f>AND(Tabela4[[#This Row],[Status]]="Keyuser - Aguardando tarefa precedente",K431="Keyuser - Concluído ")</f>
        <v>0</v>
      </c>
    </row>
    <row r="433" spans="1:27" x14ac:dyDescent="0.25">
      <c r="A433" t="str">
        <f>"OUT-"&amp;IFERROR(MID(Tabela4[[#This Row],[Cenário]],SEARCH("(",Tabela4[[#This Row],[Cenário]])+1,SEARCH(")",Tabela4[[#This Row],[Cenário]])-SEARCH("(",Tabela4[[#This Row],[Cenário]])-1),"")&amp;"_"&amp;ROW()</f>
        <v>OUT-Y202_433</v>
      </c>
      <c r="B433" t="s">
        <v>358</v>
      </c>
      <c r="C433" t="s">
        <v>608</v>
      </c>
      <c r="D433" t="s">
        <v>368</v>
      </c>
      <c r="E433">
        <v>4</v>
      </c>
      <c r="F433" t="s">
        <v>368</v>
      </c>
      <c r="G433" t="s">
        <v>369</v>
      </c>
      <c r="H433" s="13" t="s">
        <v>610</v>
      </c>
      <c r="I433" s="13"/>
      <c r="J433" s="13" t="s">
        <v>364</v>
      </c>
      <c r="K433" s="9" t="s">
        <v>271</v>
      </c>
      <c r="L433" s="78">
        <v>45957</v>
      </c>
      <c r="N433" s="78">
        <v>45957</v>
      </c>
      <c r="O433" s="31"/>
      <c r="P433" s="9"/>
      <c r="Q433" s="9">
        <f>COUNTIF(Tabela4[[#All],[Cenário]],Tabela4[[#This Row],[Cenário]])</f>
        <v>8</v>
      </c>
      <c r="R433">
        <f>COUNTIFS(Tabela4[[#All],[Cenário]],Tabela4[[#This Row],[Cenário]],Tabela4[[#All],[Status]],"Keyuser - Concluído ")</f>
        <v>7</v>
      </c>
      <c r="S433" t="str">
        <f>IF(Tabela4[[#This Row],[Tarefas por Cenário]]-Tabela4[[#This Row],[Tarefas Concluídas]]&gt;0,"Não","Sim")</f>
        <v>Não</v>
      </c>
      <c r="T433">
        <f>COUNTIFS(Tabela4[[#All],[Cenário]],Tabela4[[#This Row],[Cenário]],Tabela4[[#All],[Status]],Tabela4[[#Headers],[Elo - Em correção ]])</f>
        <v>0</v>
      </c>
      <c r="U433">
        <f>COUNTIFS(Tabela4[[#All],[Cenário]],Tabela4[[#This Row],[Cenário]],Tabela4[[#All],[Status]],Tabela4[[#Headers],[Keyuser - Aguardando tarefa precedente]])</f>
        <v>0</v>
      </c>
      <c r="V433">
        <f>COUNTIFS(Tabela4[[#All],[Cenário]],Tabela4[[#This Row],[Cenário]],Tabela4[[#All],[Status]],Tabela4[[#Headers],[Não liberado  para testes]])</f>
        <v>1</v>
      </c>
      <c r="W433" t="str">
        <f>IF(Tabela4[[#This Row],[Elo - Em correção ]]&gt;0,"Sim","Não")</f>
        <v>Não</v>
      </c>
      <c r="X433" t="str">
        <f>IF(Tabela4[[#This Row],[Keyuser - Aguardando tarefa precedente]]&gt;0,"Sim","Não")</f>
        <v>Não</v>
      </c>
      <c r="Y433" t="str">
        <f>IF(Tabela4[[#This Row],[Não liberado  para testes]]&gt;0,"Sim","Não")</f>
        <v>Sim</v>
      </c>
      <c r="Z433" t="str">
        <f ca="1">IF(Tabela4[[#This Row],[Status]]="Keyuser - Pendente",NETWORKDAYS(Tabela4[[#This Row],[Dt Inicial]],TODAY()),"")</f>
        <v/>
      </c>
      <c r="AA433" t="b">
        <f>AND(Tabela4[[#This Row],[Status]]="Keyuser - Aguardando tarefa precedente",K432="Keyuser - Concluído ")</f>
        <v>0</v>
      </c>
    </row>
    <row r="434" spans="1:27" x14ac:dyDescent="0.25">
      <c r="A434" t="str">
        <f>"OUT-"&amp;IFERROR(MID(Tabela4[[#This Row],[Cenário]],SEARCH("(",Tabela4[[#This Row],[Cenário]])+1,SEARCH(")",Tabela4[[#This Row],[Cenário]])-SEARCH("(",Tabela4[[#This Row],[Cenário]])-1),"")&amp;"_"&amp;ROW()</f>
        <v>OUT-Y202_434</v>
      </c>
      <c r="B434" t="s">
        <v>358</v>
      </c>
      <c r="C434" t="s">
        <v>608</v>
      </c>
      <c r="D434" t="s">
        <v>434</v>
      </c>
      <c r="E434">
        <v>5</v>
      </c>
      <c r="F434" t="s">
        <v>435</v>
      </c>
      <c r="G434" t="s">
        <v>287</v>
      </c>
      <c r="H434" s="13" t="s">
        <v>610</v>
      </c>
      <c r="I434" s="13"/>
      <c r="J434" s="13" t="s">
        <v>364</v>
      </c>
      <c r="K434" s="9" t="s">
        <v>271</v>
      </c>
      <c r="L434" s="78" t="s">
        <v>611</v>
      </c>
      <c r="N434" s="78">
        <v>45958</v>
      </c>
      <c r="O434" s="31"/>
      <c r="P434" s="9"/>
      <c r="Q434" s="9">
        <f>COUNTIF(Tabela4[[#All],[Cenário]],Tabela4[[#This Row],[Cenário]])</f>
        <v>8</v>
      </c>
      <c r="R434">
        <f>COUNTIFS(Tabela4[[#All],[Cenário]],Tabela4[[#This Row],[Cenário]],Tabela4[[#All],[Status]],"Keyuser - Concluído ")</f>
        <v>7</v>
      </c>
      <c r="S434" t="str">
        <f>IF(Tabela4[[#This Row],[Tarefas por Cenário]]-Tabela4[[#This Row],[Tarefas Concluídas]]&gt;0,"Não","Sim")</f>
        <v>Não</v>
      </c>
      <c r="T434">
        <f>COUNTIFS(Tabela4[[#All],[Cenário]],Tabela4[[#This Row],[Cenário]],Tabela4[[#All],[Status]],Tabela4[[#Headers],[Elo - Em correção ]])</f>
        <v>0</v>
      </c>
      <c r="U434">
        <f>COUNTIFS(Tabela4[[#All],[Cenário]],Tabela4[[#This Row],[Cenário]],Tabela4[[#All],[Status]],Tabela4[[#Headers],[Keyuser - Aguardando tarefa precedente]])</f>
        <v>0</v>
      </c>
      <c r="V434">
        <f>COUNTIFS(Tabela4[[#All],[Cenário]],Tabela4[[#This Row],[Cenário]],Tabela4[[#All],[Status]],Tabela4[[#Headers],[Não liberado  para testes]])</f>
        <v>1</v>
      </c>
      <c r="W434" t="str">
        <f>IF(Tabela4[[#This Row],[Elo - Em correção ]]&gt;0,"Sim","Não")</f>
        <v>Não</v>
      </c>
      <c r="X434" t="str">
        <f>IF(Tabela4[[#This Row],[Keyuser - Aguardando tarefa precedente]]&gt;0,"Sim","Não")</f>
        <v>Não</v>
      </c>
      <c r="Y434" t="str">
        <f>IF(Tabela4[[#This Row],[Não liberado  para testes]]&gt;0,"Sim","Não")</f>
        <v>Sim</v>
      </c>
      <c r="Z434" t="str">
        <f ca="1">IF(Tabela4[[#This Row],[Status]]="Keyuser - Pendente",NETWORKDAYS(Tabela4[[#This Row],[Dt Inicial]],TODAY()),"")</f>
        <v/>
      </c>
      <c r="AA434" t="b">
        <f>AND(Tabela4[[#This Row],[Status]]="Keyuser - Aguardando tarefa precedente",K433="Keyuser - Concluído ")</f>
        <v>0</v>
      </c>
    </row>
    <row r="435" spans="1:27" x14ac:dyDescent="0.25">
      <c r="A435" t="str">
        <f>"OUT-"&amp;IFERROR(MID(Tabela4[[#This Row],[Cenário]],SEARCH("(",Tabela4[[#This Row],[Cenário]])+1,SEARCH(")",Tabela4[[#This Row],[Cenário]])-SEARCH("(",Tabela4[[#This Row],[Cenário]])-1),"")&amp;"_"&amp;ROW()</f>
        <v>OUT-Y202_435</v>
      </c>
      <c r="B435" t="s">
        <v>358</v>
      </c>
      <c r="C435" t="s">
        <v>608</v>
      </c>
      <c r="D435" t="s">
        <v>373</v>
      </c>
      <c r="E435">
        <v>6</v>
      </c>
      <c r="F435" t="s">
        <v>373</v>
      </c>
      <c r="G435" t="s">
        <v>283</v>
      </c>
      <c r="H435" s="13" t="s">
        <v>610</v>
      </c>
      <c r="I435" s="13"/>
      <c r="J435" s="13" t="s">
        <v>364</v>
      </c>
      <c r="K435" s="9" t="s">
        <v>271</v>
      </c>
      <c r="L435" s="78" t="s">
        <v>611</v>
      </c>
      <c r="N435" s="78">
        <v>45958</v>
      </c>
      <c r="O435" s="31"/>
      <c r="P435" s="9"/>
      <c r="Q435" s="9">
        <f>COUNTIF(Tabela4[[#All],[Cenário]],Tabela4[[#This Row],[Cenário]])</f>
        <v>8</v>
      </c>
      <c r="R435">
        <f>COUNTIFS(Tabela4[[#All],[Cenário]],Tabela4[[#This Row],[Cenário]],Tabela4[[#All],[Status]],"Keyuser - Concluído ")</f>
        <v>7</v>
      </c>
      <c r="S435" t="str">
        <f>IF(Tabela4[[#This Row],[Tarefas por Cenário]]-Tabela4[[#This Row],[Tarefas Concluídas]]&gt;0,"Não","Sim")</f>
        <v>Não</v>
      </c>
      <c r="T435">
        <f>COUNTIFS(Tabela4[[#All],[Cenário]],Tabela4[[#This Row],[Cenário]],Tabela4[[#All],[Status]],Tabela4[[#Headers],[Elo - Em correção ]])</f>
        <v>0</v>
      </c>
      <c r="U435">
        <f>COUNTIFS(Tabela4[[#All],[Cenário]],Tabela4[[#This Row],[Cenário]],Tabela4[[#All],[Status]],Tabela4[[#Headers],[Keyuser - Aguardando tarefa precedente]])</f>
        <v>0</v>
      </c>
      <c r="V435">
        <f>COUNTIFS(Tabela4[[#All],[Cenário]],Tabela4[[#This Row],[Cenário]],Tabela4[[#All],[Status]],Tabela4[[#Headers],[Não liberado  para testes]])</f>
        <v>1</v>
      </c>
      <c r="W435" t="str">
        <f>IF(Tabela4[[#This Row],[Elo - Em correção ]]&gt;0,"Sim","Não")</f>
        <v>Não</v>
      </c>
      <c r="X435" t="str">
        <f>IF(Tabela4[[#This Row],[Keyuser - Aguardando tarefa precedente]]&gt;0,"Sim","Não")</f>
        <v>Não</v>
      </c>
      <c r="Y435" t="str">
        <f>IF(Tabela4[[#This Row],[Não liberado  para testes]]&gt;0,"Sim","Não")</f>
        <v>Sim</v>
      </c>
      <c r="Z435" t="str">
        <f ca="1">IF(Tabela4[[#This Row],[Status]]="Keyuser - Pendente",NETWORKDAYS(Tabela4[[#This Row],[Dt Inicial]],TODAY()),"")</f>
        <v/>
      </c>
      <c r="AA435" t="b">
        <f>AND(Tabela4[[#This Row],[Status]]="Keyuser - Aguardando tarefa precedente",K434="Keyuser - Concluído ")</f>
        <v>0</v>
      </c>
    </row>
    <row r="436" spans="1:27" x14ac:dyDescent="0.25">
      <c r="A436" t="str">
        <f>"OUT-"&amp;IFERROR(MID(Tabela4[[#This Row],[Cenário]],SEARCH("(",Tabela4[[#This Row],[Cenário]])+1,SEARCH(")",Tabela4[[#This Row],[Cenário]])-SEARCH("(",Tabela4[[#This Row],[Cenário]])-1),"")&amp;"_"&amp;ROW()</f>
        <v>OUT-Y202_436</v>
      </c>
      <c r="B436" t="s">
        <v>374</v>
      </c>
      <c r="C436" t="s">
        <v>608</v>
      </c>
      <c r="D436" t="s">
        <v>286</v>
      </c>
      <c r="E436">
        <v>7</v>
      </c>
      <c r="F436" t="s">
        <v>286</v>
      </c>
      <c r="G436" t="s">
        <v>287</v>
      </c>
      <c r="H436" s="13"/>
      <c r="I436" s="13"/>
      <c r="J436" s="13"/>
      <c r="K436" s="9" t="s">
        <v>262</v>
      </c>
      <c r="N436" s="78"/>
      <c r="O436" s="31"/>
      <c r="P436" s="9"/>
      <c r="Q436" s="9">
        <f>COUNTIF(Tabela4[[#All],[Cenário]],Tabela4[[#This Row],[Cenário]])</f>
        <v>8</v>
      </c>
      <c r="R436">
        <f>COUNTIFS(Tabela4[[#All],[Cenário]],Tabela4[[#This Row],[Cenário]],Tabela4[[#All],[Status]],"Keyuser - Concluído ")</f>
        <v>7</v>
      </c>
      <c r="S436" t="str">
        <f>IF(Tabela4[[#This Row],[Tarefas por Cenário]]-Tabela4[[#This Row],[Tarefas Concluídas]]&gt;0,"Não","Sim")</f>
        <v>Não</v>
      </c>
      <c r="T436">
        <f>COUNTIFS(Tabela4[[#All],[Cenário]],Tabela4[[#This Row],[Cenário]],Tabela4[[#All],[Status]],Tabela4[[#Headers],[Elo - Em correção ]])</f>
        <v>0</v>
      </c>
      <c r="U436">
        <f>COUNTIFS(Tabela4[[#All],[Cenário]],Tabela4[[#This Row],[Cenário]],Tabela4[[#All],[Status]],Tabela4[[#Headers],[Keyuser - Aguardando tarefa precedente]])</f>
        <v>0</v>
      </c>
      <c r="V436">
        <f>COUNTIFS(Tabela4[[#All],[Cenário]],Tabela4[[#This Row],[Cenário]],Tabela4[[#All],[Status]],Tabela4[[#Headers],[Não liberado  para testes]])</f>
        <v>1</v>
      </c>
      <c r="W436" t="str">
        <f>IF(Tabela4[[#This Row],[Elo - Em correção ]]&gt;0,"Sim","Não")</f>
        <v>Não</v>
      </c>
      <c r="X436" t="str">
        <f>IF(Tabela4[[#This Row],[Keyuser - Aguardando tarefa precedente]]&gt;0,"Sim","Não")</f>
        <v>Não</v>
      </c>
      <c r="Y436" t="str">
        <f>IF(Tabela4[[#This Row],[Não liberado  para testes]]&gt;0,"Sim","Não")</f>
        <v>Sim</v>
      </c>
      <c r="Z436" t="str">
        <f ca="1">IF(Tabela4[[#This Row],[Status]]="Keyuser - Pendente",NETWORKDAYS(Tabela4[[#This Row],[Dt Inicial]],TODAY()),"")</f>
        <v/>
      </c>
      <c r="AA436" t="b">
        <f>AND(Tabela4[[#This Row],[Status]]="Keyuser - Aguardando tarefa precedente",K435="Keyuser - Concluído ")</f>
        <v>0</v>
      </c>
    </row>
    <row r="437" spans="1:27" x14ac:dyDescent="0.25">
      <c r="A437" t="str">
        <f>"OUT-"&amp;IFERROR(MID(Tabela4[[#This Row],[Cenário]],SEARCH("(",Tabela4[[#This Row],[Cenário]])+1,SEARCH(")",Tabela4[[#This Row],[Cenário]])-SEARCH("(",Tabela4[[#This Row],[Cenário]])-1),"")&amp;"_"&amp;ROW()</f>
        <v>OUT-Y202_437</v>
      </c>
      <c r="B437" t="s">
        <v>358</v>
      </c>
      <c r="C437" t="s">
        <v>608</v>
      </c>
      <c r="D437" t="s">
        <v>375</v>
      </c>
      <c r="E437">
        <v>8</v>
      </c>
      <c r="F437" t="s">
        <v>375</v>
      </c>
      <c r="G437" t="s">
        <v>367</v>
      </c>
      <c r="H437" s="18">
        <v>15603646</v>
      </c>
      <c r="I437" s="13" t="s">
        <v>609</v>
      </c>
      <c r="J437" s="13"/>
      <c r="K437" s="9" t="s">
        <v>271</v>
      </c>
      <c r="L437" s="78">
        <v>45959</v>
      </c>
      <c r="N437" s="78">
        <v>45959</v>
      </c>
      <c r="O437" s="31"/>
      <c r="P437" s="9"/>
      <c r="Q437" s="9">
        <f>COUNTIF(Tabela4[[#All],[Cenário]],Tabela4[[#This Row],[Cenário]])</f>
        <v>8</v>
      </c>
      <c r="R437">
        <f>COUNTIFS(Tabela4[[#All],[Cenário]],Tabela4[[#This Row],[Cenário]],Tabela4[[#All],[Status]],"Keyuser - Concluído ")</f>
        <v>7</v>
      </c>
      <c r="S437" t="str">
        <f>IF(Tabela4[[#This Row],[Tarefas por Cenário]]-Tabela4[[#This Row],[Tarefas Concluídas]]&gt;0,"Não","Sim")</f>
        <v>Não</v>
      </c>
      <c r="T437">
        <f>COUNTIFS(Tabela4[[#All],[Cenário]],Tabela4[[#This Row],[Cenário]],Tabela4[[#All],[Status]],Tabela4[[#Headers],[Elo - Em correção ]])</f>
        <v>0</v>
      </c>
      <c r="U437">
        <f>COUNTIFS(Tabela4[[#All],[Cenário]],Tabela4[[#This Row],[Cenário]],Tabela4[[#All],[Status]],Tabela4[[#Headers],[Keyuser - Aguardando tarefa precedente]])</f>
        <v>0</v>
      </c>
      <c r="V437">
        <f>COUNTIFS(Tabela4[[#All],[Cenário]],Tabela4[[#This Row],[Cenário]],Tabela4[[#All],[Status]],Tabela4[[#Headers],[Não liberado  para testes]])</f>
        <v>1</v>
      </c>
      <c r="W437" t="str">
        <f>IF(Tabela4[[#This Row],[Elo - Em correção ]]&gt;0,"Sim","Não")</f>
        <v>Não</v>
      </c>
      <c r="X437" t="str">
        <f>IF(Tabela4[[#This Row],[Keyuser - Aguardando tarefa precedente]]&gt;0,"Sim","Não")</f>
        <v>Não</v>
      </c>
      <c r="Y437" t="str">
        <f>IF(Tabela4[[#This Row],[Não liberado  para testes]]&gt;0,"Sim","Não")</f>
        <v>Sim</v>
      </c>
      <c r="Z437" t="str">
        <f ca="1">IF(Tabela4[[#This Row],[Status]]="Keyuser - Pendente",NETWORKDAYS(Tabela4[[#This Row],[Dt Inicial]],TODAY()),"")</f>
        <v/>
      </c>
      <c r="AA437" t="b">
        <f>AND(Tabela4[[#This Row],[Status]]="Keyuser - Aguardando tarefa precedente",K436="Keyuser - Concluído ")</f>
        <v>0</v>
      </c>
    </row>
    <row r="438" spans="1:27" x14ac:dyDescent="0.25">
      <c r="A438" t="str">
        <f>"OUT-"&amp;IFERROR(MID(Tabela4[[#This Row],[Cenário]],SEARCH("(",Tabela4[[#This Row],[Cenário]])+1,SEARCH(")",Tabela4[[#This Row],[Cenário]])-SEARCH("(",Tabela4[[#This Row],[Cenário]])-1),"")&amp;"_"&amp;ROW()</f>
        <v>OUT-YRET_438</v>
      </c>
      <c r="B438" t="s">
        <v>358</v>
      </c>
      <c r="C438" t="s">
        <v>612</v>
      </c>
      <c r="D438" t="s">
        <v>360</v>
      </c>
      <c r="E438">
        <v>1</v>
      </c>
      <c r="F438" t="s">
        <v>360</v>
      </c>
      <c r="G438" t="s">
        <v>377</v>
      </c>
      <c r="H438" s="13">
        <v>60668346</v>
      </c>
      <c r="I438" s="13"/>
      <c r="J438" s="13"/>
      <c r="K438" s="9" t="s">
        <v>271</v>
      </c>
      <c r="L438" s="78">
        <v>45960</v>
      </c>
      <c r="N438" s="78">
        <v>45960</v>
      </c>
      <c r="O438" s="31"/>
      <c r="P438" s="9"/>
      <c r="Q438" s="9">
        <f>COUNTIF(Tabela4[[#All],[Cenário]],Tabela4[[#This Row],[Cenário]])</f>
        <v>5</v>
      </c>
      <c r="R438">
        <f>COUNTIFS(Tabela4[[#All],[Cenário]],Tabela4[[#This Row],[Cenário]],Tabela4[[#All],[Status]],"Keyuser - Concluído ")</f>
        <v>5</v>
      </c>
      <c r="S438" t="str">
        <f>IF(Tabela4[[#This Row],[Tarefas por Cenário]]-Tabela4[[#This Row],[Tarefas Concluídas]]&gt;0,"Não","Sim")</f>
        <v>Sim</v>
      </c>
      <c r="T438">
        <f>COUNTIFS(Tabela4[[#All],[Cenário]],Tabela4[[#This Row],[Cenário]],Tabela4[[#All],[Status]],Tabela4[[#Headers],[Elo - Em correção ]])</f>
        <v>0</v>
      </c>
      <c r="U438">
        <f>COUNTIFS(Tabela4[[#All],[Cenário]],Tabela4[[#This Row],[Cenário]],Tabela4[[#All],[Status]],Tabela4[[#Headers],[Keyuser - Aguardando tarefa precedente]])</f>
        <v>0</v>
      </c>
      <c r="V438">
        <f>COUNTIFS(Tabela4[[#All],[Cenário]],Tabela4[[#This Row],[Cenário]],Tabela4[[#All],[Status]],Tabela4[[#Headers],[Não liberado  para testes]])</f>
        <v>0</v>
      </c>
      <c r="W438" t="str">
        <f>IF(Tabela4[[#This Row],[Elo - Em correção ]]&gt;0,"Sim","Não")</f>
        <v>Não</v>
      </c>
      <c r="X438" t="str">
        <f>IF(Tabela4[[#This Row],[Keyuser - Aguardando tarefa precedente]]&gt;0,"Sim","Não")</f>
        <v>Não</v>
      </c>
      <c r="Y438" t="str">
        <f>IF(Tabela4[[#This Row],[Não liberado  para testes]]&gt;0,"Sim","Não")</f>
        <v>Não</v>
      </c>
      <c r="Z438" t="str">
        <f ca="1">IF(Tabela4[[#This Row],[Status]]="Keyuser - Pendente",NETWORKDAYS(Tabela4[[#This Row],[Dt Inicial]],TODAY()),"")</f>
        <v/>
      </c>
      <c r="AA438" t="b">
        <f>AND(Tabela4[[#This Row],[Status]]="Keyuser - Aguardando tarefa precedente",K437="Keyuser - Concluído ")</f>
        <v>0</v>
      </c>
    </row>
    <row r="439" spans="1:27" x14ac:dyDescent="0.25">
      <c r="A439" t="str">
        <f>"OUT-"&amp;IFERROR(MID(Tabela4[[#This Row],[Cenário]],SEARCH("(",Tabela4[[#This Row],[Cenário]])+1,SEARCH(")",Tabela4[[#This Row],[Cenário]])-SEARCH("(",Tabela4[[#This Row],[Cenário]])-1),"")&amp;"_"&amp;ROW()</f>
        <v>OUT-YRET_439</v>
      </c>
      <c r="B439" t="s">
        <v>358</v>
      </c>
      <c r="C439" t="s">
        <v>612</v>
      </c>
      <c r="D439" t="s">
        <v>365</v>
      </c>
      <c r="E439">
        <v>2</v>
      </c>
      <c r="F439" t="s">
        <v>365</v>
      </c>
      <c r="G439" t="s">
        <v>310</v>
      </c>
      <c r="H439" s="13">
        <v>60668346</v>
      </c>
      <c r="I439" s="13"/>
      <c r="J439" s="13"/>
      <c r="K439" s="9" t="s">
        <v>271</v>
      </c>
      <c r="L439" s="78">
        <v>45961</v>
      </c>
      <c r="N439" s="78">
        <v>45961</v>
      </c>
      <c r="O439" s="31"/>
      <c r="P439" s="9"/>
      <c r="Q439" s="9">
        <f>COUNTIF(Tabela4[[#All],[Cenário]],Tabela4[[#This Row],[Cenário]])</f>
        <v>5</v>
      </c>
      <c r="R439">
        <f>COUNTIFS(Tabela4[[#All],[Cenário]],Tabela4[[#This Row],[Cenário]],Tabela4[[#All],[Status]],"Keyuser - Concluído ")</f>
        <v>5</v>
      </c>
      <c r="S439" t="str">
        <f>IF(Tabela4[[#This Row],[Tarefas por Cenário]]-Tabela4[[#This Row],[Tarefas Concluídas]]&gt;0,"Não","Sim")</f>
        <v>Sim</v>
      </c>
      <c r="T439">
        <f>COUNTIFS(Tabela4[[#All],[Cenário]],Tabela4[[#This Row],[Cenário]],Tabela4[[#All],[Status]],Tabela4[[#Headers],[Elo - Em correção ]])</f>
        <v>0</v>
      </c>
      <c r="U439">
        <f>COUNTIFS(Tabela4[[#All],[Cenário]],Tabela4[[#This Row],[Cenário]],Tabela4[[#All],[Status]],Tabela4[[#Headers],[Keyuser - Aguardando tarefa precedente]])</f>
        <v>0</v>
      </c>
      <c r="V439">
        <f>COUNTIFS(Tabela4[[#All],[Cenário]],Tabela4[[#This Row],[Cenário]],Tabela4[[#All],[Status]],Tabela4[[#Headers],[Não liberado  para testes]])</f>
        <v>0</v>
      </c>
      <c r="W439" t="str">
        <f>IF(Tabela4[[#This Row],[Elo - Em correção ]]&gt;0,"Sim","Não")</f>
        <v>Não</v>
      </c>
      <c r="X439" t="str">
        <f>IF(Tabela4[[#This Row],[Keyuser - Aguardando tarefa precedente]]&gt;0,"Sim","Não")</f>
        <v>Não</v>
      </c>
      <c r="Y439" t="str">
        <f>IF(Tabela4[[#This Row],[Não liberado  para testes]]&gt;0,"Sim","Não")</f>
        <v>Não</v>
      </c>
      <c r="Z439" t="str">
        <f ca="1">IF(Tabela4[[#This Row],[Status]]="Keyuser - Pendente",NETWORKDAYS(Tabela4[[#This Row],[Dt Inicial]],TODAY()),"")</f>
        <v/>
      </c>
      <c r="AA439" t="b">
        <f>AND(Tabela4[[#This Row],[Status]]="Keyuser - Aguardando tarefa precedente",K438="Keyuser - Concluído ")</f>
        <v>0</v>
      </c>
    </row>
    <row r="440" spans="1:27" x14ac:dyDescent="0.25">
      <c r="A440" t="str">
        <f>"OUT-"&amp;IFERROR(MID(Tabela4[[#This Row],[Cenário]],SEARCH("(",Tabela4[[#This Row],[Cenário]])+1,SEARCH(")",Tabela4[[#This Row],[Cenário]])-SEARCH("(",Tabela4[[#This Row],[Cenário]])-1),"")&amp;"_"&amp;ROW()</f>
        <v>OUT-YRET_440</v>
      </c>
      <c r="B440" t="s">
        <v>358</v>
      </c>
      <c r="C440" t="s">
        <v>612</v>
      </c>
      <c r="D440" t="s">
        <v>368</v>
      </c>
      <c r="E440">
        <v>4</v>
      </c>
      <c r="F440" t="s">
        <v>368</v>
      </c>
      <c r="G440" t="s">
        <v>377</v>
      </c>
      <c r="H440" s="13" t="s">
        <v>613</v>
      </c>
      <c r="I440" s="13"/>
      <c r="J440" s="13"/>
      <c r="K440" s="9" t="s">
        <v>271</v>
      </c>
      <c r="L440" s="78">
        <v>45965</v>
      </c>
      <c r="N440" s="78">
        <v>45965</v>
      </c>
      <c r="O440" s="31" t="s">
        <v>614</v>
      </c>
      <c r="P440" s="9"/>
      <c r="Q440" s="9">
        <f>COUNTIF(Tabela4[[#All],[Cenário]],Tabela4[[#This Row],[Cenário]])</f>
        <v>5</v>
      </c>
      <c r="R440">
        <f>COUNTIFS(Tabela4[[#All],[Cenário]],Tabela4[[#This Row],[Cenário]],Tabela4[[#All],[Status]],"Keyuser - Concluído ")</f>
        <v>5</v>
      </c>
      <c r="S440" t="str">
        <f>IF(Tabela4[[#This Row],[Tarefas por Cenário]]-Tabela4[[#This Row],[Tarefas Concluídas]]&gt;0,"Não","Sim")</f>
        <v>Sim</v>
      </c>
      <c r="T440">
        <f>COUNTIFS(Tabela4[[#All],[Cenário]],Tabela4[[#This Row],[Cenário]],Tabela4[[#All],[Status]],Tabela4[[#Headers],[Elo - Em correção ]])</f>
        <v>0</v>
      </c>
      <c r="U440">
        <f>COUNTIFS(Tabela4[[#All],[Cenário]],Tabela4[[#This Row],[Cenário]],Tabela4[[#All],[Status]],Tabela4[[#Headers],[Keyuser - Aguardando tarefa precedente]])</f>
        <v>0</v>
      </c>
      <c r="V440">
        <f>COUNTIFS(Tabela4[[#All],[Cenário]],Tabela4[[#This Row],[Cenário]],Tabela4[[#All],[Status]],Tabela4[[#Headers],[Não liberado  para testes]])</f>
        <v>0</v>
      </c>
      <c r="W440" t="str">
        <f>IF(Tabela4[[#This Row],[Elo - Em correção ]]&gt;0,"Sim","Não")</f>
        <v>Não</v>
      </c>
      <c r="X440" t="str">
        <f>IF(Tabela4[[#This Row],[Keyuser - Aguardando tarefa precedente]]&gt;0,"Sim","Não")</f>
        <v>Não</v>
      </c>
      <c r="Y440" t="str">
        <f>IF(Tabela4[[#This Row],[Não liberado  para testes]]&gt;0,"Sim","Não")</f>
        <v>Não</v>
      </c>
      <c r="Z440" t="str">
        <f ca="1">IF(Tabela4[[#This Row],[Status]]="Keyuser - Pendente",NETWORKDAYS(Tabela4[[#This Row],[Dt Inicial]],TODAY()),"")</f>
        <v/>
      </c>
      <c r="AA440" t="b">
        <f>AND(Tabela4[[#This Row],[Status]]="Keyuser - Aguardando tarefa precedente",K439="Keyuser - Concluído ")</f>
        <v>0</v>
      </c>
    </row>
    <row r="441" spans="1:27" x14ac:dyDescent="0.25">
      <c r="A441" t="str">
        <f>"OUT-"&amp;IFERROR(MID(Tabela4[[#This Row],[Cenário]],SEARCH("(",Tabela4[[#This Row],[Cenário]])+1,SEARCH(")",Tabela4[[#This Row],[Cenário]])-SEARCH("(",Tabela4[[#This Row],[Cenário]])-1),"")&amp;"_"&amp;ROW()</f>
        <v>OUT-YRET_441</v>
      </c>
      <c r="B441" t="s">
        <v>358</v>
      </c>
      <c r="C441" t="s">
        <v>612</v>
      </c>
      <c r="D441" t="s">
        <v>434</v>
      </c>
      <c r="E441">
        <v>5</v>
      </c>
      <c r="F441" t="s">
        <v>435</v>
      </c>
      <c r="G441" t="s">
        <v>287</v>
      </c>
      <c r="H441" s="13" t="s">
        <v>613</v>
      </c>
      <c r="I441" s="13"/>
      <c r="J441" s="13"/>
      <c r="K441" s="9" t="s">
        <v>271</v>
      </c>
      <c r="L441" s="78">
        <v>45972</v>
      </c>
      <c r="N441" s="78">
        <v>45972</v>
      </c>
      <c r="O441" s="31"/>
      <c r="P441" s="9"/>
      <c r="Q441" s="9">
        <f>COUNTIF(Tabela4[[#All],[Cenário]],Tabela4[[#This Row],[Cenário]])</f>
        <v>5</v>
      </c>
      <c r="R441">
        <f>COUNTIFS(Tabela4[[#All],[Cenário]],Tabela4[[#This Row],[Cenário]],Tabela4[[#All],[Status]],"Keyuser - Concluído ")</f>
        <v>5</v>
      </c>
      <c r="S441" t="str">
        <f>IF(Tabela4[[#This Row],[Tarefas por Cenário]]-Tabela4[[#This Row],[Tarefas Concluídas]]&gt;0,"Não","Sim")</f>
        <v>Sim</v>
      </c>
      <c r="T441">
        <f>COUNTIFS(Tabela4[[#All],[Cenário]],Tabela4[[#This Row],[Cenário]],Tabela4[[#All],[Status]],Tabela4[[#Headers],[Elo - Em correção ]])</f>
        <v>0</v>
      </c>
      <c r="U441">
        <f>COUNTIFS(Tabela4[[#All],[Cenário]],Tabela4[[#This Row],[Cenário]],Tabela4[[#All],[Status]],Tabela4[[#Headers],[Keyuser - Aguardando tarefa precedente]])</f>
        <v>0</v>
      </c>
      <c r="V441">
        <f>COUNTIFS(Tabela4[[#All],[Cenário]],Tabela4[[#This Row],[Cenário]],Tabela4[[#All],[Status]],Tabela4[[#Headers],[Não liberado  para testes]])</f>
        <v>0</v>
      </c>
      <c r="W441" t="str">
        <f>IF(Tabela4[[#This Row],[Elo - Em correção ]]&gt;0,"Sim","Não")</f>
        <v>Não</v>
      </c>
      <c r="X441" t="str">
        <f>IF(Tabela4[[#This Row],[Keyuser - Aguardando tarefa precedente]]&gt;0,"Sim","Não")</f>
        <v>Não</v>
      </c>
      <c r="Y441" t="str">
        <f>IF(Tabela4[[#This Row],[Não liberado  para testes]]&gt;0,"Sim","Não")</f>
        <v>Não</v>
      </c>
      <c r="Z441" t="str">
        <f ca="1">IF(Tabela4[[#This Row],[Status]]="Keyuser - Pendente",NETWORKDAYS(Tabela4[[#This Row],[Dt Inicial]],TODAY()),"")</f>
        <v/>
      </c>
      <c r="AA441" t="b">
        <f>AND(Tabela4[[#This Row],[Status]]="Keyuser - Aguardando tarefa precedente",K440="Keyuser - Concluído ")</f>
        <v>0</v>
      </c>
    </row>
    <row r="442" spans="1:27" x14ac:dyDescent="0.25">
      <c r="A442" t="str">
        <f>"OUT-"&amp;IFERROR(MID(Tabela4[[#This Row],[Cenário]],SEARCH("(",Tabela4[[#This Row],[Cenário]])+1,SEARCH(")",Tabela4[[#This Row],[Cenário]])-SEARCH("(",Tabela4[[#This Row],[Cenário]])-1),"")&amp;"_"&amp;ROW()</f>
        <v>OUT-YRET_442</v>
      </c>
      <c r="B442" t="s">
        <v>358</v>
      </c>
      <c r="C442" t="s">
        <v>612</v>
      </c>
      <c r="D442" t="s">
        <v>373</v>
      </c>
      <c r="E442">
        <v>6</v>
      </c>
      <c r="F442" t="s">
        <v>373</v>
      </c>
      <c r="G442" t="s">
        <v>283</v>
      </c>
      <c r="H442" s="13" t="s">
        <v>613</v>
      </c>
      <c r="I442" s="13"/>
      <c r="J442" s="13"/>
      <c r="K442" s="9" t="s">
        <v>271</v>
      </c>
      <c r="L442" s="78">
        <v>45971</v>
      </c>
      <c r="N442" s="78">
        <v>46002</v>
      </c>
      <c r="O442" s="31"/>
      <c r="P442" s="9"/>
      <c r="Q442" s="9">
        <f>COUNTIF(Tabela4[[#All],[Cenário]],Tabela4[[#This Row],[Cenário]])</f>
        <v>5</v>
      </c>
      <c r="R442">
        <f>COUNTIFS(Tabela4[[#All],[Cenário]],Tabela4[[#This Row],[Cenário]],Tabela4[[#All],[Status]],"Keyuser - Concluído ")</f>
        <v>5</v>
      </c>
      <c r="S442" t="str">
        <f>IF(Tabela4[[#This Row],[Tarefas por Cenário]]-Tabela4[[#This Row],[Tarefas Concluídas]]&gt;0,"Não","Sim")</f>
        <v>Sim</v>
      </c>
      <c r="T442">
        <f>COUNTIFS(Tabela4[[#All],[Cenário]],Tabela4[[#This Row],[Cenário]],Tabela4[[#All],[Status]],Tabela4[[#Headers],[Elo - Em correção ]])</f>
        <v>0</v>
      </c>
      <c r="U442">
        <f>COUNTIFS(Tabela4[[#All],[Cenário]],Tabela4[[#This Row],[Cenário]],Tabela4[[#All],[Status]],Tabela4[[#Headers],[Keyuser - Aguardando tarefa precedente]])</f>
        <v>0</v>
      </c>
      <c r="V442">
        <f>COUNTIFS(Tabela4[[#All],[Cenário]],Tabela4[[#This Row],[Cenário]],Tabela4[[#All],[Status]],Tabela4[[#Headers],[Não liberado  para testes]])</f>
        <v>0</v>
      </c>
      <c r="W442" t="str">
        <f>IF(Tabela4[[#This Row],[Elo - Em correção ]]&gt;0,"Sim","Não")</f>
        <v>Não</v>
      </c>
      <c r="X442" t="str">
        <f>IF(Tabela4[[#This Row],[Keyuser - Aguardando tarefa precedente]]&gt;0,"Sim","Não")</f>
        <v>Não</v>
      </c>
      <c r="Y442" t="str">
        <f>IF(Tabela4[[#This Row],[Não liberado  para testes]]&gt;0,"Sim","Não")</f>
        <v>Não</v>
      </c>
      <c r="Z442" t="str">
        <f ca="1">IF(Tabela4[[#This Row],[Status]]="Keyuser - Pendente",NETWORKDAYS(Tabela4[[#This Row],[Dt Inicial]],TODAY()),"")</f>
        <v/>
      </c>
      <c r="AA442" t="b">
        <f>AND(Tabela4[[#This Row],[Status]]="Keyuser - Aguardando tarefa precedente",K441="Keyuser - Concluído ")</f>
        <v>0</v>
      </c>
    </row>
    <row r="443" spans="1:27" x14ac:dyDescent="0.25">
      <c r="A443" t="str">
        <f>"OUT-"&amp;IFERROR(MID(Tabela4[[#This Row],[Cenário]],SEARCH("(",Tabela4[[#This Row],[Cenário]])+1,SEARCH(")",Tabela4[[#This Row],[Cenário]])-SEARCH("(",Tabela4[[#This Row],[Cenário]])-1),"")&amp;"_"&amp;ROW()</f>
        <v>OUT-Y202_443</v>
      </c>
      <c r="B443" t="s">
        <v>358</v>
      </c>
      <c r="C443" t="s">
        <v>615</v>
      </c>
      <c r="D443" t="s">
        <v>360</v>
      </c>
      <c r="E443">
        <v>1</v>
      </c>
      <c r="F443" t="s">
        <v>360</v>
      </c>
      <c r="G443" t="s">
        <v>361</v>
      </c>
      <c r="H443" s="18">
        <v>15603658</v>
      </c>
      <c r="I443" s="13" t="s">
        <v>616</v>
      </c>
      <c r="J443" s="13" t="s">
        <v>364</v>
      </c>
      <c r="K443" s="9" t="s">
        <v>271</v>
      </c>
      <c r="L443" s="78" t="s">
        <v>617</v>
      </c>
      <c r="N443" s="78">
        <v>45957</v>
      </c>
      <c r="O443" s="31"/>
      <c r="P443" s="9"/>
      <c r="Q443" s="9">
        <f>COUNTIF(Tabela4[[#All],[Cenário]],Tabela4[[#This Row],[Cenário]])</f>
        <v>8</v>
      </c>
      <c r="R443">
        <f>COUNTIFS(Tabela4[[#All],[Cenário]],Tabela4[[#This Row],[Cenário]],Tabela4[[#All],[Status]],"Keyuser - Concluído ")</f>
        <v>7</v>
      </c>
      <c r="S443" t="str">
        <f>IF(Tabela4[[#This Row],[Tarefas por Cenário]]-Tabela4[[#This Row],[Tarefas Concluídas]]&gt;0,"Não","Sim")</f>
        <v>Não</v>
      </c>
      <c r="T443">
        <f>COUNTIFS(Tabela4[[#All],[Cenário]],Tabela4[[#This Row],[Cenário]],Tabela4[[#All],[Status]],Tabela4[[#Headers],[Elo - Em correção ]])</f>
        <v>0</v>
      </c>
      <c r="U443">
        <f>COUNTIFS(Tabela4[[#All],[Cenário]],Tabela4[[#This Row],[Cenário]],Tabela4[[#All],[Status]],Tabela4[[#Headers],[Keyuser - Aguardando tarefa precedente]])</f>
        <v>0</v>
      </c>
      <c r="V443">
        <f>COUNTIFS(Tabela4[[#All],[Cenário]],Tabela4[[#This Row],[Cenário]],Tabela4[[#All],[Status]],Tabela4[[#Headers],[Não liberado  para testes]])</f>
        <v>1</v>
      </c>
      <c r="W443" t="str">
        <f>IF(Tabela4[[#This Row],[Elo - Em correção ]]&gt;0,"Sim","Não")</f>
        <v>Não</v>
      </c>
      <c r="X443" t="str">
        <f>IF(Tabela4[[#This Row],[Keyuser - Aguardando tarefa precedente]]&gt;0,"Sim","Não")</f>
        <v>Não</v>
      </c>
      <c r="Y443" t="str">
        <f>IF(Tabela4[[#This Row],[Não liberado  para testes]]&gt;0,"Sim","Não")</f>
        <v>Sim</v>
      </c>
      <c r="Z443" t="str">
        <f ca="1">IF(Tabela4[[#This Row],[Status]]="Keyuser - Pendente",NETWORKDAYS(Tabela4[[#This Row],[Dt Inicial]],TODAY()),"")</f>
        <v/>
      </c>
      <c r="AA443" t="b">
        <f>AND(Tabela4[[#This Row],[Status]]="Keyuser - Aguardando tarefa precedente",K442="Keyuser - Concluído ")</f>
        <v>0</v>
      </c>
    </row>
    <row r="444" spans="1:27" x14ac:dyDescent="0.25">
      <c r="A444" t="str">
        <f>"OUT-"&amp;IFERROR(MID(Tabela4[[#This Row],[Cenário]],SEARCH("(",Tabela4[[#This Row],[Cenário]])+1,SEARCH(")",Tabela4[[#This Row],[Cenário]])-SEARCH("(",Tabela4[[#This Row],[Cenário]])-1),"")&amp;"_"&amp;ROW()</f>
        <v>OUT-Y202_444</v>
      </c>
      <c r="B444" t="s">
        <v>358</v>
      </c>
      <c r="C444" t="s">
        <v>615</v>
      </c>
      <c r="D444" t="s">
        <v>365</v>
      </c>
      <c r="E444">
        <v>2</v>
      </c>
      <c r="F444" t="s">
        <v>365</v>
      </c>
      <c r="G444" t="s">
        <v>310</v>
      </c>
      <c r="H444" s="9">
        <v>15603658</v>
      </c>
      <c r="I444" s="13" t="s">
        <v>616</v>
      </c>
      <c r="J444" s="13" t="s">
        <v>364</v>
      </c>
      <c r="K444" s="9" t="s">
        <v>271</v>
      </c>
      <c r="L444" s="78">
        <v>45958</v>
      </c>
      <c r="N444" s="78">
        <v>45958</v>
      </c>
      <c r="O444" s="31"/>
      <c r="P444" s="9"/>
      <c r="Q444" s="9">
        <f>COUNTIF(Tabela4[[#All],[Cenário]],Tabela4[[#This Row],[Cenário]])</f>
        <v>8</v>
      </c>
      <c r="R444">
        <f>COUNTIFS(Tabela4[[#All],[Cenário]],Tabela4[[#This Row],[Cenário]],Tabela4[[#All],[Status]],"Keyuser - Concluído ")</f>
        <v>7</v>
      </c>
      <c r="S444" t="str">
        <f>IF(Tabela4[[#This Row],[Tarefas por Cenário]]-Tabela4[[#This Row],[Tarefas Concluídas]]&gt;0,"Não","Sim")</f>
        <v>Não</v>
      </c>
      <c r="T444">
        <f>COUNTIFS(Tabela4[[#All],[Cenário]],Tabela4[[#This Row],[Cenário]],Tabela4[[#All],[Status]],Tabela4[[#Headers],[Elo - Em correção ]])</f>
        <v>0</v>
      </c>
      <c r="U444">
        <f>COUNTIFS(Tabela4[[#All],[Cenário]],Tabela4[[#This Row],[Cenário]],Tabela4[[#All],[Status]],Tabela4[[#Headers],[Keyuser - Aguardando tarefa precedente]])</f>
        <v>0</v>
      </c>
      <c r="V444">
        <f>COUNTIFS(Tabela4[[#All],[Cenário]],Tabela4[[#This Row],[Cenário]],Tabela4[[#All],[Status]],Tabela4[[#Headers],[Não liberado  para testes]])</f>
        <v>1</v>
      </c>
      <c r="W444" t="str">
        <f>IF(Tabela4[[#This Row],[Elo - Em correção ]]&gt;0,"Sim","Não")</f>
        <v>Não</v>
      </c>
      <c r="X444" t="str">
        <f>IF(Tabela4[[#This Row],[Keyuser - Aguardando tarefa precedente]]&gt;0,"Sim","Não")</f>
        <v>Não</v>
      </c>
      <c r="Y444" t="str">
        <f>IF(Tabela4[[#This Row],[Não liberado  para testes]]&gt;0,"Sim","Não")</f>
        <v>Sim</v>
      </c>
      <c r="Z444" t="str">
        <f ca="1">IF(Tabela4[[#This Row],[Status]]="Keyuser - Pendente",NETWORKDAYS(Tabela4[[#This Row],[Dt Inicial]],TODAY()),"")</f>
        <v/>
      </c>
      <c r="AA444" t="b">
        <f>AND(Tabela4[[#This Row],[Status]]="Keyuser - Aguardando tarefa precedente",K443="Keyuser - Concluído ")</f>
        <v>0</v>
      </c>
    </row>
    <row r="445" spans="1:27" x14ac:dyDescent="0.25">
      <c r="A445" t="str">
        <f>"OUT-"&amp;IFERROR(MID(Tabela4[[#This Row],[Cenário]],SEARCH("(",Tabela4[[#This Row],[Cenário]])+1,SEARCH(")",Tabela4[[#This Row],[Cenário]])-SEARCH("(",Tabela4[[#This Row],[Cenário]])-1),"")&amp;"_"&amp;ROW()</f>
        <v>OUT-Y202_445</v>
      </c>
      <c r="B445" t="s">
        <v>358</v>
      </c>
      <c r="C445" t="s">
        <v>615</v>
      </c>
      <c r="D445" t="s">
        <v>366</v>
      </c>
      <c r="E445">
        <v>3</v>
      </c>
      <c r="F445" t="s">
        <v>366</v>
      </c>
      <c r="G445" t="s">
        <v>367</v>
      </c>
      <c r="H445" s="9">
        <v>15603658</v>
      </c>
      <c r="I445" s="13" t="s">
        <v>616</v>
      </c>
      <c r="J445" s="13"/>
      <c r="K445" s="9" t="s">
        <v>271</v>
      </c>
      <c r="L445" s="78">
        <v>45958</v>
      </c>
      <c r="N445" s="78">
        <v>45958</v>
      </c>
      <c r="O445" s="31"/>
      <c r="P445" s="9"/>
      <c r="Q445" s="9">
        <f>COUNTIF(Tabela4[[#All],[Cenário]],Tabela4[[#This Row],[Cenário]])</f>
        <v>8</v>
      </c>
      <c r="R445">
        <f>COUNTIFS(Tabela4[[#All],[Cenário]],Tabela4[[#This Row],[Cenário]],Tabela4[[#All],[Status]],"Keyuser - Concluído ")</f>
        <v>7</v>
      </c>
      <c r="S445" t="str">
        <f>IF(Tabela4[[#This Row],[Tarefas por Cenário]]-Tabela4[[#This Row],[Tarefas Concluídas]]&gt;0,"Não","Sim")</f>
        <v>Não</v>
      </c>
      <c r="T445">
        <f>COUNTIFS(Tabela4[[#All],[Cenário]],Tabela4[[#This Row],[Cenário]],Tabela4[[#All],[Status]],Tabela4[[#Headers],[Elo - Em correção ]])</f>
        <v>0</v>
      </c>
      <c r="U445">
        <f>COUNTIFS(Tabela4[[#All],[Cenário]],Tabela4[[#This Row],[Cenário]],Tabela4[[#All],[Status]],Tabela4[[#Headers],[Keyuser - Aguardando tarefa precedente]])</f>
        <v>0</v>
      </c>
      <c r="V445">
        <f>COUNTIFS(Tabela4[[#All],[Cenário]],Tabela4[[#This Row],[Cenário]],Tabela4[[#All],[Status]],Tabela4[[#Headers],[Não liberado  para testes]])</f>
        <v>1</v>
      </c>
      <c r="W445" t="str">
        <f>IF(Tabela4[[#This Row],[Elo - Em correção ]]&gt;0,"Sim","Não")</f>
        <v>Não</v>
      </c>
      <c r="X445" t="str">
        <f>IF(Tabela4[[#This Row],[Keyuser - Aguardando tarefa precedente]]&gt;0,"Sim","Não")</f>
        <v>Não</v>
      </c>
      <c r="Y445" t="str">
        <f>IF(Tabela4[[#This Row],[Não liberado  para testes]]&gt;0,"Sim","Não")</f>
        <v>Sim</v>
      </c>
      <c r="Z445" t="str">
        <f ca="1">IF(Tabela4[[#This Row],[Status]]="Keyuser - Pendente",NETWORKDAYS(Tabela4[[#This Row],[Dt Inicial]],TODAY()),"")</f>
        <v/>
      </c>
      <c r="AA445" t="b">
        <f>AND(Tabela4[[#This Row],[Status]]="Keyuser - Aguardando tarefa precedente",K444="Keyuser - Concluído ")</f>
        <v>0</v>
      </c>
    </row>
    <row r="446" spans="1:27" x14ac:dyDescent="0.25">
      <c r="A446" t="str">
        <f>"OUT-"&amp;IFERROR(MID(Tabela4[[#This Row],[Cenário]],SEARCH("(",Tabela4[[#This Row],[Cenário]])+1,SEARCH(")",Tabela4[[#This Row],[Cenário]])-SEARCH("(",Tabela4[[#This Row],[Cenário]])-1),"")&amp;"_"&amp;ROW()</f>
        <v>OUT-Y202_446</v>
      </c>
      <c r="B446" t="s">
        <v>358</v>
      </c>
      <c r="C446" t="s">
        <v>615</v>
      </c>
      <c r="D446" t="s">
        <v>368</v>
      </c>
      <c r="E446">
        <v>4</v>
      </c>
      <c r="F446" t="s">
        <v>368</v>
      </c>
      <c r="G446" t="s">
        <v>369</v>
      </c>
      <c r="H446" s="13" t="s">
        <v>618</v>
      </c>
      <c r="I446" s="13"/>
      <c r="J446" s="13"/>
      <c r="K446" s="9" t="s">
        <v>271</v>
      </c>
      <c r="L446" s="78">
        <v>45958</v>
      </c>
      <c r="N446" s="78">
        <v>45958</v>
      </c>
      <c r="O446" s="31"/>
      <c r="P446" s="9"/>
      <c r="Q446" s="9">
        <f>COUNTIF(Tabela4[[#All],[Cenário]],Tabela4[[#This Row],[Cenário]])</f>
        <v>8</v>
      </c>
      <c r="R446">
        <f>COUNTIFS(Tabela4[[#All],[Cenário]],Tabela4[[#This Row],[Cenário]],Tabela4[[#All],[Status]],"Keyuser - Concluído ")</f>
        <v>7</v>
      </c>
      <c r="S446" t="str">
        <f>IF(Tabela4[[#This Row],[Tarefas por Cenário]]-Tabela4[[#This Row],[Tarefas Concluídas]]&gt;0,"Não","Sim")</f>
        <v>Não</v>
      </c>
      <c r="T446">
        <f>COUNTIFS(Tabela4[[#All],[Cenário]],Tabela4[[#This Row],[Cenário]],Tabela4[[#All],[Status]],Tabela4[[#Headers],[Elo - Em correção ]])</f>
        <v>0</v>
      </c>
      <c r="U446">
        <f>COUNTIFS(Tabela4[[#All],[Cenário]],Tabela4[[#This Row],[Cenário]],Tabela4[[#All],[Status]],Tabela4[[#Headers],[Keyuser - Aguardando tarefa precedente]])</f>
        <v>0</v>
      </c>
      <c r="V446">
        <f>COUNTIFS(Tabela4[[#All],[Cenário]],Tabela4[[#This Row],[Cenário]],Tabela4[[#All],[Status]],Tabela4[[#Headers],[Não liberado  para testes]])</f>
        <v>1</v>
      </c>
      <c r="W446" t="str">
        <f>IF(Tabela4[[#This Row],[Elo - Em correção ]]&gt;0,"Sim","Não")</f>
        <v>Não</v>
      </c>
      <c r="X446" t="str">
        <f>IF(Tabela4[[#This Row],[Keyuser - Aguardando tarefa precedente]]&gt;0,"Sim","Não")</f>
        <v>Não</v>
      </c>
      <c r="Y446" t="str">
        <f>IF(Tabela4[[#This Row],[Não liberado  para testes]]&gt;0,"Sim","Não")</f>
        <v>Sim</v>
      </c>
      <c r="Z446" t="str">
        <f ca="1">IF(Tabela4[[#This Row],[Status]]="Keyuser - Pendente",NETWORKDAYS(Tabela4[[#This Row],[Dt Inicial]],TODAY()),"")</f>
        <v/>
      </c>
      <c r="AA446" t="b">
        <f>AND(Tabela4[[#This Row],[Status]]="Keyuser - Aguardando tarefa precedente",K445="Keyuser - Concluído ")</f>
        <v>0</v>
      </c>
    </row>
    <row r="447" spans="1:27" x14ac:dyDescent="0.25">
      <c r="A447" t="str">
        <f>"OUT-"&amp;IFERROR(MID(Tabela4[[#This Row],[Cenário]],SEARCH("(",Tabela4[[#This Row],[Cenário]])+1,SEARCH(")",Tabela4[[#This Row],[Cenário]])-SEARCH("(",Tabela4[[#This Row],[Cenário]])-1),"")&amp;"_"&amp;ROW()</f>
        <v>OUT-Y202_447</v>
      </c>
      <c r="B447" t="s">
        <v>358</v>
      </c>
      <c r="C447" t="s">
        <v>615</v>
      </c>
      <c r="D447" t="s">
        <v>434</v>
      </c>
      <c r="E447">
        <v>5</v>
      </c>
      <c r="F447" t="s">
        <v>435</v>
      </c>
      <c r="G447" t="s">
        <v>287</v>
      </c>
      <c r="H447" s="13" t="s">
        <v>618</v>
      </c>
      <c r="I447" s="13"/>
      <c r="J447" s="13"/>
      <c r="K447" s="9" t="s">
        <v>271</v>
      </c>
      <c r="L447" s="78" t="s">
        <v>532</v>
      </c>
      <c r="N447" s="78">
        <v>45959</v>
      </c>
      <c r="O447" s="31"/>
      <c r="P447" s="9"/>
      <c r="Q447" s="9">
        <f>COUNTIF(Tabela4[[#All],[Cenário]],Tabela4[[#This Row],[Cenário]])</f>
        <v>8</v>
      </c>
      <c r="R447">
        <f>COUNTIFS(Tabela4[[#All],[Cenário]],Tabela4[[#This Row],[Cenário]],Tabela4[[#All],[Status]],"Keyuser - Concluído ")</f>
        <v>7</v>
      </c>
      <c r="S447" t="str">
        <f>IF(Tabela4[[#This Row],[Tarefas por Cenário]]-Tabela4[[#This Row],[Tarefas Concluídas]]&gt;0,"Não","Sim")</f>
        <v>Não</v>
      </c>
      <c r="T447">
        <f>COUNTIFS(Tabela4[[#All],[Cenário]],Tabela4[[#This Row],[Cenário]],Tabela4[[#All],[Status]],Tabela4[[#Headers],[Elo - Em correção ]])</f>
        <v>0</v>
      </c>
      <c r="U447">
        <f>COUNTIFS(Tabela4[[#All],[Cenário]],Tabela4[[#This Row],[Cenário]],Tabela4[[#All],[Status]],Tabela4[[#Headers],[Keyuser - Aguardando tarefa precedente]])</f>
        <v>0</v>
      </c>
      <c r="V447">
        <f>COUNTIFS(Tabela4[[#All],[Cenário]],Tabela4[[#This Row],[Cenário]],Tabela4[[#All],[Status]],Tabela4[[#Headers],[Não liberado  para testes]])</f>
        <v>1</v>
      </c>
      <c r="W447" t="str">
        <f>IF(Tabela4[[#This Row],[Elo - Em correção ]]&gt;0,"Sim","Não")</f>
        <v>Não</v>
      </c>
      <c r="X447" t="str">
        <f>IF(Tabela4[[#This Row],[Keyuser - Aguardando tarefa precedente]]&gt;0,"Sim","Não")</f>
        <v>Não</v>
      </c>
      <c r="Y447" t="str">
        <f>IF(Tabela4[[#This Row],[Não liberado  para testes]]&gt;0,"Sim","Não")</f>
        <v>Sim</v>
      </c>
      <c r="Z447" t="str">
        <f ca="1">IF(Tabela4[[#This Row],[Status]]="Keyuser - Pendente",NETWORKDAYS(Tabela4[[#This Row],[Dt Inicial]],TODAY()),"")</f>
        <v/>
      </c>
      <c r="AA447" t="b">
        <f>AND(Tabela4[[#This Row],[Status]]="Keyuser - Aguardando tarefa precedente",K446="Keyuser - Concluído ")</f>
        <v>0</v>
      </c>
    </row>
    <row r="448" spans="1:27" x14ac:dyDescent="0.25">
      <c r="A448" t="str">
        <f>"OUT-"&amp;IFERROR(MID(Tabela4[[#This Row],[Cenário]],SEARCH("(",Tabela4[[#This Row],[Cenário]])+1,SEARCH(")",Tabela4[[#This Row],[Cenário]])-SEARCH("(",Tabela4[[#This Row],[Cenário]])-1),"")&amp;"_"&amp;ROW()</f>
        <v>OUT-Y202_448</v>
      </c>
      <c r="B448" t="s">
        <v>358</v>
      </c>
      <c r="C448" t="s">
        <v>615</v>
      </c>
      <c r="D448" t="s">
        <v>373</v>
      </c>
      <c r="E448">
        <v>6</v>
      </c>
      <c r="F448" t="s">
        <v>373</v>
      </c>
      <c r="G448" t="s">
        <v>283</v>
      </c>
      <c r="H448" s="13" t="s">
        <v>618</v>
      </c>
      <c r="I448" s="13"/>
      <c r="J448" s="13"/>
      <c r="K448" s="9" t="s">
        <v>271</v>
      </c>
      <c r="L448" s="78" t="s">
        <v>533</v>
      </c>
      <c r="N448" s="78">
        <v>45960</v>
      </c>
      <c r="O448" s="31"/>
      <c r="P448" s="9"/>
      <c r="Q448" s="9">
        <f>COUNTIF(Tabela4[[#All],[Cenário]],Tabela4[[#This Row],[Cenário]])</f>
        <v>8</v>
      </c>
      <c r="R448">
        <f>COUNTIFS(Tabela4[[#All],[Cenário]],Tabela4[[#This Row],[Cenário]],Tabela4[[#All],[Status]],"Keyuser - Concluído ")</f>
        <v>7</v>
      </c>
      <c r="S448" t="str">
        <f>IF(Tabela4[[#This Row],[Tarefas por Cenário]]-Tabela4[[#This Row],[Tarefas Concluídas]]&gt;0,"Não","Sim")</f>
        <v>Não</v>
      </c>
      <c r="T448">
        <f>COUNTIFS(Tabela4[[#All],[Cenário]],Tabela4[[#This Row],[Cenário]],Tabela4[[#All],[Status]],Tabela4[[#Headers],[Elo - Em correção ]])</f>
        <v>0</v>
      </c>
      <c r="U448">
        <f>COUNTIFS(Tabela4[[#All],[Cenário]],Tabela4[[#This Row],[Cenário]],Tabela4[[#All],[Status]],Tabela4[[#Headers],[Keyuser - Aguardando tarefa precedente]])</f>
        <v>0</v>
      </c>
      <c r="V448">
        <f>COUNTIFS(Tabela4[[#All],[Cenário]],Tabela4[[#This Row],[Cenário]],Tabela4[[#All],[Status]],Tabela4[[#Headers],[Não liberado  para testes]])</f>
        <v>1</v>
      </c>
      <c r="W448" t="str">
        <f>IF(Tabela4[[#This Row],[Elo - Em correção ]]&gt;0,"Sim","Não")</f>
        <v>Não</v>
      </c>
      <c r="X448" t="str">
        <f>IF(Tabela4[[#This Row],[Keyuser - Aguardando tarefa precedente]]&gt;0,"Sim","Não")</f>
        <v>Não</v>
      </c>
      <c r="Y448" t="str">
        <f>IF(Tabela4[[#This Row],[Não liberado  para testes]]&gt;0,"Sim","Não")</f>
        <v>Sim</v>
      </c>
      <c r="Z448" t="str">
        <f ca="1">IF(Tabela4[[#This Row],[Status]]="Keyuser - Pendente",NETWORKDAYS(Tabela4[[#This Row],[Dt Inicial]],TODAY()),"")</f>
        <v/>
      </c>
      <c r="AA448" t="b">
        <f>AND(Tabela4[[#This Row],[Status]]="Keyuser - Aguardando tarefa precedente",K447="Keyuser - Concluído ")</f>
        <v>0</v>
      </c>
    </row>
    <row r="449" spans="1:27" x14ac:dyDescent="0.25">
      <c r="A449" t="str">
        <f>"OUT-"&amp;IFERROR(MID(Tabela4[[#This Row],[Cenário]],SEARCH("(",Tabela4[[#This Row],[Cenário]])+1,SEARCH(")",Tabela4[[#This Row],[Cenário]])-SEARCH("(",Tabela4[[#This Row],[Cenário]])-1),"")&amp;"_"&amp;ROW()</f>
        <v>OUT-Y202_449</v>
      </c>
      <c r="B449" t="s">
        <v>374</v>
      </c>
      <c r="C449" t="s">
        <v>615</v>
      </c>
      <c r="D449" t="s">
        <v>286</v>
      </c>
      <c r="E449">
        <v>7</v>
      </c>
      <c r="F449" t="s">
        <v>286</v>
      </c>
      <c r="G449" t="s">
        <v>287</v>
      </c>
      <c r="H449" s="13"/>
      <c r="I449" s="13"/>
      <c r="J449" s="13"/>
      <c r="K449" s="9" t="s">
        <v>262</v>
      </c>
      <c r="N449" s="78"/>
      <c r="O449" s="31"/>
      <c r="P449" s="9"/>
      <c r="Q449" s="9">
        <f>COUNTIF(Tabela4[[#All],[Cenário]],Tabela4[[#This Row],[Cenário]])</f>
        <v>8</v>
      </c>
      <c r="R449">
        <f>COUNTIFS(Tabela4[[#All],[Cenário]],Tabela4[[#This Row],[Cenário]],Tabela4[[#All],[Status]],"Keyuser - Concluído ")</f>
        <v>7</v>
      </c>
      <c r="S449" t="str">
        <f>IF(Tabela4[[#This Row],[Tarefas por Cenário]]-Tabela4[[#This Row],[Tarefas Concluídas]]&gt;0,"Não","Sim")</f>
        <v>Não</v>
      </c>
      <c r="T449">
        <f>COUNTIFS(Tabela4[[#All],[Cenário]],Tabela4[[#This Row],[Cenário]],Tabela4[[#All],[Status]],Tabela4[[#Headers],[Elo - Em correção ]])</f>
        <v>0</v>
      </c>
      <c r="U449">
        <f>COUNTIFS(Tabela4[[#All],[Cenário]],Tabela4[[#This Row],[Cenário]],Tabela4[[#All],[Status]],Tabela4[[#Headers],[Keyuser - Aguardando tarefa precedente]])</f>
        <v>0</v>
      </c>
      <c r="V449">
        <f>COUNTIFS(Tabela4[[#All],[Cenário]],Tabela4[[#This Row],[Cenário]],Tabela4[[#All],[Status]],Tabela4[[#Headers],[Não liberado  para testes]])</f>
        <v>1</v>
      </c>
      <c r="W449" t="str">
        <f>IF(Tabela4[[#This Row],[Elo - Em correção ]]&gt;0,"Sim","Não")</f>
        <v>Não</v>
      </c>
      <c r="X449" t="str">
        <f>IF(Tabela4[[#This Row],[Keyuser - Aguardando tarefa precedente]]&gt;0,"Sim","Não")</f>
        <v>Não</v>
      </c>
      <c r="Y449" t="str">
        <f>IF(Tabela4[[#This Row],[Não liberado  para testes]]&gt;0,"Sim","Não")</f>
        <v>Sim</v>
      </c>
      <c r="Z449" t="str">
        <f ca="1">IF(Tabela4[[#This Row],[Status]]="Keyuser - Pendente",NETWORKDAYS(Tabela4[[#This Row],[Dt Inicial]],TODAY()),"")</f>
        <v/>
      </c>
      <c r="AA449" t="b">
        <f>AND(Tabela4[[#This Row],[Status]]="Keyuser - Aguardando tarefa precedente",K448="Keyuser - Concluído ")</f>
        <v>0</v>
      </c>
    </row>
    <row r="450" spans="1:27" x14ac:dyDescent="0.25">
      <c r="A450" t="str">
        <f>"OUT-"&amp;IFERROR(MID(Tabela4[[#This Row],[Cenário]],SEARCH("(",Tabela4[[#This Row],[Cenário]])+1,SEARCH(")",Tabela4[[#This Row],[Cenário]])-SEARCH("(",Tabela4[[#This Row],[Cenário]])-1),"")&amp;"_"&amp;ROW()</f>
        <v>OUT-Y202_450</v>
      </c>
      <c r="B450" t="s">
        <v>358</v>
      </c>
      <c r="C450" t="s">
        <v>615</v>
      </c>
      <c r="D450" t="s">
        <v>375</v>
      </c>
      <c r="E450">
        <v>8</v>
      </c>
      <c r="F450" t="s">
        <v>375</v>
      </c>
      <c r="G450" t="s">
        <v>367</v>
      </c>
      <c r="H450" s="9">
        <v>15603658</v>
      </c>
      <c r="I450" s="13" t="s">
        <v>616</v>
      </c>
      <c r="J450" s="13" t="s">
        <v>364</v>
      </c>
      <c r="K450" s="9" t="s">
        <v>271</v>
      </c>
      <c r="L450" s="78">
        <v>45958</v>
      </c>
      <c r="N450" s="78">
        <v>45958</v>
      </c>
      <c r="O450" s="31"/>
      <c r="P450" s="9"/>
      <c r="Q450" s="9">
        <f>COUNTIF(Tabela4[[#All],[Cenário]],Tabela4[[#This Row],[Cenário]])</f>
        <v>8</v>
      </c>
      <c r="R450">
        <f>COUNTIFS(Tabela4[[#All],[Cenário]],Tabela4[[#This Row],[Cenário]],Tabela4[[#All],[Status]],"Keyuser - Concluído ")</f>
        <v>7</v>
      </c>
      <c r="S450" t="str">
        <f>IF(Tabela4[[#This Row],[Tarefas por Cenário]]-Tabela4[[#This Row],[Tarefas Concluídas]]&gt;0,"Não","Sim")</f>
        <v>Não</v>
      </c>
      <c r="T450">
        <f>COUNTIFS(Tabela4[[#All],[Cenário]],Tabela4[[#This Row],[Cenário]],Tabela4[[#All],[Status]],Tabela4[[#Headers],[Elo - Em correção ]])</f>
        <v>0</v>
      </c>
      <c r="U450">
        <f>COUNTIFS(Tabela4[[#All],[Cenário]],Tabela4[[#This Row],[Cenário]],Tabela4[[#All],[Status]],Tabela4[[#Headers],[Keyuser - Aguardando tarefa precedente]])</f>
        <v>0</v>
      </c>
      <c r="V450">
        <f>COUNTIFS(Tabela4[[#All],[Cenário]],Tabela4[[#This Row],[Cenário]],Tabela4[[#All],[Status]],Tabela4[[#Headers],[Não liberado  para testes]])</f>
        <v>1</v>
      </c>
      <c r="W450" t="str">
        <f>IF(Tabela4[[#This Row],[Elo - Em correção ]]&gt;0,"Sim","Não")</f>
        <v>Não</v>
      </c>
      <c r="X450" t="str">
        <f>IF(Tabela4[[#This Row],[Keyuser - Aguardando tarefa precedente]]&gt;0,"Sim","Não")</f>
        <v>Não</v>
      </c>
      <c r="Y450" t="str">
        <f>IF(Tabela4[[#This Row],[Não liberado  para testes]]&gt;0,"Sim","Não")</f>
        <v>Sim</v>
      </c>
      <c r="Z450" t="str">
        <f ca="1">IF(Tabela4[[#This Row],[Status]]="Keyuser - Pendente",NETWORKDAYS(Tabela4[[#This Row],[Dt Inicial]],TODAY()),"")</f>
        <v/>
      </c>
      <c r="AA450" t="b">
        <f>AND(Tabela4[[#This Row],[Status]]="Keyuser - Aguardando tarefa precedente",K449="Keyuser - Concluído ")</f>
        <v>0</v>
      </c>
    </row>
    <row r="451" spans="1:27" x14ac:dyDescent="0.25">
      <c r="A451" t="str">
        <f>"OUT-"&amp;IFERROR(MID(Tabela4[[#This Row],[Cenário]],SEARCH("(",Tabela4[[#This Row],[Cenário]])+1,SEARCH(")",Tabela4[[#This Row],[Cenário]])-SEARCH("(",Tabela4[[#This Row],[Cenário]])-1),"")&amp;"_"&amp;ROW()</f>
        <v>OUT-Y205_451</v>
      </c>
      <c r="B451" t="s">
        <v>358</v>
      </c>
      <c r="C451" t="s">
        <v>619</v>
      </c>
      <c r="D451" s="5" t="s">
        <v>360</v>
      </c>
      <c r="E451">
        <v>1</v>
      </c>
      <c r="F451" t="s">
        <v>360</v>
      </c>
      <c r="G451" t="s">
        <v>361</v>
      </c>
      <c r="H451" s="18">
        <v>15603656</v>
      </c>
      <c r="I451" s="13" t="s">
        <v>620</v>
      </c>
      <c r="J451" s="13" t="s">
        <v>364</v>
      </c>
      <c r="K451" s="9" t="s">
        <v>271</v>
      </c>
      <c r="L451" s="78" t="s">
        <v>617</v>
      </c>
      <c r="N451" s="78">
        <v>45957</v>
      </c>
      <c r="O451" s="31"/>
      <c r="P451" s="9"/>
      <c r="Q451" s="9">
        <f>COUNTIF(Tabela4[[#All],[Cenário]],Tabela4[[#This Row],[Cenário]])</f>
        <v>8</v>
      </c>
      <c r="R451">
        <f>COUNTIFS(Tabela4[[#All],[Cenário]],Tabela4[[#This Row],[Cenário]],Tabela4[[#All],[Status]],"Keyuser - Concluído ")</f>
        <v>7</v>
      </c>
      <c r="S451" t="str">
        <f>IF(Tabela4[[#This Row],[Tarefas por Cenário]]-Tabela4[[#This Row],[Tarefas Concluídas]]&gt;0,"Não","Sim")</f>
        <v>Não</v>
      </c>
      <c r="T451">
        <f>COUNTIFS(Tabela4[[#All],[Cenário]],Tabela4[[#This Row],[Cenário]],Tabela4[[#All],[Status]],Tabela4[[#Headers],[Elo - Em correção ]])</f>
        <v>0</v>
      </c>
      <c r="U451">
        <f>COUNTIFS(Tabela4[[#All],[Cenário]],Tabela4[[#This Row],[Cenário]],Tabela4[[#All],[Status]],Tabela4[[#Headers],[Keyuser - Aguardando tarefa precedente]])</f>
        <v>0</v>
      </c>
      <c r="V451">
        <f>COUNTIFS(Tabela4[[#All],[Cenário]],Tabela4[[#This Row],[Cenário]],Tabela4[[#All],[Status]],Tabela4[[#Headers],[Não liberado  para testes]])</f>
        <v>1</v>
      </c>
      <c r="W451" t="str">
        <f>IF(Tabela4[[#This Row],[Elo - Em correção ]]&gt;0,"Sim","Não")</f>
        <v>Não</v>
      </c>
      <c r="X451" t="str">
        <f>IF(Tabela4[[#This Row],[Keyuser - Aguardando tarefa precedente]]&gt;0,"Sim","Não")</f>
        <v>Não</v>
      </c>
      <c r="Y451" t="str">
        <f>IF(Tabela4[[#This Row],[Não liberado  para testes]]&gt;0,"Sim","Não")</f>
        <v>Sim</v>
      </c>
      <c r="Z451" t="str">
        <f ca="1">IF(Tabela4[[#This Row],[Status]]="Keyuser - Pendente",NETWORKDAYS(Tabela4[[#This Row],[Dt Inicial]],TODAY()),"")</f>
        <v/>
      </c>
      <c r="AA451" t="b">
        <f>AND(Tabela4[[#This Row],[Status]]="Keyuser - Aguardando tarefa precedente",K450="Keyuser - Concluído ")</f>
        <v>0</v>
      </c>
    </row>
    <row r="452" spans="1:27" x14ac:dyDescent="0.25">
      <c r="A452" t="str">
        <f>"OUT-"&amp;IFERROR(MID(Tabela4[[#This Row],[Cenário]],SEARCH("(",Tabela4[[#This Row],[Cenário]])+1,SEARCH(")",Tabela4[[#This Row],[Cenário]])-SEARCH("(",Tabela4[[#This Row],[Cenário]])-1),"")&amp;"_"&amp;ROW()</f>
        <v>OUT-Y205_452</v>
      </c>
      <c r="B452" t="s">
        <v>358</v>
      </c>
      <c r="C452" t="s">
        <v>619</v>
      </c>
      <c r="D452" s="5" t="s">
        <v>365</v>
      </c>
      <c r="E452">
        <v>2</v>
      </c>
      <c r="F452" t="s">
        <v>365</v>
      </c>
      <c r="G452" t="s">
        <v>310</v>
      </c>
      <c r="H452" s="18">
        <v>15603656</v>
      </c>
      <c r="I452" s="13" t="s">
        <v>620</v>
      </c>
      <c r="J452" s="13" t="s">
        <v>364</v>
      </c>
      <c r="K452" s="9" t="s">
        <v>271</v>
      </c>
      <c r="L452" s="78" t="s">
        <v>617</v>
      </c>
      <c r="N452" s="78">
        <v>45957</v>
      </c>
      <c r="O452" s="31"/>
      <c r="P452" s="9"/>
      <c r="Q452" s="9">
        <f>COUNTIF(Tabela4[[#All],[Cenário]],Tabela4[[#This Row],[Cenário]])</f>
        <v>8</v>
      </c>
      <c r="R452">
        <f>COUNTIFS(Tabela4[[#All],[Cenário]],Tabela4[[#This Row],[Cenário]],Tabela4[[#All],[Status]],"Keyuser - Concluído ")</f>
        <v>7</v>
      </c>
      <c r="S452" t="str">
        <f>IF(Tabela4[[#This Row],[Tarefas por Cenário]]-Tabela4[[#This Row],[Tarefas Concluídas]]&gt;0,"Não","Sim")</f>
        <v>Não</v>
      </c>
      <c r="T452">
        <f>COUNTIFS(Tabela4[[#All],[Cenário]],Tabela4[[#This Row],[Cenário]],Tabela4[[#All],[Status]],Tabela4[[#Headers],[Elo - Em correção ]])</f>
        <v>0</v>
      </c>
      <c r="U452">
        <f>COUNTIFS(Tabela4[[#All],[Cenário]],Tabela4[[#This Row],[Cenário]],Tabela4[[#All],[Status]],Tabela4[[#Headers],[Keyuser - Aguardando tarefa precedente]])</f>
        <v>0</v>
      </c>
      <c r="V452">
        <f>COUNTIFS(Tabela4[[#All],[Cenário]],Tabela4[[#This Row],[Cenário]],Tabela4[[#All],[Status]],Tabela4[[#Headers],[Não liberado  para testes]])</f>
        <v>1</v>
      </c>
      <c r="W452" t="str">
        <f>IF(Tabela4[[#This Row],[Elo - Em correção ]]&gt;0,"Sim","Não")</f>
        <v>Não</v>
      </c>
      <c r="X452" t="str">
        <f>IF(Tabela4[[#This Row],[Keyuser - Aguardando tarefa precedente]]&gt;0,"Sim","Não")</f>
        <v>Não</v>
      </c>
      <c r="Y452" t="str">
        <f>IF(Tabela4[[#This Row],[Não liberado  para testes]]&gt;0,"Sim","Não")</f>
        <v>Sim</v>
      </c>
      <c r="Z452" t="str">
        <f ca="1">IF(Tabela4[[#This Row],[Status]]="Keyuser - Pendente",NETWORKDAYS(Tabela4[[#This Row],[Dt Inicial]],TODAY()),"")</f>
        <v/>
      </c>
      <c r="AA452" t="b">
        <f>AND(Tabela4[[#This Row],[Status]]="Keyuser - Aguardando tarefa precedente",K451="Keyuser - Concluído ")</f>
        <v>0</v>
      </c>
    </row>
    <row r="453" spans="1:27" x14ac:dyDescent="0.25">
      <c r="A453" t="str">
        <f>"OUT-"&amp;IFERROR(MID(Tabela4[[#This Row],[Cenário]],SEARCH("(",Tabela4[[#This Row],[Cenário]])+1,SEARCH(")",Tabela4[[#This Row],[Cenário]])-SEARCH("(",Tabela4[[#This Row],[Cenário]])-1),"")&amp;"_"&amp;ROW()</f>
        <v>OUT-Y205_453</v>
      </c>
      <c r="B453" t="s">
        <v>358</v>
      </c>
      <c r="C453" t="s">
        <v>619</v>
      </c>
      <c r="D453" s="5" t="s">
        <v>366</v>
      </c>
      <c r="E453">
        <v>3</v>
      </c>
      <c r="F453" t="s">
        <v>366</v>
      </c>
      <c r="G453" t="s">
        <v>367</v>
      </c>
      <c r="H453" s="18">
        <v>15603656</v>
      </c>
      <c r="I453" s="13" t="s">
        <v>620</v>
      </c>
      <c r="J453" s="13" t="s">
        <v>364</v>
      </c>
      <c r="K453" s="9" t="s">
        <v>271</v>
      </c>
      <c r="L453" s="78">
        <v>45958</v>
      </c>
      <c r="N453" s="78">
        <v>45958</v>
      </c>
      <c r="O453" s="31"/>
      <c r="P453" s="9"/>
      <c r="Q453" s="9">
        <f>COUNTIF(Tabela4[[#All],[Cenário]],Tabela4[[#This Row],[Cenário]])</f>
        <v>8</v>
      </c>
      <c r="R453">
        <f>COUNTIFS(Tabela4[[#All],[Cenário]],Tabela4[[#This Row],[Cenário]],Tabela4[[#All],[Status]],"Keyuser - Concluído ")</f>
        <v>7</v>
      </c>
      <c r="S453" t="str">
        <f>IF(Tabela4[[#This Row],[Tarefas por Cenário]]-Tabela4[[#This Row],[Tarefas Concluídas]]&gt;0,"Não","Sim")</f>
        <v>Não</v>
      </c>
      <c r="T453">
        <f>COUNTIFS(Tabela4[[#All],[Cenário]],Tabela4[[#This Row],[Cenário]],Tabela4[[#All],[Status]],Tabela4[[#Headers],[Elo - Em correção ]])</f>
        <v>0</v>
      </c>
      <c r="U453">
        <f>COUNTIFS(Tabela4[[#All],[Cenário]],Tabela4[[#This Row],[Cenário]],Tabela4[[#All],[Status]],Tabela4[[#Headers],[Keyuser - Aguardando tarefa precedente]])</f>
        <v>0</v>
      </c>
      <c r="V453">
        <f>COUNTIFS(Tabela4[[#All],[Cenário]],Tabela4[[#This Row],[Cenário]],Tabela4[[#All],[Status]],Tabela4[[#Headers],[Não liberado  para testes]])</f>
        <v>1</v>
      </c>
      <c r="W453" t="str">
        <f>IF(Tabela4[[#This Row],[Elo - Em correção ]]&gt;0,"Sim","Não")</f>
        <v>Não</v>
      </c>
      <c r="X453" t="str">
        <f>IF(Tabela4[[#This Row],[Keyuser - Aguardando tarefa precedente]]&gt;0,"Sim","Não")</f>
        <v>Não</v>
      </c>
      <c r="Y453" t="str">
        <f>IF(Tabela4[[#This Row],[Não liberado  para testes]]&gt;0,"Sim","Não")</f>
        <v>Sim</v>
      </c>
      <c r="Z453" t="str">
        <f ca="1">IF(Tabela4[[#This Row],[Status]]="Keyuser - Pendente",NETWORKDAYS(Tabela4[[#This Row],[Dt Inicial]],TODAY()),"")</f>
        <v/>
      </c>
      <c r="AA453" t="b">
        <f>AND(Tabela4[[#This Row],[Status]]="Keyuser - Aguardando tarefa precedente",K452="Keyuser - Concluído ")</f>
        <v>0</v>
      </c>
    </row>
    <row r="454" spans="1:27" x14ac:dyDescent="0.25">
      <c r="A454" t="str">
        <f>"OUT-"&amp;IFERROR(MID(Tabela4[[#This Row],[Cenário]],SEARCH("(",Tabela4[[#This Row],[Cenário]])+1,SEARCH(")",Tabela4[[#This Row],[Cenário]])-SEARCH("(",Tabela4[[#This Row],[Cenário]])-1),"")&amp;"_"&amp;ROW()</f>
        <v>OUT-Y205_454</v>
      </c>
      <c r="B454" t="s">
        <v>358</v>
      </c>
      <c r="C454" t="s">
        <v>619</v>
      </c>
      <c r="D454" s="5" t="s">
        <v>368</v>
      </c>
      <c r="E454">
        <v>4</v>
      </c>
      <c r="F454" t="s">
        <v>368</v>
      </c>
      <c r="G454" t="s">
        <v>369</v>
      </c>
      <c r="H454" s="13" t="s">
        <v>621</v>
      </c>
      <c r="I454" s="13"/>
      <c r="J454" s="13" t="s">
        <v>364</v>
      </c>
      <c r="K454" s="9" t="s">
        <v>271</v>
      </c>
      <c r="L454" s="78">
        <v>45961</v>
      </c>
      <c r="N454" s="78">
        <v>45961</v>
      </c>
      <c r="O454" s="48"/>
      <c r="P454" s="9"/>
      <c r="Q454" s="9">
        <f>COUNTIF(Tabela4[[#All],[Cenário]],Tabela4[[#This Row],[Cenário]])</f>
        <v>8</v>
      </c>
      <c r="R454">
        <f>COUNTIFS(Tabela4[[#All],[Cenário]],Tabela4[[#This Row],[Cenário]],Tabela4[[#All],[Status]],"Keyuser - Concluído ")</f>
        <v>7</v>
      </c>
      <c r="S454" t="str">
        <f>IF(Tabela4[[#This Row],[Tarefas por Cenário]]-Tabela4[[#This Row],[Tarefas Concluídas]]&gt;0,"Não","Sim")</f>
        <v>Não</v>
      </c>
      <c r="T454">
        <f>COUNTIFS(Tabela4[[#All],[Cenário]],Tabela4[[#This Row],[Cenário]],Tabela4[[#All],[Status]],Tabela4[[#Headers],[Elo - Em correção ]])</f>
        <v>0</v>
      </c>
      <c r="U454">
        <f>COUNTIFS(Tabela4[[#All],[Cenário]],Tabela4[[#This Row],[Cenário]],Tabela4[[#All],[Status]],Tabela4[[#Headers],[Keyuser - Aguardando tarefa precedente]])</f>
        <v>0</v>
      </c>
      <c r="V454">
        <f>COUNTIFS(Tabela4[[#All],[Cenário]],Tabela4[[#This Row],[Cenário]],Tabela4[[#All],[Status]],Tabela4[[#Headers],[Não liberado  para testes]])</f>
        <v>1</v>
      </c>
      <c r="W454" t="str">
        <f>IF(Tabela4[[#This Row],[Elo - Em correção ]]&gt;0,"Sim","Não")</f>
        <v>Não</v>
      </c>
      <c r="X454" t="str">
        <f>IF(Tabela4[[#This Row],[Keyuser - Aguardando tarefa precedente]]&gt;0,"Sim","Não")</f>
        <v>Não</v>
      </c>
      <c r="Y454" t="str">
        <f>IF(Tabela4[[#This Row],[Não liberado  para testes]]&gt;0,"Sim","Não")</f>
        <v>Sim</v>
      </c>
      <c r="Z454" t="str">
        <f ca="1">IF(Tabela4[[#This Row],[Status]]="Keyuser - Pendente",NETWORKDAYS(Tabela4[[#This Row],[Dt Inicial]],TODAY()),"")</f>
        <v/>
      </c>
      <c r="AA454" t="b">
        <f>AND(Tabela4[[#This Row],[Status]]="Keyuser - Aguardando tarefa precedente",K453="Keyuser - Concluído ")</f>
        <v>0</v>
      </c>
    </row>
    <row r="455" spans="1:27" x14ac:dyDescent="0.25">
      <c r="A455" t="str">
        <f>"OUT-"&amp;IFERROR(MID(Tabela4[[#This Row],[Cenário]],SEARCH("(",Tabela4[[#This Row],[Cenário]])+1,SEARCH(")",Tabela4[[#This Row],[Cenário]])-SEARCH("(",Tabela4[[#This Row],[Cenário]])-1),"")&amp;"_"&amp;ROW()</f>
        <v>OUT-Y205_455</v>
      </c>
      <c r="B455" t="s">
        <v>358</v>
      </c>
      <c r="C455" t="s">
        <v>619</v>
      </c>
      <c r="D455" s="5" t="s">
        <v>371</v>
      </c>
      <c r="E455">
        <v>5</v>
      </c>
      <c r="F455" t="s">
        <v>435</v>
      </c>
      <c r="G455" t="s">
        <v>287</v>
      </c>
      <c r="H455" s="13" t="s">
        <v>621</v>
      </c>
      <c r="I455" s="13"/>
      <c r="J455" s="13" t="s">
        <v>364</v>
      </c>
      <c r="K455" s="9" t="s">
        <v>271</v>
      </c>
      <c r="L455" s="78">
        <v>45968</v>
      </c>
      <c r="N455" s="78">
        <v>45968</v>
      </c>
      <c r="O455" s="31" t="s">
        <v>622</v>
      </c>
      <c r="P455" s="9"/>
      <c r="Q455" s="9">
        <f>COUNTIF(Tabela4[[#All],[Cenário]],Tabela4[[#This Row],[Cenário]])</f>
        <v>8</v>
      </c>
      <c r="R455">
        <f>COUNTIFS(Tabela4[[#All],[Cenário]],Tabela4[[#This Row],[Cenário]],Tabela4[[#All],[Status]],"Keyuser - Concluído ")</f>
        <v>7</v>
      </c>
      <c r="S455" t="str">
        <f>IF(Tabela4[[#This Row],[Tarefas por Cenário]]-Tabela4[[#This Row],[Tarefas Concluídas]]&gt;0,"Não","Sim")</f>
        <v>Não</v>
      </c>
      <c r="T455">
        <f>COUNTIFS(Tabela4[[#All],[Cenário]],Tabela4[[#This Row],[Cenário]],Tabela4[[#All],[Status]],Tabela4[[#Headers],[Elo - Em correção ]])</f>
        <v>0</v>
      </c>
      <c r="U455">
        <f>COUNTIFS(Tabela4[[#All],[Cenário]],Tabela4[[#This Row],[Cenário]],Tabela4[[#All],[Status]],Tabela4[[#Headers],[Keyuser - Aguardando tarefa precedente]])</f>
        <v>0</v>
      </c>
      <c r="V455">
        <f>COUNTIFS(Tabela4[[#All],[Cenário]],Tabela4[[#This Row],[Cenário]],Tabela4[[#All],[Status]],Tabela4[[#Headers],[Não liberado  para testes]])</f>
        <v>1</v>
      </c>
      <c r="W455" t="str">
        <f>IF(Tabela4[[#This Row],[Elo - Em correção ]]&gt;0,"Sim","Não")</f>
        <v>Não</v>
      </c>
      <c r="X455" t="str">
        <f>IF(Tabela4[[#This Row],[Keyuser - Aguardando tarefa precedente]]&gt;0,"Sim","Não")</f>
        <v>Não</v>
      </c>
      <c r="Y455" t="str">
        <f>IF(Tabela4[[#This Row],[Não liberado  para testes]]&gt;0,"Sim","Não")</f>
        <v>Sim</v>
      </c>
      <c r="Z455" t="str">
        <f ca="1">IF(Tabela4[[#This Row],[Status]]="Keyuser - Pendente",NETWORKDAYS(Tabela4[[#This Row],[Dt Inicial]],TODAY()),"")</f>
        <v/>
      </c>
      <c r="AA455" t="b">
        <f>AND(Tabela4[[#This Row],[Status]]="Keyuser - Aguardando tarefa precedente",K454="Keyuser - Concluído ")</f>
        <v>0</v>
      </c>
    </row>
    <row r="456" spans="1:27" x14ac:dyDescent="0.25">
      <c r="A456" t="str">
        <f>"OUT-"&amp;IFERROR(MID(Tabela4[[#This Row],[Cenário]],SEARCH("(",Tabela4[[#This Row],[Cenário]])+1,SEARCH(")",Tabela4[[#This Row],[Cenário]])-SEARCH("(",Tabela4[[#This Row],[Cenário]])-1),"")&amp;"_"&amp;ROW()</f>
        <v>OUT-Y205_456</v>
      </c>
      <c r="B456" t="s">
        <v>358</v>
      </c>
      <c r="C456" t="s">
        <v>619</v>
      </c>
      <c r="D456" s="5" t="s">
        <v>373</v>
      </c>
      <c r="E456">
        <v>6</v>
      </c>
      <c r="F456" t="s">
        <v>373</v>
      </c>
      <c r="G456" t="s">
        <v>283</v>
      </c>
      <c r="H456" s="13" t="s">
        <v>621</v>
      </c>
      <c r="I456" s="13"/>
      <c r="J456" s="13"/>
      <c r="K456" s="9" t="s">
        <v>271</v>
      </c>
      <c r="L456" s="78">
        <v>45941</v>
      </c>
      <c r="N456" s="78">
        <v>45941</v>
      </c>
      <c r="O456" s="31"/>
      <c r="P456" s="9"/>
      <c r="Q456" s="9">
        <f>COUNTIF(Tabela4[[#All],[Cenário]],Tabela4[[#This Row],[Cenário]])</f>
        <v>8</v>
      </c>
      <c r="R456">
        <f>COUNTIFS(Tabela4[[#All],[Cenário]],Tabela4[[#This Row],[Cenário]],Tabela4[[#All],[Status]],"Keyuser - Concluído ")</f>
        <v>7</v>
      </c>
      <c r="S456" t="str">
        <f>IF(Tabela4[[#This Row],[Tarefas por Cenário]]-Tabela4[[#This Row],[Tarefas Concluídas]]&gt;0,"Não","Sim")</f>
        <v>Não</v>
      </c>
      <c r="T456">
        <f>COUNTIFS(Tabela4[[#All],[Cenário]],Tabela4[[#This Row],[Cenário]],Tabela4[[#All],[Status]],Tabela4[[#Headers],[Elo - Em correção ]])</f>
        <v>0</v>
      </c>
      <c r="U456">
        <f>COUNTIFS(Tabela4[[#All],[Cenário]],Tabela4[[#This Row],[Cenário]],Tabela4[[#All],[Status]],Tabela4[[#Headers],[Keyuser - Aguardando tarefa precedente]])</f>
        <v>0</v>
      </c>
      <c r="V456">
        <f>COUNTIFS(Tabela4[[#All],[Cenário]],Tabela4[[#This Row],[Cenário]],Tabela4[[#All],[Status]],Tabela4[[#Headers],[Não liberado  para testes]])</f>
        <v>1</v>
      </c>
      <c r="W456" t="str">
        <f>IF(Tabela4[[#This Row],[Elo - Em correção ]]&gt;0,"Sim","Não")</f>
        <v>Não</v>
      </c>
      <c r="X456" t="str">
        <f>IF(Tabela4[[#This Row],[Keyuser - Aguardando tarefa precedente]]&gt;0,"Sim","Não")</f>
        <v>Não</v>
      </c>
      <c r="Y456" t="str">
        <f>IF(Tabela4[[#This Row],[Não liberado  para testes]]&gt;0,"Sim","Não")</f>
        <v>Sim</v>
      </c>
      <c r="Z456" t="str">
        <f ca="1">IF(Tabela4[[#This Row],[Status]]="Keyuser - Pendente",NETWORKDAYS(Tabela4[[#This Row],[Dt Inicial]],TODAY()),"")</f>
        <v/>
      </c>
      <c r="AA456" t="b">
        <f>AND(Tabela4[[#This Row],[Status]]="Keyuser - Aguardando tarefa precedente",K455="Keyuser - Concluído ")</f>
        <v>0</v>
      </c>
    </row>
    <row r="457" spans="1:27" x14ac:dyDescent="0.25">
      <c r="A457" t="str">
        <f>"OUT-"&amp;IFERROR(MID(Tabela4[[#This Row],[Cenário]],SEARCH("(",Tabela4[[#This Row],[Cenário]])+1,SEARCH(")",Tabela4[[#This Row],[Cenário]])-SEARCH("(",Tabela4[[#This Row],[Cenário]])-1),"")&amp;"_"&amp;ROW()</f>
        <v>OUT-Y205_457</v>
      </c>
      <c r="B457" t="s">
        <v>374</v>
      </c>
      <c r="C457" t="s">
        <v>619</v>
      </c>
      <c r="D457" s="5" t="s">
        <v>286</v>
      </c>
      <c r="E457">
        <v>7</v>
      </c>
      <c r="F457" t="s">
        <v>286</v>
      </c>
      <c r="G457" t="s">
        <v>287</v>
      </c>
      <c r="H457" s="13"/>
      <c r="I457" s="13"/>
      <c r="J457" s="13"/>
      <c r="K457" s="9" t="s">
        <v>262</v>
      </c>
      <c r="N457" s="78"/>
      <c r="O457" s="31"/>
      <c r="P457" s="9"/>
      <c r="Q457" s="9">
        <f>COUNTIF(Tabela4[[#All],[Cenário]],Tabela4[[#This Row],[Cenário]])</f>
        <v>8</v>
      </c>
      <c r="R457">
        <f>COUNTIFS(Tabela4[[#All],[Cenário]],Tabela4[[#This Row],[Cenário]],Tabela4[[#All],[Status]],"Keyuser - Concluído ")</f>
        <v>7</v>
      </c>
      <c r="S457" t="str">
        <f>IF(Tabela4[[#This Row],[Tarefas por Cenário]]-Tabela4[[#This Row],[Tarefas Concluídas]]&gt;0,"Não","Sim")</f>
        <v>Não</v>
      </c>
      <c r="T457">
        <f>COUNTIFS(Tabela4[[#All],[Cenário]],Tabela4[[#This Row],[Cenário]],Tabela4[[#All],[Status]],Tabela4[[#Headers],[Elo - Em correção ]])</f>
        <v>0</v>
      </c>
      <c r="U457">
        <f>COUNTIFS(Tabela4[[#All],[Cenário]],Tabela4[[#This Row],[Cenário]],Tabela4[[#All],[Status]],Tabela4[[#Headers],[Keyuser - Aguardando tarefa precedente]])</f>
        <v>0</v>
      </c>
      <c r="V457">
        <f>COUNTIFS(Tabela4[[#All],[Cenário]],Tabela4[[#This Row],[Cenário]],Tabela4[[#All],[Status]],Tabela4[[#Headers],[Não liberado  para testes]])</f>
        <v>1</v>
      </c>
      <c r="W457" t="str">
        <f>IF(Tabela4[[#This Row],[Elo - Em correção ]]&gt;0,"Sim","Não")</f>
        <v>Não</v>
      </c>
      <c r="X457" t="str">
        <f>IF(Tabela4[[#This Row],[Keyuser - Aguardando tarefa precedente]]&gt;0,"Sim","Não")</f>
        <v>Não</v>
      </c>
      <c r="Y457" t="str">
        <f>IF(Tabela4[[#This Row],[Não liberado  para testes]]&gt;0,"Sim","Não")</f>
        <v>Sim</v>
      </c>
      <c r="Z457" t="str">
        <f ca="1">IF(Tabela4[[#This Row],[Status]]="Keyuser - Pendente",NETWORKDAYS(Tabela4[[#This Row],[Dt Inicial]],TODAY()),"")</f>
        <v/>
      </c>
      <c r="AA457" t="b">
        <f>AND(Tabela4[[#This Row],[Status]]="Keyuser - Aguardando tarefa precedente",K456="Keyuser - Concluído ")</f>
        <v>0</v>
      </c>
    </row>
    <row r="458" spans="1:27" x14ac:dyDescent="0.25">
      <c r="A458" t="str">
        <f>"OUT-"&amp;IFERROR(MID(Tabela4[[#This Row],[Cenário]],SEARCH("(",Tabela4[[#This Row],[Cenário]])+1,SEARCH(")",Tabela4[[#This Row],[Cenário]])-SEARCH("(",Tabela4[[#This Row],[Cenário]])-1),"")&amp;"_"&amp;ROW()</f>
        <v>OUT-Y205_458</v>
      </c>
      <c r="B458" t="s">
        <v>358</v>
      </c>
      <c r="C458" t="s">
        <v>619</v>
      </c>
      <c r="D458" s="5" t="s">
        <v>375</v>
      </c>
      <c r="E458">
        <v>8</v>
      </c>
      <c r="F458" t="s">
        <v>375</v>
      </c>
      <c r="G458" t="s">
        <v>367</v>
      </c>
      <c r="H458" s="18">
        <v>15603656</v>
      </c>
      <c r="I458" s="13" t="s">
        <v>620</v>
      </c>
      <c r="J458" s="13"/>
      <c r="K458" s="9" t="s">
        <v>271</v>
      </c>
      <c r="L458" s="78">
        <v>45973</v>
      </c>
      <c r="N458" s="78">
        <v>45973</v>
      </c>
      <c r="O458" s="31"/>
      <c r="P458" s="9"/>
      <c r="Q458" s="9">
        <f>COUNTIF(Tabela4[[#All],[Cenário]],Tabela4[[#This Row],[Cenário]])</f>
        <v>8</v>
      </c>
      <c r="R458">
        <f>COUNTIFS(Tabela4[[#All],[Cenário]],Tabela4[[#This Row],[Cenário]],Tabela4[[#All],[Status]],"Keyuser - Concluído ")</f>
        <v>7</v>
      </c>
      <c r="S458" t="str">
        <f>IF(Tabela4[[#This Row],[Tarefas por Cenário]]-Tabela4[[#This Row],[Tarefas Concluídas]]&gt;0,"Não","Sim")</f>
        <v>Não</v>
      </c>
      <c r="T458">
        <f>COUNTIFS(Tabela4[[#All],[Cenário]],Tabela4[[#This Row],[Cenário]],Tabela4[[#All],[Status]],Tabela4[[#Headers],[Elo - Em correção ]])</f>
        <v>0</v>
      </c>
      <c r="U458">
        <f>COUNTIFS(Tabela4[[#All],[Cenário]],Tabela4[[#This Row],[Cenário]],Tabela4[[#All],[Status]],Tabela4[[#Headers],[Keyuser - Aguardando tarefa precedente]])</f>
        <v>0</v>
      </c>
      <c r="V458">
        <f>COUNTIFS(Tabela4[[#All],[Cenário]],Tabela4[[#This Row],[Cenário]],Tabela4[[#All],[Status]],Tabela4[[#Headers],[Não liberado  para testes]])</f>
        <v>1</v>
      </c>
      <c r="W458" t="str">
        <f>IF(Tabela4[[#This Row],[Elo - Em correção ]]&gt;0,"Sim","Não")</f>
        <v>Não</v>
      </c>
      <c r="X458" t="str">
        <f>IF(Tabela4[[#This Row],[Keyuser - Aguardando tarefa precedente]]&gt;0,"Sim","Não")</f>
        <v>Não</v>
      </c>
      <c r="Y458" t="str">
        <f>IF(Tabela4[[#This Row],[Não liberado  para testes]]&gt;0,"Sim","Não")</f>
        <v>Sim</v>
      </c>
      <c r="Z458" t="str">
        <f ca="1">IF(Tabela4[[#This Row],[Status]]="Keyuser - Pendente",NETWORKDAYS(Tabela4[[#This Row],[Dt Inicial]],TODAY()),"")</f>
        <v/>
      </c>
      <c r="AA458" t="b">
        <f>AND(Tabela4[[#This Row],[Status]]="Keyuser - Aguardando tarefa precedente",K457="Keyuser - Concluído ")</f>
        <v>0</v>
      </c>
    </row>
    <row r="459" spans="1:27" x14ac:dyDescent="0.25">
      <c r="A459" t="str">
        <f>"OUT-"&amp;IFERROR(MID(Tabela4[[#This Row],[Cenário]],SEARCH("(",Tabela4[[#This Row],[Cenário]])+1,SEARCH(")",Tabela4[[#This Row],[Cenário]])-SEARCH("(",Tabela4[[#This Row],[Cenário]])-1),"")&amp;"_"&amp;ROW()</f>
        <v>OUT-Y202_459</v>
      </c>
      <c r="B459" t="s">
        <v>358</v>
      </c>
      <c r="C459" t="s">
        <v>623</v>
      </c>
      <c r="D459" s="5" t="s">
        <v>360</v>
      </c>
      <c r="E459">
        <v>1</v>
      </c>
      <c r="F459" t="s">
        <v>360</v>
      </c>
      <c r="G459" t="s">
        <v>361</v>
      </c>
      <c r="H459" s="9">
        <v>15603623</v>
      </c>
      <c r="I459" s="13" t="s">
        <v>624</v>
      </c>
      <c r="J459" s="13" t="s">
        <v>364</v>
      </c>
      <c r="K459" s="9" t="s">
        <v>271</v>
      </c>
      <c r="L459" s="78">
        <v>45950</v>
      </c>
      <c r="N459" s="78">
        <v>45950</v>
      </c>
      <c r="O459" s="31"/>
      <c r="P459" s="9"/>
      <c r="Q459" s="9">
        <f>COUNTIF(Tabela4[[#All],[Cenário]],Tabela4[[#This Row],[Cenário]])</f>
        <v>8</v>
      </c>
      <c r="R459">
        <f>COUNTIFS(Tabela4[[#All],[Cenário]],Tabela4[[#This Row],[Cenário]],Tabela4[[#All],[Status]],"Keyuser - Concluído ")</f>
        <v>7</v>
      </c>
      <c r="S459" t="str">
        <f>IF(Tabela4[[#This Row],[Tarefas por Cenário]]-Tabela4[[#This Row],[Tarefas Concluídas]]&gt;0,"Não","Sim")</f>
        <v>Não</v>
      </c>
      <c r="T459">
        <f>COUNTIFS(Tabela4[[#All],[Cenário]],Tabela4[[#This Row],[Cenário]],Tabela4[[#All],[Status]],Tabela4[[#Headers],[Elo - Em correção ]])</f>
        <v>0</v>
      </c>
      <c r="U459">
        <f>COUNTIFS(Tabela4[[#All],[Cenário]],Tabela4[[#This Row],[Cenário]],Tabela4[[#All],[Status]],Tabela4[[#Headers],[Keyuser - Aguardando tarefa precedente]])</f>
        <v>0</v>
      </c>
      <c r="V459">
        <f>COUNTIFS(Tabela4[[#All],[Cenário]],Tabela4[[#This Row],[Cenário]],Tabela4[[#All],[Status]],Tabela4[[#Headers],[Não liberado  para testes]])</f>
        <v>1</v>
      </c>
      <c r="W459" t="str">
        <f>IF(Tabela4[[#This Row],[Elo - Em correção ]]&gt;0,"Sim","Não")</f>
        <v>Não</v>
      </c>
      <c r="X459" t="str">
        <f>IF(Tabela4[[#This Row],[Keyuser - Aguardando tarefa precedente]]&gt;0,"Sim","Não")</f>
        <v>Não</v>
      </c>
      <c r="Y459" t="str">
        <f>IF(Tabela4[[#This Row],[Não liberado  para testes]]&gt;0,"Sim","Não")</f>
        <v>Sim</v>
      </c>
      <c r="Z459" t="str">
        <f ca="1">IF(Tabela4[[#This Row],[Status]]="Keyuser - Pendente",NETWORKDAYS(Tabela4[[#This Row],[Dt Inicial]],TODAY()),"")</f>
        <v/>
      </c>
      <c r="AA459" t="b">
        <f>AND(Tabela4[[#This Row],[Status]]="Keyuser - Aguardando tarefa precedente",K458="Keyuser - Concluído ")</f>
        <v>0</v>
      </c>
    </row>
    <row r="460" spans="1:27" x14ac:dyDescent="0.25">
      <c r="A460" t="str">
        <f>"OUT-"&amp;IFERROR(MID(Tabela4[[#This Row],[Cenário]],SEARCH("(",Tabela4[[#This Row],[Cenário]])+1,SEARCH(")",Tabela4[[#This Row],[Cenário]])-SEARCH("(",Tabela4[[#This Row],[Cenário]])-1),"")&amp;"_"&amp;ROW()</f>
        <v>OUT-Y202_460</v>
      </c>
      <c r="B460" t="s">
        <v>358</v>
      </c>
      <c r="C460" t="s">
        <v>623</v>
      </c>
      <c r="D460" s="5" t="s">
        <v>365</v>
      </c>
      <c r="E460">
        <v>2</v>
      </c>
      <c r="F460" t="s">
        <v>365</v>
      </c>
      <c r="G460" t="s">
        <v>310</v>
      </c>
      <c r="H460" s="9">
        <v>15603623</v>
      </c>
      <c r="I460" s="13" t="s">
        <v>624</v>
      </c>
      <c r="J460" s="13" t="s">
        <v>364</v>
      </c>
      <c r="K460" s="9" t="s">
        <v>271</v>
      </c>
      <c r="L460" s="78">
        <v>45950</v>
      </c>
      <c r="N460" s="78">
        <v>45950</v>
      </c>
      <c r="O460" s="31"/>
      <c r="P460" s="9"/>
      <c r="Q460" s="9">
        <f>COUNTIF(Tabela4[[#All],[Cenário]],Tabela4[[#This Row],[Cenário]])</f>
        <v>8</v>
      </c>
      <c r="R460">
        <f>COUNTIFS(Tabela4[[#All],[Cenário]],Tabela4[[#This Row],[Cenário]],Tabela4[[#All],[Status]],"Keyuser - Concluído ")</f>
        <v>7</v>
      </c>
      <c r="S460" t="str">
        <f>IF(Tabela4[[#This Row],[Tarefas por Cenário]]-Tabela4[[#This Row],[Tarefas Concluídas]]&gt;0,"Não","Sim")</f>
        <v>Não</v>
      </c>
      <c r="T460">
        <f>COUNTIFS(Tabela4[[#All],[Cenário]],Tabela4[[#This Row],[Cenário]],Tabela4[[#All],[Status]],Tabela4[[#Headers],[Elo - Em correção ]])</f>
        <v>0</v>
      </c>
      <c r="U460">
        <f>COUNTIFS(Tabela4[[#All],[Cenário]],Tabela4[[#This Row],[Cenário]],Tabela4[[#All],[Status]],Tabela4[[#Headers],[Keyuser - Aguardando tarefa precedente]])</f>
        <v>0</v>
      </c>
      <c r="V460">
        <f>COUNTIFS(Tabela4[[#All],[Cenário]],Tabela4[[#This Row],[Cenário]],Tabela4[[#All],[Status]],Tabela4[[#Headers],[Não liberado  para testes]])</f>
        <v>1</v>
      </c>
      <c r="W460" t="str">
        <f>IF(Tabela4[[#This Row],[Elo - Em correção ]]&gt;0,"Sim","Não")</f>
        <v>Não</v>
      </c>
      <c r="X460" t="str">
        <f>IF(Tabela4[[#This Row],[Keyuser - Aguardando tarefa precedente]]&gt;0,"Sim","Não")</f>
        <v>Não</v>
      </c>
      <c r="Y460" t="str">
        <f>IF(Tabela4[[#This Row],[Não liberado  para testes]]&gt;0,"Sim","Não")</f>
        <v>Sim</v>
      </c>
      <c r="Z460" t="str">
        <f ca="1">IF(Tabela4[[#This Row],[Status]]="Keyuser - Pendente",NETWORKDAYS(Tabela4[[#This Row],[Dt Inicial]],TODAY()),"")</f>
        <v/>
      </c>
      <c r="AA460" t="b">
        <f>AND(Tabela4[[#This Row],[Status]]="Keyuser - Aguardando tarefa precedente",K459="Keyuser - Concluído ")</f>
        <v>0</v>
      </c>
    </row>
    <row r="461" spans="1:27" x14ac:dyDescent="0.25">
      <c r="A461" t="str">
        <f>"OUT-"&amp;IFERROR(MID(Tabela4[[#This Row],[Cenário]],SEARCH("(",Tabela4[[#This Row],[Cenário]])+1,SEARCH(")",Tabela4[[#This Row],[Cenário]])-SEARCH("(",Tabela4[[#This Row],[Cenário]])-1),"")&amp;"_"&amp;ROW()</f>
        <v>OUT-Y202_461</v>
      </c>
      <c r="B461" t="s">
        <v>358</v>
      </c>
      <c r="C461" t="s">
        <v>623</v>
      </c>
      <c r="D461" s="5" t="s">
        <v>366</v>
      </c>
      <c r="E461">
        <v>3</v>
      </c>
      <c r="F461" t="s">
        <v>366</v>
      </c>
      <c r="G461" t="s">
        <v>367</v>
      </c>
      <c r="H461" s="9">
        <v>15603623</v>
      </c>
      <c r="I461" s="13" t="s">
        <v>624</v>
      </c>
      <c r="J461" s="13" t="s">
        <v>364</v>
      </c>
      <c r="K461" s="9" t="s">
        <v>271</v>
      </c>
      <c r="L461" s="78">
        <v>45950</v>
      </c>
      <c r="N461" s="78">
        <v>45950</v>
      </c>
      <c r="O461" s="31"/>
      <c r="P461" s="9"/>
      <c r="Q461" s="9">
        <f>COUNTIF(Tabela4[[#All],[Cenário]],Tabela4[[#This Row],[Cenário]])</f>
        <v>8</v>
      </c>
      <c r="R461">
        <f>COUNTIFS(Tabela4[[#All],[Cenário]],Tabela4[[#This Row],[Cenário]],Tabela4[[#All],[Status]],"Keyuser - Concluído ")</f>
        <v>7</v>
      </c>
      <c r="S461" t="str">
        <f>IF(Tabela4[[#This Row],[Tarefas por Cenário]]-Tabela4[[#This Row],[Tarefas Concluídas]]&gt;0,"Não","Sim")</f>
        <v>Não</v>
      </c>
      <c r="T461">
        <f>COUNTIFS(Tabela4[[#All],[Cenário]],Tabela4[[#This Row],[Cenário]],Tabela4[[#All],[Status]],Tabela4[[#Headers],[Elo - Em correção ]])</f>
        <v>0</v>
      </c>
      <c r="U461">
        <f>COUNTIFS(Tabela4[[#All],[Cenário]],Tabela4[[#This Row],[Cenário]],Tabela4[[#All],[Status]],Tabela4[[#Headers],[Keyuser - Aguardando tarefa precedente]])</f>
        <v>0</v>
      </c>
      <c r="V461">
        <f>COUNTIFS(Tabela4[[#All],[Cenário]],Tabela4[[#This Row],[Cenário]],Tabela4[[#All],[Status]],Tabela4[[#Headers],[Não liberado  para testes]])</f>
        <v>1</v>
      </c>
      <c r="W461" t="str">
        <f>IF(Tabela4[[#This Row],[Elo - Em correção ]]&gt;0,"Sim","Não")</f>
        <v>Não</v>
      </c>
      <c r="X461" t="str">
        <f>IF(Tabela4[[#This Row],[Keyuser - Aguardando tarefa precedente]]&gt;0,"Sim","Não")</f>
        <v>Não</v>
      </c>
      <c r="Y461" t="str">
        <f>IF(Tabela4[[#This Row],[Não liberado  para testes]]&gt;0,"Sim","Não")</f>
        <v>Sim</v>
      </c>
      <c r="Z461" t="str">
        <f ca="1">IF(Tabela4[[#This Row],[Status]]="Keyuser - Pendente",NETWORKDAYS(Tabela4[[#This Row],[Dt Inicial]],TODAY()),"")</f>
        <v/>
      </c>
      <c r="AA461" t="b">
        <f>AND(Tabela4[[#This Row],[Status]]="Keyuser - Aguardando tarefa precedente",K460="Keyuser - Concluído ")</f>
        <v>0</v>
      </c>
    </row>
    <row r="462" spans="1:27" x14ac:dyDescent="0.25">
      <c r="A462" t="str">
        <f>"OUT-"&amp;IFERROR(MID(Tabela4[[#This Row],[Cenário]],SEARCH("(",Tabela4[[#This Row],[Cenário]])+1,SEARCH(")",Tabela4[[#This Row],[Cenário]])-SEARCH("(",Tabela4[[#This Row],[Cenário]])-1),"")&amp;"_"&amp;ROW()</f>
        <v>OUT-Y202_462</v>
      </c>
      <c r="B462" t="s">
        <v>358</v>
      </c>
      <c r="C462" t="s">
        <v>623</v>
      </c>
      <c r="D462" s="5" t="s">
        <v>368</v>
      </c>
      <c r="E462">
        <v>4</v>
      </c>
      <c r="F462" t="s">
        <v>368</v>
      </c>
      <c r="G462" t="s">
        <v>369</v>
      </c>
      <c r="H462" s="13" t="s">
        <v>625</v>
      </c>
      <c r="I462" s="13"/>
      <c r="J462" s="13" t="s">
        <v>364</v>
      </c>
      <c r="K462" s="50" t="s">
        <v>271</v>
      </c>
      <c r="L462" s="78">
        <v>45954</v>
      </c>
      <c r="N462" s="78">
        <v>45954</v>
      </c>
      <c r="O462" s="48"/>
      <c r="P462" s="9"/>
      <c r="Q462" s="9">
        <f>COUNTIF(Tabela4[[#All],[Cenário]],Tabela4[[#This Row],[Cenário]])</f>
        <v>8</v>
      </c>
      <c r="R462">
        <f>COUNTIFS(Tabela4[[#All],[Cenário]],Tabela4[[#This Row],[Cenário]],Tabela4[[#All],[Status]],"Keyuser - Concluído ")</f>
        <v>7</v>
      </c>
      <c r="S462" t="str">
        <f>IF(Tabela4[[#This Row],[Tarefas por Cenário]]-Tabela4[[#This Row],[Tarefas Concluídas]]&gt;0,"Não","Sim")</f>
        <v>Não</v>
      </c>
      <c r="T462">
        <f>COUNTIFS(Tabela4[[#All],[Cenário]],Tabela4[[#This Row],[Cenário]],Tabela4[[#All],[Status]],Tabela4[[#Headers],[Elo - Em correção ]])</f>
        <v>0</v>
      </c>
      <c r="U462">
        <f>COUNTIFS(Tabela4[[#All],[Cenário]],Tabela4[[#This Row],[Cenário]],Tabela4[[#All],[Status]],Tabela4[[#Headers],[Keyuser - Aguardando tarefa precedente]])</f>
        <v>0</v>
      </c>
      <c r="V462">
        <f>COUNTIFS(Tabela4[[#All],[Cenário]],Tabela4[[#This Row],[Cenário]],Tabela4[[#All],[Status]],Tabela4[[#Headers],[Não liberado  para testes]])</f>
        <v>1</v>
      </c>
      <c r="W462" t="str">
        <f>IF(Tabela4[[#This Row],[Elo - Em correção ]]&gt;0,"Sim","Não")</f>
        <v>Não</v>
      </c>
      <c r="X462" t="str">
        <f>IF(Tabela4[[#This Row],[Keyuser - Aguardando tarefa precedente]]&gt;0,"Sim","Não")</f>
        <v>Não</v>
      </c>
      <c r="Y462" t="str">
        <f>IF(Tabela4[[#This Row],[Não liberado  para testes]]&gt;0,"Sim","Não")</f>
        <v>Sim</v>
      </c>
      <c r="Z462" t="str">
        <f ca="1">IF(Tabela4[[#This Row],[Status]]="Keyuser - Pendente",NETWORKDAYS(Tabela4[[#This Row],[Dt Inicial]],TODAY()),"")</f>
        <v/>
      </c>
      <c r="AA462" t="b">
        <f>AND(Tabela4[[#This Row],[Status]]="Keyuser - Aguardando tarefa precedente",K461="Keyuser - Concluído ")</f>
        <v>0</v>
      </c>
    </row>
    <row r="463" spans="1:27" x14ac:dyDescent="0.25">
      <c r="A463" t="str">
        <f>"OUT-"&amp;IFERROR(MID(Tabela4[[#This Row],[Cenário]],SEARCH("(",Tabela4[[#This Row],[Cenário]])+1,SEARCH(")",Tabela4[[#This Row],[Cenário]])-SEARCH("(",Tabela4[[#This Row],[Cenário]])-1),"")&amp;"_"&amp;ROW()</f>
        <v>OUT-Y202_463</v>
      </c>
      <c r="B463" t="s">
        <v>358</v>
      </c>
      <c r="C463" t="s">
        <v>623</v>
      </c>
      <c r="D463" s="5" t="s">
        <v>371</v>
      </c>
      <c r="E463">
        <v>5</v>
      </c>
      <c r="F463" t="s">
        <v>435</v>
      </c>
      <c r="G463" t="s">
        <v>287</v>
      </c>
      <c r="H463" s="13" t="s">
        <v>625</v>
      </c>
      <c r="I463" s="13"/>
      <c r="J463" s="13"/>
      <c r="K463" s="9" t="s">
        <v>271</v>
      </c>
      <c r="L463" s="78" t="s">
        <v>617</v>
      </c>
      <c r="N463" s="78">
        <v>45957</v>
      </c>
      <c r="O463" s="31"/>
      <c r="P463" s="9"/>
      <c r="Q463" s="9">
        <f>COUNTIF(Tabela4[[#All],[Cenário]],Tabela4[[#This Row],[Cenário]])</f>
        <v>8</v>
      </c>
      <c r="R463">
        <f>COUNTIFS(Tabela4[[#All],[Cenário]],Tabela4[[#This Row],[Cenário]],Tabela4[[#All],[Status]],"Keyuser - Concluído ")</f>
        <v>7</v>
      </c>
      <c r="S463" t="str">
        <f>IF(Tabela4[[#This Row],[Tarefas por Cenário]]-Tabela4[[#This Row],[Tarefas Concluídas]]&gt;0,"Não","Sim")</f>
        <v>Não</v>
      </c>
      <c r="T463">
        <f>COUNTIFS(Tabela4[[#All],[Cenário]],Tabela4[[#This Row],[Cenário]],Tabela4[[#All],[Status]],Tabela4[[#Headers],[Elo - Em correção ]])</f>
        <v>0</v>
      </c>
      <c r="U463">
        <f>COUNTIFS(Tabela4[[#All],[Cenário]],Tabela4[[#This Row],[Cenário]],Tabela4[[#All],[Status]],Tabela4[[#Headers],[Keyuser - Aguardando tarefa precedente]])</f>
        <v>0</v>
      </c>
      <c r="V463">
        <f>COUNTIFS(Tabela4[[#All],[Cenário]],Tabela4[[#This Row],[Cenário]],Tabela4[[#All],[Status]],Tabela4[[#Headers],[Não liberado  para testes]])</f>
        <v>1</v>
      </c>
      <c r="W463" t="str">
        <f>IF(Tabela4[[#This Row],[Elo - Em correção ]]&gt;0,"Sim","Não")</f>
        <v>Não</v>
      </c>
      <c r="X463" t="str">
        <f>IF(Tabela4[[#This Row],[Keyuser - Aguardando tarefa precedente]]&gt;0,"Sim","Não")</f>
        <v>Não</v>
      </c>
      <c r="Y463" t="str">
        <f>IF(Tabela4[[#This Row],[Não liberado  para testes]]&gt;0,"Sim","Não")</f>
        <v>Sim</v>
      </c>
      <c r="Z463" t="str">
        <f ca="1">IF(Tabela4[[#This Row],[Status]]="Keyuser - Pendente",NETWORKDAYS(Tabela4[[#This Row],[Dt Inicial]],TODAY()),"")</f>
        <v/>
      </c>
      <c r="AA463" t="b">
        <f>AND(Tabela4[[#This Row],[Status]]="Keyuser - Aguardando tarefa precedente",K462="Keyuser - Concluído ")</f>
        <v>0</v>
      </c>
    </row>
    <row r="464" spans="1:27" x14ac:dyDescent="0.25">
      <c r="A464" t="str">
        <f>"OUT-"&amp;IFERROR(MID(Tabela4[[#This Row],[Cenário]],SEARCH("(",Tabela4[[#This Row],[Cenário]])+1,SEARCH(")",Tabela4[[#This Row],[Cenário]])-SEARCH("(",Tabela4[[#This Row],[Cenário]])-1),"")&amp;"_"&amp;ROW()</f>
        <v>OUT-Y202_464</v>
      </c>
      <c r="B464" t="s">
        <v>358</v>
      </c>
      <c r="C464" t="s">
        <v>623</v>
      </c>
      <c r="D464" s="5" t="s">
        <v>373</v>
      </c>
      <c r="E464">
        <v>6</v>
      </c>
      <c r="F464" t="s">
        <v>373</v>
      </c>
      <c r="G464" t="s">
        <v>283</v>
      </c>
      <c r="H464" s="33" t="s">
        <v>625</v>
      </c>
      <c r="I464" s="13"/>
      <c r="J464" s="13"/>
      <c r="K464" s="9" t="s">
        <v>271</v>
      </c>
      <c r="L464" s="78" t="s">
        <v>617</v>
      </c>
      <c r="N464" s="78">
        <v>45957</v>
      </c>
      <c r="O464" s="31"/>
      <c r="P464" s="9"/>
      <c r="Q464" s="9">
        <f>COUNTIF(Tabela4[[#All],[Cenário]],Tabela4[[#This Row],[Cenário]])</f>
        <v>8</v>
      </c>
      <c r="R464">
        <f>COUNTIFS(Tabela4[[#All],[Cenário]],Tabela4[[#This Row],[Cenário]],Tabela4[[#All],[Status]],"Keyuser - Concluído ")</f>
        <v>7</v>
      </c>
      <c r="S464" t="str">
        <f>IF(Tabela4[[#This Row],[Tarefas por Cenário]]-Tabela4[[#This Row],[Tarefas Concluídas]]&gt;0,"Não","Sim")</f>
        <v>Não</v>
      </c>
      <c r="T464">
        <f>COUNTIFS(Tabela4[[#All],[Cenário]],Tabela4[[#This Row],[Cenário]],Tabela4[[#All],[Status]],Tabela4[[#Headers],[Elo - Em correção ]])</f>
        <v>0</v>
      </c>
      <c r="U464">
        <f>COUNTIFS(Tabela4[[#All],[Cenário]],Tabela4[[#This Row],[Cenário]],Tabela4[[#All],[Status]],Tabela4[[#Headers],[Keyuser - Aguardando tarefa precedente]])</f>
        <v>0</v>
      </c>
      <c r="V464">
        <f>COUNTIFS(Tabela4[[#All],[Cenário]],Tabela4[[#This Row],[Cenário]],Tabela4[[#All],[Status]],Tabela4[[#Headers],[Não liberado  para testes]])</f>
        <v>1</v>
      </c>
      <c r="W464" t="str">
        <f>IF(Tabela4[[#This Row],[Elo - Em correção ]]&gt;0,"Sim","Não")</f>
        <v>Não</v>
      </c>
      <c r="X464" t="str">
        <f>IF(Tabela4[[#This Row],[Keyuser - Aguardando tarefa precedente]]&gt;0,"Sim","Não")</f>
        <v>Não</v>
      </c>
      <c r="Y464" t="str">
        <f>IF(Tabela4[[#This Row],[Não liberado  para testes]]&gt;0,"Sim","Não")</f>
        <v>Sim</v>
      </c>
      <c r="Z464" t="str">
        <f ca="1">IF(Tabela4[[#This Row],[Status]]="Keyuser - Pendente",NETWORKDAYS(Tabela4[[#This Row],[Dt Inicial]],TODAY()),"")</f>
        <v/>
      </c>
      <c r="AA464" t="b">
        <f>AND(Tabela4[[#This Row],[Status]]="Keyuser - Aguardando tarefa precedente",K463="Keyuser - Concluído ")</f>
        <v>0</v>
      </c>
    </row>
    <row r="465" spans="1:27" x14ac:dyDescent="0.25">
      <c r="A465" t="str">
        <f>"OUT-"&amp;IFERROR(MID(Tabela4[[#This Row],[Cenário]],SEARCH("(",Tabela4[[#This Row],[Cenário]])+1,SEARCH(")",Tabela4[[#This Row],[Cenário]])-SEARCH("(",Tabela4[[#This Row],[Cenário]])-1),"")&amp;"_"&amp;ROW()</f>
        <v>OUT-Y202_465</v>
      </c>
      <c r="B465" t="s">
        <v>374</v>
      </c>
      <c r="C465" t="s">
        <v>623</v>
      </c>
      <c r="D465" s="5" t="s">
        <v>286</v>
      </c>
      <c r="E465">
        <v>7</v>
      </c>
      <c r="F465" t="s">
        <v>286</v>
      </c>
      <c r="G465" t="s">
        <v>287</v>
      </c>
      <c r="H465" s="13"/>
      <c r="I465" s="13"/>
      <c r="J465" s="13"/>
      <c r="K465" s="9" t="s">
        <v>262</v>
      </c>
      <c r="N465" s="78"/>
      <c r="O465" s="31"/>
      <c r="P465" s="9"/>
      <c r="Q465" s="9">
        <f>COUNTIF(Tabela4[[#All],[Cenário]],Tabela4[[#This Row],[Cenário]])</f>
        <v>8</v>
      </c>
      <c r="R465">
        <f>COUNTIFS(Tabela4[[#All],[Cenário]],Tabela4[[#This Row],[Cenário]],Tabela4[[#All],[Status]],"Keyuser - Concluído ")</f>
        <v>7</v>
      </c>
      <c r="S465" t="str">
        <f>IF(Tabela4[[#This Row],[Tarefas por Cenário]]-Tabela4[[#This Row],[Tarefas Concluídas]]&gt;0,"Não","Sim")</f>
        <v>Não</v>
      </c>
      <c r="T465">
        <f>COUNTIFS(Tabela4[[#All],[Cenário]],Tabela4[[#This Row],[Cenário]],Tabela4[[#All],[Status]],Tabela4[[#Headers],[Elo - Em correção ]])</f>
        <v>0</v>
      </c>
      <c r="U465">
        <f>COUNTIFS(Tabela4[[#All],[Cenário]],Tabela4[[#This Row],[Cenário]],Tabela4[[#All],[Status]],Tabela4[[#Headers],[Keyuser - Aguardando tarefa precedente]])</f>
        <v>0</v>
      </c>
      <c r="V465">
        <f>COUNTIFS(Tabela4[[#All],[Cenário]],Tabela4[[#This Row],[Cenário]],Tabela4[[#All],[Status]],Tabela4[[#Headers],[Não liberado  para testes]])</f>
        <v>1</v>
      </c>
      <c r="W465" t="str">
        <f>IF(Tabela4[[#This Row],[Elo - Em correção ]]&gt;0,"Sim","Não")</f>
        <v>Não</v>
      </c>
      <c r="X465" t="str">
        <f>IF(Tabela4[[#This Row],[Keyuser - Aguardando tarefa precedente]]&gt;0,"Sim","Não")</f>
        <v>Não</v>
      </c>
      <c r="Y465" t="str">
        <f>IF(Tabela4[[#This Row],[Não liberado  para testes]]&gt;0,"Sim","Não")</f>
        <v>Sim</v>
      </c>
      <c r="Z465" t="str">
        <f ca="1">IF(Tabela4[[#This Row],[Status]]="Keyuser - Pendente",NETWORKDAYS(Tabela4[[#This Row],[Dt Inicial]],TODAY()),"")</f>
        <v/>
      </c>
      <c r="AA465" t="b">
        <f>AND(Tabela4[[#This Row],[Status]]="Keyuser - Aguardando tarefa precedente",K464="Keyuser - Concluído ")</f>
        <v>0</v>
      </c>
    </row>
    <row r="466" spans="1:27" x14ac:dyDescent="0.25">
      <c r="A466" t="str">
        <f>"OUT-"&amp;IFERROR(MID(Tabela4[[#This Row],[Cenário]],SEARCH("(",Tabela4[[#This Row],[Cenário]])+1,SEARCH(")",Tabela4[[#This Row],[Cenário]])-SEARCH("(",Tabela4[[#This Row],[Cenário]])-1),"")&amp;"_"&amp;ROW()</f>
        <v>OUT-Y202_466</v>
      </c>
      <c r="B466" t="s">
        <v>358</v>
      </c>
      <c r="C466" t="s">
        <v>623</v>
      </c>
      <c r="D466" s="5" t="s">
        <v>375</v>
      </c>
      <c r="E466">
        <v>8</v>
      </c>
      <c r="F466" t="s">
        <v>375</v>
      </c>
      <c r="G466" t="s">
        <v>367</v>
      </c>
      <c r="H466" s="9">
        <v>15603623</v>
      </c>
      <c r="I466" s="13" t="s">
        <v>624</v>
      </c>
      <c r="J466" s="13" t="s">
        <v>364</v>
      </c>
      <c r="K466" s="9" t="s">
        <v>271</v>
      </c>
      <c r="L466" s="78" t="s">
        <v>617</v>
      </c>
      <c r="N466" s="78">
        <v>45957</v>
      </c>
      <c r="O466" s="31"/>
      <c r="P466" s="9"/>
      <c r="Q466" s="9">
        <f>COUNTIF(Tabela4[[#All],[Cenário]],Tabela4[[#This Row],[Cenário]])</f>
        <v>8</v>
      </c>
      <c r="R466">
        <f>COUNTIFS(Tabela4[[#All],[Cenário]],Tabela4[[#This Row],[Cenário]],Tabela4[[#All],[Status]],"Keyuser - Concluído ")</f>
        <v>7</v>
      </c>
      <c r="S466" t="str">
        <f>IF(Tabela4[[#This Row],[Tarefas por Cenário]]-Tabela4[[#This Row],[Tarefas Concluídas]]&gt;0,"Não","Sim")</f>
        <v>Não</v>
      </c>
      <c r="T466">
        <f>COUNTIFS(Tabela4[[#All],[Cenário]],Tabela4[[#This Row],[Cenário]],Tabela4[[#All],[Status]],Tabela4[[#Headers],[Elo - Em correção ]])</f>
        <v>0</v>
      </c>
      <c r="U466">
        <f>COUNTIFS(Tabela4[[#All],[Cenário]],Tabela4[[#This Row],[Cenário]],Tabela4[[#All],[Status]],Tabela4[[#Headers],[Keyuser - Aguardando tarefa precedente]])</f>
        <v>0</v>
      </c>
      <c r="V466">
        <f>COUNTIFS(Tabela4[[#All],[Cenário]],Tabela4[[#This Row],[Cenário]],Tabela4[[#All],[Status]],Tabela4[[#Headers],[Não liberado  para testes]])</f>
        <v>1</v>
      </c>
      <c r="W466" t="str">
        <f>IF(Tabela4[[#This Row],[Elo - Em correção ]]&gt;0,"Sim","Não")</f>
        <v>Não</v>
      </c>
      <c r="X466" t="str">
        <f>IF(Tabela4[[#This Row],[Keyuser - Aguardando tarefa precedente]]&gt;0,"Sim","Não")</f>
        <v>Não</v>
      </c>
      <c r="Y466" t="str">
        <f>IF(Tabela4[[#This Row],[Não liberado  para testes]]&gt;0,"Sim","Não")</f>
        <v>Sim</v>
      </c>
      <c r="Z466" t="str">
        <f ca="1">IF(Tabela4[[#This Row],[Status]]="Keyuser - Pendente",NETWORKDAYS(Tabela4[[#This Row],[Dt Inicial]],TODAY()),"")</f>
        <v/>
      </c>
      <c r="AA466" t="b">
        <f>AND(Tabela4[[#This Row],[Status]]="Keyuser - Aguardando tarefa precedente",K465="Keyuser - Concluído ")</f>
        <v>0</v>
      </c>
    </row>
    <row r="467" spans="1:27" x14ac:dyDescent="0.25">
      <c r="A467" t="str">
        <f>"OUT-"&amp;IFERROR(MID(Tabela4[[#This Row],[Cenário]],SEARCH("(",Tabela4[[#This Row],[Cenário]])+1,SEARCH(")",Tabela4[[#This Row],[Cenário]])-SEARCH("(",Tabela4[[#This Row],[Cenário]])-1),"")&amp;"_"&amp;ROW()</f>
        <v>OUT-Y007_467</v>
      </c>
      <c r="B467" t="s">
        <v>358</v>
      </c>
      <c r="C467" t="s">
        <v>626</v>
      </c>
      <c r="D467" s="5" t="s">
        <v>360</v>
      </c>
      <c r="E467">
        <v>1</v>
      </c>
      <c r="F467" t="s">
        <v>360</v>
      </c>
      <c r="G467" t="s">
        <v>361</v>
      </c>
      <c r="H467" s="9" t="s">
        <v>627</v>
      </c>
      <c r="I467" s="13" t="s">
        <v>628</v>
      </c>
      <c r="J467" s="13" t="s">
        <v>364</v>
      </c>
      <c r="K467" s="9" t="s">
        <v>271</v>
      </c>
      <c r="L467" s="78">
        <v>45964</v>
      </c>
      <c r="N467" s="78">
        <v>45964</v>
      </c>
      <c r="O467" s="31"/>
      <c r="P467" s="9"/>
      <c r="Q467" s="9">
        <f>COUNTIF(Tabela4[[#All],[Cenário]],Tabela4[[#This Row],[Cenário]])</f>
        <v>8</v>
      </c>
      <c r="R467">
        <f>COUNTIFS(Tabela4[[#All],[Cenário]],Tabela4[[#This Row],[Cenário]],Tabela4[[#All],[Status]],"Keyuser - Concluído ")</f>
        <v>7</v>
      </c>
      <c r="S467" t="str">
        <f>IF(Tabela4[[#This Row],[Tarefas por Cenário]]-Tabela4[[#This Row],[Tarefas Concluídas]]&gt;0,"Não","Sim")</f>
        <v>Não</v>
      </c>
      <c r="T467">
        <f>COUNTIFS(Tabela4[[#All],[Cenário]],Tabela4[[#This Row],[Cenário]],Tabela4[[#All],[Status]],Tabela4[[#Headers],[Elo - Em correção ]])</f>
        <v>0</v>
      </c>
      <c r="U467">
        <f>COUNTIFS(Tabela4[[#All],[Cenário]],Tabela4[[#This Row],[Cenário]],Tabela4[[#All],[Status]],Tabela4[[#Headers],[Keyuser - Aguardando tarefa precedente]])</f>
        <v>0</v>
      </c>
      <c r="V467">
        <f>COUNTIFS(Tabela4[[#All],[Cenário]],Tabela4[[#This Row],[Cenário]],Tabela4[[#All],[Status]],Tabela4[[#Headers],[Não liberado  para testes]])</f>
        <v>1</v>
      </c>
      <c r="W467" t="str">
        <f>IF(Tabela4[[#This Row],[Elo - Em correção ]]&gt;0,"Sim","Não")</f>
        <v>Não</v>
      </c>
      <c r="X467" t="str">
        <f>IF(Tabela4[[#This Row],[Keyuser - Aguardando tarefa precedente]]&gt;0,"Sim","Não")</f>
        <v>Não</v>
      </c>
      <c r="Y467" t="str">
        <f>IF(Tabela4[[#This Row],[Não liberado  para testes]]&gt;0,"Sim","Não")</f>
        <v>Sim</v>
      </c>
      <c r="Z467" t="str">
        <f ca="1">IF(Tabela4[[#This Row],[Status]]="Keyuser - Pendente",NETWORKDAYS(Tabela4[[#This Row],[Dt Inicial]],TODAY()),"")</f>
        <v/>
      </c>
      <c r="AA467" t="b">
        <f>AND(Tabela4[[#This Row],[Status]]="Keyuser - Aguardando tarefa precedente",K466="Keyuser - Concluído ")</f>
        <v>0</v>
      </c>
    </row>
    <row r="468" spans="1:27" x14ac:dyDescent="0.25">
      <c r="A468" t="str">
        <f>"OUT-"&amp;IFERROR(MID(Tabela4[[#This Row],[Cenário]],SEARCH("(",Tabela4[[#This Row],[Cenário]])+1,SEARCH(")",Tabela4[[#This Row],[Cenário]])-SEARCH("(",Tabela4[[#This Row],[Cenário]])-1),"")&amp;"_"&amp;ROW()</f>
        <v>OUT-Y007_468</v>
      </c>
      <c r="B468" t="s">
        <v>358</v>
      </c>
      <c r="C468" t="s">
        <v>626</v>
      </c>
      <c r="D468" s="5" t="s">
        <v>365</v>
      </c>
      <c r="E468">
        <v>2</v>
      </c>
      <c r="F468" t="s">
        <v>365</v>
      </c>
      <c r="G468" t="s">
        <v>310</v>
      </c>
      <c r="H468" s="9" t="s">
        <v>627</v>
      </c>
      <c r="I468" s="13" t="s">
        <v>628</v>
      </c>
      <c r="J468" s="13" t="s">
        <v>364</v>
      </c>
      <c r="K468" s="9" t="s">
        <v>271</v>
      </c>
      <c r="L468" s="78">
        <v>45964</v>
      </c>
      <c r="N468" s="78">
        <v>45964</v>
      </c>
      <c r="O468" s="31"/>
      <c r="P468" s="9"/>
      <c r="Q468" s="9">
        <f>COUNTIF(Tabela4[[#All],[Cenário]],Tabela4[[#This Row],[Cenário]])</f>
        <v>8</v>
      </c>
      <c r="R468">
        <f>COUNTIFS(Tabela4[[#All],[Cenário]],Tabela4[[#This Row],[Cenário]],Tabela4[[#All],[Status]],"Keyuser - Concluído ")</f>
        <v>7</v>
      </c>
      <c r="S468" t="str">
        <f>IF(Tabela4[[#This Row],[Tarefas por Cenário]]-Tabela4[[#This Row],[Tarefas Concluídas]]&gt;0,"Não","Sim")</f>
        <v>Não</v>
      </c>
      <c r="T468">
        <f>COUNTIFS(Tabela4[[#All],[Cenário]],Tabela4[[#This Row],[Cenário]],Tabela4[[#All],[Status]],Tabela4[[#Headers],[Elo - Em correção ]])</f>
        <v>0</v>
      </c>
      <c r="U468">
        <f>COUNTIFS(Tabela4[[#All],[Cenário]],Tabela4[[#This Row],[Cenário]],Tabela4[[#All],[Status]],Tabela4[[#Headers],[Keyuser - Aguardando tarefa precedente]])</f>
        <v>0</v>
      </c>
      <c r="V468">
        <f>COUNTIFS(Tabela4[[#All],[Cenário]],Tabela4[[#This Row],[Cenário]],Tabela4[[#All],[Status]],Tabela4[[#Headers],[Não liberado  para testes]])</f>
        <v>1</v>
      </c>
      <c r="W468" t="str">
        <f>IF(Tabela4[[#This Row],[Elo - Em correção ]]&gt;0,"Sim","Não")</f>
        <v>Não</v>
      </c>
      <c r="X468" t="str">
        <f>IF(Tabela4[[#This Row],[Keyuser - Aguardando tarefa precedente]]&gt;0,"Sim","Não")</f>
        <v>Não</v>
      </c>
      <c r="Y468" t="str">
        <f>IF(Tabela4[[#This Row],[Não liberado  para testes]]&gt;0,"Sim","Não")</f>
        <v>Sim</v>
      </c>
      <c r="Z468" t="str">
        <f ca="1">IF(Tabela4[[#This Row],[Status]]="Keyuser - Pendente",NETWORKDAYS(Tabela4[[#This Row],[Dt Inicial]],TODAY()),"")</f>
        <v/>
      </c>
      <c r="AA468" t="b">
        <f>AND(Tabela4[[#This Row],[Status]]="Keyuser - Aguardando tarefa precedente",K467="Keyuser - Concluído ")</f>
        <v>0</v>
      </c>
    </row>
    <row r="469" spans="1:27" x14ac:dyDescent="0.25">
      <c r="A469" t="str">
        <f>"OUT-"&amp;IFERROR(MID(Tabela4[[#This Row],[Cenário]],SEARCH("(",Tabela4[[#This Row],[Cenário]])+1,SEARCH(")",Tabela4[[#This Row],[Cenário]])-SEARCH("(",Tabela4[[#This Row],[Cenário]])-1),"")&amp;"_"&amp;ROW()</f>
        <v>OUT-Y007_469</v>
      </c>
      <c r="B469" t="s">
        <v>358</v>
      </c>
      <c r="C469" t="s">
        <v>626</v>
      </c>
      <c r="D469" s="5" t="s">
        <v>366</v>
      </c>
      <c r="E469">
        <v>3</v>
      </c>
      <c r="F469" t="s">
        <v>366</v>
      </c>
      <c r="G469" t="s">
        <v>367</v>
      </c>
      <c r="H469" s="9" t="s">
        <v>627</v>
      </c>
      <c r="I469" s="13" t="s">
        <v>628</v>
      </c>
      <c r="J469" s="13" t="s">
        <v>364</v>
      </c>
      <c r="K469" s="9" t="s">
        <v>271</v>
      </c>
      <c r="L469" s="78">
        <v>45964</v>
      </c>
      <c r="N469" s="78">
        <v>45964</v>
      </c>
      <c r="O469" s="31"/>
      <c r="P469" s="9"/>
      <c r="Q469" s="9">
        <f>COUNTIF(Tabela4[[#All],[Cenário]],Tabela4[[#This Row],[Cenário]])</f>
        <v>8</v>
      </c>
      <c r="R469">
        <f>COUNTIFS(Tabela4[[#All],[Cenário]],Tabela4[[#This Row],[Cenário]],Tabela4[[#All],[Status]],"Keyuser - Concluído ")</f>
        <v>7</v>
      </c>
      <c r="S469" t="str">
        <f>IF(Tabela4[[#This Row],[Tarefas por Cenário]]-Tabela4[[#This Row],[Tarefas Concluídas]]&gt;0,"Não","Sim")</f>
        <v>Não</v>
      </c>
      <c r="T469">
        <f>COUNTIFS(Tabela4[[#All],[Cenário]],Tabela4[[#This Row],[Cenário]],Tabela4[[#All],[Status]],Tabela4[[#Headers],[Elo - Em correção ]])</f>
        <v>0</v>
      </c>
      <c r="U469">
        <f>COUNTIFS(Tabela4[[#All],[Cenário]],Tabela4[[#This Row],[Cenário]],Tabela4[[#All],[Status]],Tabela4[[#Headers],[Keyuser - Aguardando tarefa precedente]])</f>
        <v>0</v>
      </c>
      <c r="V469">
        <f>COUNTIFS(Tabela4[[#All],[Cenário]],Tabela4[[#This Row],[Cenário]],Tabela4[[#All],[Status]],Tabela4[[#Headers],[Não liberado  para testes]])</f>
        <v>1</v>
      </c>
      <c r="W469" t="str">
        <f>IF(Tabela4[[#This Row],[Elo - Em correção ]]&gt;0,"Sim","Não")</f>
        <v>Não</v>
      </c>
      <c r="X469" t="str">
        <f>IF(Tabela4[[#This Row],[Keyuser - Aguardando tarefa precedente]]&gt;0,"Sim","Não")</f>
        <v>Não</v>
      </c>
      <c r="Y469" t="str">
        <f>IF(Tabela4[[#This Row],[Não liberado  para testes]]&gt;0,"Sim","Não")</f>
        <v>Sim</v>
      </c>
      <c r="Z469" t="str">
        <f ca="1">IF(Tabela4[[#This Row],[Status]]="Keyuser - Pendente",NETWORKDAYS(Tabela4[[#This Row],[Dt Inicial]],TODAY()),"")</f>
        <v/>
      </c>
      <c r="AA469" t="b">
        <f>AND(Tabela4[[#This Row],[Status]]="Keyuser - Aguardando tarefa precedente",K468="Keyuser - Concluído ")</f>
        <v>0</v>
      </c>
    </row>
    <row r="470" spans="1:27" x14ac:dyDescent="0.25">
      <c r="A470" t="str">
        <f>"OUT-"&amp;IFERROR(MID(Tabela4[[#This Row],[Cenário]],SEARCH("(",Tabela4[[#This Row],[Cenário]])+1,SEARCH(")",Tabela4[[#This Row],[Cenário]])-SEARCH("(",Tabela4[[#This Row],[Cenário]])-1),"")&amp;"_"&amp;ROW()</f>
        <v>OUT-Y007_470</v>
      </c>
      <c r="B470" t="s">
        <v>358</v>
      </c>
      <c r="C470" t="s">
        <v>626</v>
      </c>
      <c r="D470" s="5" t="s">
        <v>368</v>
      </c>
      <c r="E470">
        <v>4</v>
      </c>
      <c r="F470" t="s">
        <v>368</v>
      </c>
      <c r="G470" t="s">
        <v>369</v>
      </c>
      <c r="H470" s="13" t="s">
        <v>629</v>
      </c>
      <c r="I470" s="13"/>
      <c r="J470" s="13" t="s">
        <v>364</v>
      </c>
      <c r="K470" s="9" t="s">
        <v>271</v>
      </c>
      <c r="L470" s="78">
        <v>45965</v>
      </c>
      <c r="N470" s="78">
        <v>45965</v>
      </c>
      <c r="O470" s="48"/>
      <c r="P470" s="9"/>
      <c r="Q470" s="9">
        <f>COUNTIF(Tabela4[[#All],[Cenário]],Tabela4[[#This Row],[Cenário]])</f>
        <v>8</v>
      </c>
      <c r="R470">
        <f>COUNTIFS(Tabela4[[#All],[Cenário]],Tabela4[[#This Row],[Cenário]],Tabela4[[#All],[Status]],"Keyuser - Concluído ")</f>
        <v>7</v>
      </c>
      <c r="S470" t="str">
        <f>IF(Tabela4[[#This Row],[Tarefas por Cenário]]-Tabela4[[#This Row],[Tarefas Concluídas]]&gt;0,"Não","Sim")</f>
        <v>Não</v>
      </c>
      <c r="T470">
        <f>COUNTIFS(Tabela4[[#All],[Cenário]],Tabela4[[#This Row],[Cenário]],Tabela4[[#All],[Status]],Tabela4[[#Headers],[Elo - Em correção ]])</f>
        <v>0</v>
      </c>
      <c r="U470">
        <f>COUNTIFS(Tabela4[[#All],[Cenário]],Tabela4[[#This Row],[Cenário]],Tabela4[[#All],[Status]],Tabela4[[#Headers],[Keyuser - Aguardando tarefa precedente]])</f>
        <v>0</v>
      </c>
      <c r="V470">
        <f>COUNTIFS(Tabela4[[#All],[Cenário]],Tabela4[[#This Row],[Cenário]],Tabela4[[#All],[Status]],Tabela4[[#Headers],[Não liberado  para testes]])</f>
        <v>1</v>
      </c>
      <c r="W470" t="str">
        <f>IF(Tabela4[[#This Row],[Elo - Em correção ]]&gt;0,"Sim","Não")</f>
        <v>Não</v>
      </c>
      <c r="X470" t="str">
        <f>IF(Tabela4[[#This Row],[Keyuser - Aguardando tarefa precedente]]&gt;0,"Sim","Não")</f>
        <v>Não</v>
      </c>
      <c r="Y470" t="str">
        <f>IF(Tabela4[[#This Row],[Não liberado  para testes]]&gt;0,"Sim","Não")</f>
        <v>Sim</v>
      </c>
      <c r="Z470" t="str">
        <f ca="1">IF(Tabela4[[#This Row],[Status]]="Keyuser - Pendente",NETWORKDAYS(Tabela4[[#This Row],[Dt Inicial]],TODAY()),"")</f>
        <v/>
      </c>
      <c r="AA470" t="b">
        <f>AND(Tabela4[[#This Row],[Status]]="Keyuser - Aguardando tarefa precedente",K469="Keyuser - Concluído ")</f>
        <v>0</v>
      </c>
    </row>
    <row r="471" spans="1:27" x14ac:dyDescent="0.25">
      <c r="A471" t="str">
        <f>"OUT-"&amp;IFERROR(MID(Tabela4[[#This Row],[Cenário]],SEARCH("(",Tabela4[[#This Row],[Cenário]])+1,SEARCH(")",Tabela4[[#This Row],[Cenário]])-SEARCH("(",Tabela4[[#This Row],[Cenário]])-1),"")&amp;"_"&amp;ROW()</f>
        <v>OUT-Y007_471</v>
      </c>
      <c r="B471" t="s">
        <v>358</v>
      </c>
      <c r="C471" t="s">
        <v>626</v>
      </c>
      <c r="D471" s="5" t="s">
        <v>371</v>
      </c>
      <c r="E471">
        <v>5</v>
      </c>
      <c r="F471" t="s">
        <v>435</v>
      </c>
      <c r="G471" t="s">
        <v>287</v>
      </c>
      <c r="H471" s="13" t="s">
        <v>629</v>
      </c>
      <c r="I471" s="13"/>
      <c r="J471" s="13" t="s">
        <v>364</v>
      </c>
      <c r="K471" s="9" t="s">
        <v>271</v>
      </c>
      <c r="L471" s="78">
        <v>45971</v>
      </c>
      <c r="N471" s="78">
        <v>45971</v>
      </c>
      <c r="O471" s="31" t="s">
        <v>630</v>
      </c>
      <c r="P471" s="9"/>
      <c r="Q471" s="9">
        <f>COUNTIF(Tabela4[[#All],[Cenário]],Tabela4[[#This Row],[Cenário]])</f>
        <v>8</v>
      </c>
      <c r="R471">
        <f>COUNTIFS(Tabela4[[#All],[Cenário]],Tabela4[[#This Row],[Cenário]],Tabela4[[#All],[Status]],"Keyuser - Concluído ")</f>
        <v>7</v>
      </c>
      <c r="S471" t="str">
        <f>IF(Tabela4[[#This Row],[Tarefas por Cenário]]-Tabela4[[#This Row],[Tarefas Concluídas]]&gt;0,"Não","Sim")</f>
        <v>Não</v>
      </c>
      <c r="T471">
        <f>COUNTIFS(Tabela4[[#All],[Cenário]],Tabela4[[#This Row],[Cenário]],Tabela4[[#All],[Status]],Tabela4[[#Headers],[Elo - Em correção ]])</f>
        <v>0</v>
      </c>
      <c r="U471">
        <f>COUNTIFS(Tabela4[[#All],[Cenário]],Tabela4[[#This Row],[Cenário]],Tabela4[[#All],[Status]],Tabela4[[#Headers],[Keyuser - Aguardando tarefa precedente]])</f>
        <v>0</v>
      </c>
      <c r="V471">
        <f>COUNTIFS(Tabela4[[#All],[Cenário]],Tabela4[[#This Row],[Cenário]],Tabela4[[#All],[Status]],Tabela4[[#Headers],[Não liberado  para testes]])</f>
        <v>1</v>
      </c>
      <c r="W471" t="str">
        <f>IF(Tabela4[[#This Row],[Elo - Em correção ]]&gt;0,"Sim","Não")</f>
        <v>Não</v>
      </c>
      <c r="X471" t="str">
        <f>IF(Tabela4[[#This Row],[Keyuser - Aguardando tarefa precedente]]&gt;0,"Sim","Não")</f>
        <v>Não</v>
      </c>
      <c r="Y471" t="str">
        <f>IF(Tabela4[[#This Row],[Não liberado  para testes]]&gt;0,"Sim","Não")</f>
        <v>Sim</v>
      </c>
      <c r="Z471" t="str">
        <f ca="1">IF(Tabela4[[#This Row],[Status]]="Keyuser - Pendente",NETWORKDAYS(Tabela4[[#This Row],[Dt Inicial]],TODAY()),"")</f>
        <v/>
      </c>
      <c r="AA471" t="b">
        <f>AND(Tabela4[[#This Row],[Status]]="Keyuser - Aguardando tarefa precedente",K470="Keyuser - Concluído ")</f>
        <v>0</v>
      </c>
    </row>
    <row r="472" spans="1:27" x14ac:dyDescent="0.25">
      <c r="A472" t="str">
        <f>"OUT-"&amp;IFERROR(MID(Tabela4[[#This Row],[Cenário]],SEARCH("(",Tabela4[[#This Row],[Cenário]])+1,SEARCH(")",Tabela4[[#This Row],[Cenário]])-SEARCH("(",Tabela4[[#This Row],[Cenário]])-1),"")&amp;"_"&amp;ROW()</f>
        <v>OUT-Y007_472</v>
      </c>
      <c r="B472" t="s">
        <v>358</v>
      </c>
      <c r="C472" t="s">
        <v>626</v>
      </c>
      <c r="D472" s="5" t="s">
        <v>373</v>
      </c>
      <c r="E472">
        <v>6</v>
      </c>
      <c r="F472" t="s">
        <v>373</v>
      </c>
      <c r="G472" t="s">
        <v>283</v>
      </c>
      <c r="H472" s="13" t="s">
        <v>629</v>
      </c>
      <c r="I472" s="13"/>
      <c r="J472" s="13" t="s">
        <v>364</v>
      </c>
      <c r="K472" s="9" t="s">
        <v>271</v>
      </c>
      <c r="L472" s="78">
        <v>45971</v>
      </c>
      <c r="N472" s="78">
        <v>45971</v>
      </c>
      <c r="O472" s="31"/>
      <c r="P472" s="9"/>
      <c r="Q472" s="9">
        <f>COUNTIF(Tabela4[[#All],[Cenário]],Tabela4[[#This Row],[Cenário]])</f>
        <v>8</v>
      </c>
      <c r="R472">
        <f>COUNTIFS(Tabela4[[#All],[Cenário]],Tabela4[[#This Row],[Cenário]],Tabela4[[#All],[Status]],"Keyuser - Concluído ")</f>
        <v>7</v>
      </c>
      <c r="S472" t="str">
        <f>IF(Tabela4[[#This Row],[Tarefas por Cenário]]-Tabela4[[#This Row],[Tarefas Concluídas]]&gt;0,"Não","Sim")</f>
        <v>Não</v>
      </c>
      <c r="T472">
        <f>COUNTIFS(Tabela4[[#All],[Cenário]],Tabela4[[#This Row],[Cenário]],Tabela4[[#All],[Status]],Tabela4[[#Headers],[Elo - Em correção ]])</f>
        <v>0</v>
      </c>
      <c r="U472">
        <f>COUNTIFS(Tabela4[[#All],[Cenário]],Tabela4[[#This Row],[Cenário]],Tabela4[[#All],[Status]],Tabela4[[#Headers],[Keyuser - Aguardando tarefa precedente]])</f>
        <v>0</v>
      </c>
      <c r="V472">
        <f>COUNTIFS(Tabela4[[#All],[Cenário]],Tabela4[[#This Row],[Cenário]],Tabela4[[#All],[Status]],Tabela4[[#Headers],[Não liberado  para testes]])</f>
        <v>1</v>
      </c>
      <c r="W472" t="str">
        <f>IF(Tabela4[[#This Row],[Elo - Em correção ]]&gt;0,"Sim","Não")</f>
        <v>Não</v>
      </c>
      <c r="X472" t="str">
        <f>IF(Tabela4[[#This Row],[Keyuser - Aguardando tarefa precedente]]&gt;0,"Sim","Não")</f>
        <v>Não</v>
      </c>
      <c r="Y472" t="str">
        <f>IF(Tabela4[[#This Row],[Não liberado  para testes]]&gt;0,"Sim","Não")</f>
        <v>Sim</v>
      </c>
      <c r="Z472" t="str">
        <f ca="1">IF(Tabela4[[#This Row],[Status]]="Keyuser - Pendente",NETWORKDAYS(Tabela4[[#This Row],[Dt Inicial]],TODAY()),"")</f>
        <v/>
      </c>
      <c r="AA472" t="b">
        <f>AND(Tabela4[[#This Row],[Status]]="Keyuser - Aguardando tarefa precedente",K471="Keyuser - Concluído ")</f>
        <v>0</v>
      </c>
    </row>
    <row r="473" spans="1:27" x14ac:dyDescent="0.25">
      <c r="A473" t="str">
        <f>"OUT-"&amp;IFERROR(MID(Tabela4[[#This Row],[Cenário]],SEARCH("(",Tabela4[[#This Row],[Cenário]])+1,SEARCH(")",Tabela4[[#This Row],[Cenário]])-SEARCH("(",Tabela4[[#This Row],[Cenário]])-1),"")&amp;"_"&amp;ROW()</f>
        <v>OUT-Y007_473</v>
      </c>
      <c r="B473" t="s">
        <v>374</v>
      </c>
      <c r="C473" t="s">
        <v>626</v>
      </c>
      <c r="D473" s="5" t="s">
        <v>286</v>
      </c>
      <c r="E473">
        <v>7</v>
      </c>
      <c r="F473" t="s">
        <v>286</v>
      </c>
      <c r="G473" t="s">
        <v>287</v>
      </c>
      <c r="H473" s="13"/>
      <c r="I473" s="13"/>
      <c r="J473" s="13"/>
      <c r="K473" s="9" t="s">
        <v>262</v>
      </c>
      <c r="N473" s="78"/>
      <c r="O473" s="31"/>
      <c r="P473" s="9"/>
      <c r="Q473" s="9">
        <f>COUNTIF(Tabela4[[#All],[Cenário]],Tabela4[[#This Row],[Cenário]])</f>
        <v>8</v>
      </c>
      <c r="R473">
        <f>COUNTIFS(Tabela4[[#All],[Cenário]],Tabela4[[#This Row],[Cenário]],Tabela4[[#All],[Status]],"Keyuser - Concluído ")</f>
        <v>7</v>
      </c>
      <c r="S473" t="str">
        <f>IF(Tabela4[[#This Row],[Tarefas por Cenário]]-Tabela4[[#This Row],[Tarefas Concluídas]]&gt;0,"Não","Sim")</f>
        <v>Não</v>
      </c>
      <c r="T473">
        <f>COUNTIFS(Tabela4[[#All],[Cenário]],Tabela4[[#This Row],[Cenário]],Tabela4[[#All],[Status]],Tabela4[[#Headers],[Elo - Em correção ]])</f>
        <v>0</v>
      </c>
      <c r="U473">
        <f>COUNTIFS(Tabela4[[#All],[Cenário]],Tabela4[[#This Row],[Cenário]],Tabela4[[#All],[Status]],Tabela4[[#Headers],[Keyuser - Aguardando tarefa precedente]])</f>
        <v>0</v>
      </c>
      <c r="V473">
        <f>COUNTIFS(Tabela4[[#All],[Cenário]],Tabela4[[#This Row],[Cenário]],Tabela4[[#All],[Status]],Tabela4[[#Headers],[Não liberado  para testes]])</f>
        <v>1</v>
      </c>
      <c r="W473" t="str">
        <f>IF(Tabela4[[#This Row],[Elo - Em correção ]]&gt;0,"Sim","Não")</f>
        <v>Não</v>
      </c>
      <c r="X473" t="str">
        <f>IF(Tabela4[[#This Row],[Keyuser - Aguardando tarefa precedente]]&gt;0,"Sim","Não")</f>
        <v>Não</v>
      </c>
      <c r="Y473" t="str">
        <f>IF(Tabela4[[#This Row],[Não liberado  para testes]]&gt;0,"Sim","Não")</f>
        <v>Sim</v>
      </c>
      <c r="Z473" t="str">
        <f ca="1">IF(Tabela4[[#This Row],[Status]]="Keyuser - Pendente",NETWORKDAYS(Tabela4[[#This Row],[Dt Inicial]],TODAY()),"")</f>
        <v/>
      </c>
      <c r="AA473" t="b">
        <f>AND(Tabela4[[#This Row],[Status]]="Keyuser - Aguardando tarefa precedente",K472="Keyuser - Concluído ")</f>
        <v>0</v>
      </c>
    </row>
    <row r="474" spans="1:27" x14ac:dyDescent="0.25">
      <c r="A474" t="str">
        <f>"OUT-"&amp;IFERROR(MID(Tabela4[[#This Row],[Cenário]],SEARCH("(",Tabela4[[#This Row],[Cenário]])+1,SEARCH(")",Tabela4[[#This Row],[Cenário]])-SEARCH("(",Tabela4[[#This Row],[Cenário]])-1),"")&amp;"_"&amp;ROW()</f>
        <v>OUT-Y007_474</v>
      </c>
      <c r="B474" t="s">
        <v>358</v>
      </c>
      <c r="C474" t="s">
        <v>626</v>
      </c>
      <c r="D474" s="5" t="s">
        <v>375</v>
      </c>
      <c r="E474">
        <v>8</v>
      </c>
      <c r="F474" t="s">
        <v>375</v>
      </c>
      <c r="G474" t="s">
        <v>367</v>
      </c>
      <c r="H474" s="9" t="s">
        <v>627</v>
      </c>
      <c r="I474" s="13" t="s">
        <v>628</v>
      </c>
      <c r="J474" s="13"/>
      <c r="K474" s="9" t="s">
        <v>271</v>
      </c>
      <c r="L474" s="78">
        <v>45973</v>
      </c>
      <c r="N474" s="78">
        <v>45973</v>
      </c>
      <c r="O474" s="31"/>
      <c r="P474" s="9"/>
      <c r="Q474" s="9">
        <f>COUNTIF(Tabela4[[#All],[Cenário]],Tabela4[[#This Row],[Cenário]])</f>
        <v>8</v>
      </c>
      <c r="R474">
        <f>COUNTIFS(Tabela4[[#All],[Cenário]],Tabela4[[#This Row],[Cenário]],Tabela4[[#All],[Status]],"Keyuser - Concluído ")</f>
        <v>7</v>
      </c>
      <c r="S474" t="str">
        <f>IF(Tabela4[[#This Row],[Tarefas por Cenário]]-Tabela4[[#This Row],[Tarefas Concluídas]]&gt;0,"Não","Sim")</f>
        <v>Não</v>
      </c>
      <c r="T474">
        <f>COUNTIFS(Tabela4[[#All],[Cenário]],Tabela4[[#This Row],[Cenário]],Tabela4[[#All],[Status]],Tabela4[[#Headers],[Elo - Em correção ]])</f>
        <v>0</v>
      </c>
      <c r="U474">
        <f>COUNTIFS(Tabela4[[#All],[Cenário]],Tabela4[[#This Row],[Cenário]],Tabela4[[#All],[Status]],Tabela4[[#Headers],[Keyuser - Aguardando tarefa precedente]])</f>
        <v>0</v>
      </c>
      <c r="V474">
        <f>COUNTIFS(Tabela4[[#All],[Cenário]],Tabela4[[#This Row],[Cenário]],Tabela4[[#All],[Status]],Tabela4[[#Headers],[Não liberado  para testes]])</f>
        <v>1</v>
      </c>
      <c r="W474" t="str">
        <f>IF(Tabela4[[#This Row],[Elo - Em correção ]]&gt;0,"Sim","Não")</f>
        <v>Não</v>
      </c>
      <c r="X474" t="str">
        <f>IF(Tabela4[[#This Row],[Keyuser - Aguardando tarefa precedente]]&gt;0,"Sim","Não")</f>
        <v>Não</v>
      </c>
      <c r="Y474" t="str">
        <f>IF(Tabela4[[#This Row],[Não liberado  para testes]]&gt;0,"Sim","Não")</f>
        <v>Sim</v>
      </c>
      <c r="Z474" t="str">
        <f ca="1">IF(Tabela4[[#This Row],[Status]]="Keyuser - Pendente",NETWORKDAYS(Tabela4[[#This Row],[Dt Inicial]],TODAY()),"")</f>
        <v/>
      </c>
      <c r="AA474" t="b">
        <f>AND(Tabela4[[#This Row],[Status]]="Keyuser - Aguardando tarefa precedente",K473="Keyuser - Concluído ")</f>
        <v>0</v>
      </c>
    </row>
    <row r="475" spans="1:27" x14ac:dyDescent="0.25">
      <c r="A475" t="str">
        <f>"OUT-"&amp;IFERROR(MID(Tabela4[[#This Row],[Cenário]],SEARCH("(",Tabela4[[#This Row],[Cenário]])+1,SEARCH(")",Tabela4[[#This Row],[Cenário]])-SEARCH("(",Tabela4[[#This Row],[Cenário]])-1),"")&amp;"_"&amp;ROW()</f>
        <v>OUT-YDEV_475</v>
      </c>
      <c r="B475" t="s">
        <v>374</v>
      </c>
      <c r="C475" t="s">
        <v>631</v>
      </c>
      <c r="D475" t="s">
        <v>360</v>
      </c>
      <c r="E475">
        <v>1</v>
      </c>
      <c r="F475" t="s">
        <v>360</v>
      </c>
      <c r="G475" t="s">
        <v>377</v>
      </c>
      <c r="H475" s="13"/>
      <c r="I475" s="13"/>
      <c r="J475" s="13"/>
      <c r="K475" s="9" t="s">
        <v>294</v>
      </c>
      <c r="N475" s="78"/>
      <c r="O475" s="31" t="s">
        <v>632</v>
      </c>
      <c r="P475" s="9"/>
      <c r="Q475" s="9">
        <f>COUNTIF(Tabela4[[#All],[Cenário]],Tabela4[[#This Row],[Cenário]])</f>
        <v>1</v>
      </c>
      <c r="R475">
        <f>COUNTIFS(Tabela4[[#All],[Cenário]],Tabela4[[#This Row],[Cenário]],Tabela4[[#All],[Status]],"Keyuser - Concluído ")</f>
        <v>0</v>
      </c>
      <c r="S475" t="str">
        <f>IF(Tabela4[[#This Row],[Tarefas por Cenário]]-Tabela4[[#This Row],[Tarefas Concluídas]]&gt;0,"Não","Sim")</f>
        <v>Não</v>
      </c>
      <c r="T475">
        <f>COUNTIFS(Tabela4[[#All],[Cenário]],Tabela4[[#This Row],[Cenário]],Tabela4[[#All],[Status]],Tabela4[[#Headers],[Elo - Em correção ]])</f>
        <v>0</v>
      </c>
      <c r="U475">
        <f>COUNTIFS(Tabela4[[#All],[Cenário]],Tabela4[[#This Row],[Cenário]],Tabela4[[#All],[Status]],Tabela4[[#Headers],[Keyuser - Aguardando tarefa precedente]])</f>
        <v>0</v>
      </c>
      <c r="V475">
        <f>COUNTIFS(Tabela4[[#All],[Cenário]],Tabela4[[#This Row],[Cenário]],Tabela4[[#All],[Status]],Tabela4[[#Headers],[Não liberado  para testes]])</f>
        <v>0</v>
      </c>
      <c r="W475" t="str">
        <f>IF(Tabela4[[#This Row],[Elo - Em correção ]]&gt;0,"Sim","Não")</f>
        <v>Não</v>
      </c>
      <c r="X475" t="str">
        <f>IF(Tabela4[[#This Row],[Keyuser - Aguardando tarefa precedente]]&gt;0,"Sim","Não")</f>
        <v>Não</v>
      </c>
      <c r="Y475" t="str">
        <f>IF(Tabela4[[#This Row],[Não liberado  para testes]]&gt;0,"Sim","Não")</f>
        <v>Não</v>
      </c>
      <c r="Z475" t="str">
        <f ca="1">IF(Tabela4[[#This Row],[Status]]="Keyuser - Pendente",NETWORKDAYS(Tabela4[[#This Row],[Dt Inicial]],TODAY()),"")</f>
        <v/>
      </c>
      <c r="AA475" t="b">
        <f>AND(Tabela4[[#This Row],[Status]]="Keyuser - Aguardando tarefa precedente",K474="Keyuser - Concluído ")</f>
        <v>0</v>
      </c>
    </row>
    <row r="476" spans="1:27" x14ac:dyDescent="0.25">
      <c r="A476" t="str">
        <f>"OUT-"&amp;IFERROR(MID(Tabela4[[#This Row],[Cenário]],SEARCH("(",Tabela4[[#This Row],[Cenário]])+1,SEARCH(")",Tabela4[[#This Row],[Cenário]])-SEARCH("(",Tabela4[[#This Row],[Cenário]])-1),"")&amp;"_"&amp;ROW()</f>
        <v>OUT-DEV_476</v>
      </c>
      <c r="B476" t="s">
        <v>374</v>
      </c>
      <c r="C476" t="s">
        <v>633</v>
      </c>
      <c r="D476" t="s">
        <v>365</v>
      </c>
      <c r="E476">
        <v>2</v>
      </c>
      <c r="F476" t="s">
        <v>365</v>
      </c>
      <c r="G476" t="s">
        <v>310</v>
      </c>
      <c r="H476" s="13"/>
      <c r="I476" s="13"/>
      <c r="J476" s="13"/>
      <c r="K476" s="9" t="s">
        <v>294</v>
      </c>
      <c r="N476" s="78"/>
      <c r="O476" s="31" t="s">
        <v>632</v>
      </c>
      <c r="P476" s="9"/>
      <c r="Q476" s="9">
        <f>COUNTIF(Tabela4[[#All],[Cenário]],Tabela4[[#This Row],[Cenário]])</f>
        <v>5</v>
      </c>
      <c r="R476">
        <f>COUNTIFS(Tabela4[[#All],[Cenário]],Tabela4[[#This Row],[Cenário]],Tabela4[[#All],[Status]],"Keyuser - Concluído ")</f>
        <v>0</v>
      </c>
      <c r="S476" t="str">
        <f>IF(Tabela4[[#This Row],[Tarefas por Cenário]]-Tabela4[[#This Row],[Tarefas Concluídas]]&gt;0,"Não","Sim")</f>
        <v>Não</v>
      </c>
      <c r="T476">
        <f>COUNTIFS(Tabela4[[#All],[Cenário]],Tabela4[[#This Row],[Cenário]],Tabela4[[#All],[Status]],Tabela4[[#Headers],[Elo - Em correção ]])</f>
        <v>0</v>
      </c>
      <c r="U476">
        <f>COUNTIFS(Tabela4[[#All],[Cenário]],Tabela4[[#This Row],[Cenário]],Tabela4[[#All],[Status]],Tabela4[[#Headers],[Keyuser - Aguardando tarefa precedente]])</f>
        <v>0</v>
      </c>
      <c r="V476">
        <f>COUNTIFS(Tabela4[[#All],[Cenário]],Tabela4[[#This Row],[Cenário]],Tabela4[[#All],[Status]],Tabela4[[#Headers],[Não liberado  para testes]])</f>
        <v>0</v>
      </c>
      <c r="W476" t="str">
        <f>IF(Tabela4[[#This Row],[Elo - Em correção ]]&gt;0,"Sim","Não")</f>
        <v>Não</v>
      </c>
      <c r="X476" t="str">
        <f>IF(Tabela4[[#This Row],[Keyuser - Aguardando tarefa precedente]]&gt;0,"Sim","Não")</f>
        <v>Não</v>
      </c>
      <c r="Y476" t="str">
        <f>IF(Tabela4[[#This Row],[Não liberado  para testes]]&gt;0,"Sim","Não")</f>
        <v>Não</v>
      </c>
      <c r="Z476" t="str">
        <f ca="1">IF(Tabela4[[#This Row],[Status]]="Keyuser - Pendente",NETWORKDAYS(Tabela4[[#This Row],[Dt Inicial]],TODAY()),"")</f>
        <v/>
      </c>
      <c r="AA476" t="b">
        <f>AND(Tabela4[[#This Row],[Status]]="Keyuser - Aguardando tarefa precedente",K475="Keyuser - Concluído ")</f>
        <v>0</v>
      </c>
    </row>
    <row r="477" spans="1:27" x14ac:dyDescent="0.25">
      <c r="A477" t="str">
        <f>"OUT-"&amp;IFERROR(MID(Tabela4[[#This Row],[Cenário]],SEARCH("(",Tabela4[[#This Row],[Cenário]])+1,SEARCH(")",Tabela4[[#This Row],[Cenário]])-SEARCH("(",Tabela4[[#This Row],[Cenário]])-1),"")&amp;"_"&amp;ROW()</f>
        <v>OUT-DEV_477</v>
      </c>
      <c r="B477" t="s">
        <v>374</v>
      </c>
      <c r="C477" t="s">
        <v>633</v>
      </c>
      <c r="D477" t="s">
        <v>368</v>
      </c>
      <c r="E477">
        <v>3</v>
      </c>
      <c r="F477" t="s">
        <v>368</v>
      </c>
      <c r="G477" t="s">
        <v>377</v>
      </c>
      <c r="H477" s="13"/>
      <c r="I477" s="13"/>
      <c r="J477" s="13"/>
      <c r="K477" s="9" t="s">
        <v>294</v>
      </c>
      <c r="N477" s="78"/>
      <c r="O477" s="31" t="s">
        <v>632</v>
      </c>
      <c r="P477" s="9"/>
      <c r="Q477" s="9">
        <f>COUNTIF(Tabela4[[#All],[Cenário]],Tabela4[[#This Row],[Cenário]])</f>
        <v>5</v>
      </c>
      <c r="R477">
        <f>COUNTIFS(Tabela4[[#All],[Cenário]],Tabela4[[#This Row],[Cenário]],Tabela4[[#All],[Status]],"Keyuser - Concluído ")</f>
        <v>0</v>
      </c>
      <c r="S477" t="str">
        <f>IF(Tabela4[[#This Row],[Tarefas por Cenário]]-Tabela4[[#This Row],[Tarefas Concluídas]]&gt;0,"Não","Sim")</f>
        <v>Não</v>
      </c>
      <c r="T477">
        <f>COUNTIFS(Tabela4[[#All],[Cenário]],Tabela4[[#This Row],[Cenário]],Tabela4[[#All],[Status]],Tabela4[[#Headers],[Elo - Em correção ]])</f>
        <v>0</v>
      </c>
      <c r="U477">
        <f>COUNTIFS(Tabela4[[#All],[Cenário]],Tabela4[[#This Row],[Cenário]],Tabela4[[#All],[Status]],Tabela4[[#Headers],[Keyuser - Aguardando tarefa precedente]])</f>
        <v>0</v>
      </c>
      <c r="V477">
        <f>COUNTIFS(Tabela4[[#All],[Cenário]],Tabela4[[#This Row],[Cenário]],Tabela4[[#All],[Status]],Tabela4[[#Headers],[Não liberado  para testes]])</f>
        <v>0</v>
      </c>
      <c r="W477" t="str">
        <f>IF(Tabela4[[#This Row],[Elo - Em correção ]]&gt;0,"Sim","Não")</f>
        <v>Não</v>
      </c>
      <c r="X477" t="str">
        <f>IF(Tabela4[[#This Row],[Keyuser - Aguardando tarefa precedente]]&gt;0,"Sim","Não")</f>
        <v>Não</v>
      </c>
      <c r="Y477" t="str">
        <f>IF(Tabela4[[#This Row],[Não liberado  para testes]]&gt;0,"Sim","Não")</f>
        <v>Não</v>
      </c>
      <c r="Z477" t="str">
        <f ca="1">IF(Tabela4[[#This Row],[Status]]="Keyuser - Pendente",NETWORKDAYS(Tabela4[[#This Row],[Dt Inicial]],TODAY()),"")</f>
        <v/>
      </c>
      <c r="AA477" t="b">
        <f>AND(Tabela4[[#This Row],[Status]]="Keyuser - Aguardando tarefa precedente",K476="Keyuser - Concluído ")</f>
        <v>0</v>
      </c>
    </row>
    <row r="478" spans="1:27" x14ac:dyDescent="0.25">
      <c r="A478" t="str">
        <f>"OUT-"&amp;IFERROR(MID(Tabela4[[#This Row],[Cenário]],SEARCH("(",Tabela4[[#This Row],[Cenário]])+1,SEARCH(")",Tabela4[[#This Row],[Cenário]])-SEARCH("(",Tabela4[[#This Row],[Cenário]])-1),"")&amp;"_"&amp;ROW()</f>
        <v>OUT-DEV_478</v>
      </c>
      <c r="B478" t="s">
        <v>374</v>
      </c>
      <c r="C478" t="s">
        <v>633</v>
      </c>
      <c r="D478" t="s">
        <v>371</v>
      </c>
      <c r="E478">
        <v>4</v>
      </c>
      <c r="F478" t="s">
        <v>372</v>
      </c>
      <c r="G478" t="s">
        <v>287</v>
      </c>
      <c r="H478" s="13"/>
      <c r="I478" s="13"/>
      <c r="J478" s="13"/>
      <c r="K478" s="9" t="s">
        <v>294</v>
      </c>
      <c r="N478" s="78"/>
      <c r="O478" s="31" t="s">
        <v>632</v>
      </c>
      <c r="P478" s="9"/>
      <c r="Q478" s="9">
        <f>COUNTIF(Tabela4[[#All],[Cenário]],Tabela4[[#This Row],[Cenário]])</f>
        <v>5</v>
      </c>
      <c r="R478">
        <f>COUNTIFS(Tabela4[[#All],[Cenário]],Tabela4[[#This Row],[Cenário]],Tabela4[[#All],[Status]],"Keyuser - Concluído ")</f>
        <v>0</v>
      </c>
      <c r="S478" t="str">
        <f>IF(Tabela4[[#This Row],[Tarefas por Cenário]]-Tabela4[[#This Row],[Tarefas Concluídas]]&gt;0,"Não","Sim")</f>
        <v>Não</v>
      </c>
      <c r="T478">
        <f>COUNTIFS(Tabela4[[#All],[Cenário]],Tabela4[[#This Row],[Cenário]],Tabela4[[#All],[Status]],Tabela4[[#Headers],[Elo - Em correção ]])</f>
        <v>0</v>
      </c>
      <c r="U478">
        <f>COUNTIFS(Tabela4[[#All],[Cenário]],Tabela4[[#This Row],[Cenário]],Tabela4[[#All],[Status]],Tabela4[[#Headers],[Keyuser - Aguardando tarefa precedente]])</f>
        <v>0</v>
      </c>
      <c r="V478">
        <f>COUNTIFS(Tabela4[[#All],[Cenário]],Tabela4[[#This Row],[Cenário]],Tabela4[[#All],[Status]],Tabela4[[#Headers],[Não liberado  para testes]])</f>
        <v>0</v>
      </c>
      <c r="W478" t="str">
        <f>IF(Tabela4[[#This Row],[Elo - Em correção ]]&gt;0,"Sim","Não")</f>
        <v>Não</v>
      </c>
      <c r="X478" t="str">
        <f>IF(Tabela4[[#This Row],[Keyuser - Aguardando tarefa precedente]]&gt;0,"Sim","Não")</f>
        <v>Não</v>
      </c>
      <c r="Y478" t="str">
        <f>IF(Tabela4[[#This Row],[Não liberado  para testes]]&gt;0,"Sim","Não")</f>
        <v>Não</v>
      </c>
      <c r="Z478" t="str">
        <f ca="1">IF(Tabela4[[#This Row],[Status]]="Keyuser - Pendente",NETWORKDAYS(Tabela4[[#This Row],[Dt Inicial]],TODAY()),"")</f>
        <v/>
      </c>
      <c r="AA478" t="b">
        <f>AND(Tabela4[[#This Row],[Status]]="Keyuser - Aguardando tarefa precedente",K477="Keyuser - Concluído ")</f>
        <v>0</v>
      </c>
    </row>
    <row r="479" spans="1:27" x14ac:dyDescent="0.25">
      <c r="A479" t="str">
        <f>"OUT-"&amp;IFERROR(MID(Tabela4[[#This Row],[Cenário]],SEARCH("(",Tabela4[[#This Row],[Cenário]])+1,SEARCH(")",Tabela4[[#This Row],[Cenário]])-SEARCH("(",Tabela4[[#This Row],[Cenário]])-1),"")&amp;"_"&amp;ROW()</f>
        <v>OUT-DEV_479</v>
      </c>
      <c r="B479" t="s">
        <v>374</v>
      </c>
      <c r="C479" t="s">
        <v>633</v>
      </c>
      <c r="D479" t="s">
        <v>373</v>
      </c>
      <c r="E479">
        <v>5</v>
      </c>
      <c r="F479" t="s">
        <v>373</v>
      </c>
      <c r="G479" t="s">
        <v>283</v>
      </c>
      <c r="H479" s="13"/>
      <c r="I479" s="13"/>
      <c r="J479" s="13"/>
      <c r="K479" s="9" t="s">
        <v>294</v>
      </c>
      <c r="N479" s="78"/>
      <c r="O479" s="31" t="s">
        <v>632</v>
      </c>
      <c r="P479" s="9"/>
      <c r="Q479" s="9">
        <f>COUNTIF(Tabela4[[#All],[Cenário]],Tabela4[[#This Row],[Cenário]])</f>
        <v>5</v>
      </c>
      <c r="R479">
        <f>COUNTIFS(Tabela4[[#All],[Cenário]],Tabela4[[#This Row],[Cenário]],Tabela4[[#All],[Status]],"Keyuser - Concluído ")</f>
        <v>0</v>
      </c>
      <c r="S479" t="str">
        <f>IF(Tabela4[[#This Row],[Tarefas por Cenário]]-Tabela4[[#This Row],[Tarefas Concluídas]]&gt;0,"Não","Sim")</f>
        <v>Não</v>
      </c>
      <c r="T479">
        <f>COUNTIFS(Tabela4[[#All],[Cenário]],Tabela4[[#This Row],[Cenário]],Tabela4[[#All],[Status]],Tabela4[[#Headers],[Elo - Em correção ]])</f>
        <v>0</v>
      </c>
      <c r="U479">
        <f>COUNTIFS(Tabela4[[#All],[Cenário]],Tabela4[[#This Row],[Cenário]],Tabela4[[#All],[Status]],Tabela4[[#Headers],[Keyuser - Aguardando tarefa precedente]])</f>
        <v>0</v>
      </c>
      <c r="V479">
        <f>COUNTIFS(Tabela4[[#All],[Cenário]],Tabela4[[#This Row],[Cenário]],Tabela4[[#All],[Status]],Tabela4[[#Headers],[Não liberado  para testes]])</f>
        <v>0</v>
      </c>
      <c r="W479" t="str">
        <f>IF(Tabela4[[#This Row],[Elo - Em correção ]]&gt;0,"Sim","Não")</f>
        <v>Não</v>
      </c>
      <c r="X479" t="str">
        <f>IF(Tabela4[[#This Row],[Keyuser - Aguardando tarefa precedente]]&gt;0,"Sim","Não")</f>
        <v>Não</v>
      </c>
      <c r="Y479" t="str">
        <f>IF(Tabela4[[#This Row],[Não liberado  para testes]]&gt;0,"Sim","Não")</f>
        <v>Não</v>
      </c>
      <c r="Z479" t="str">
        <f ca="1">IF(Tabela4[[#This Row],[Status]]="Keyuser - Pendente",NETWORKDAYS(Tabela4[[#This Row],[Dt Inicial]],TODAY()),"")</f>
        <v/>
      </c>
      <c r="AA479" t="b">
        <f>AND(Tabela4[[#This Row],[Status]]="Keyuser - Aguardando tarefa precedente",K478="Keyuser - Concluído ")</f>
        <v>0</v>
      </c>
    </row>
    <row r="480" spans="1:27" x14ac:dyDescent="0.25">
      <c r="A480" t="str">
        <f>"OUT-"&amp;IFERROR(MID(Tabela4[[#This Row],[Cenário]],SEARCH("(",Tabela4[[#This Row],[Cenário]])+1,SEARCH(")",Tabela4[[#This Row],[Cenário]])-SEARCH("(",Tabela4[[#This Row],[Cenário]])-1),"")&amp;"_"&amp;ROW()</f>
        <v>OUT-DEV_480</v>
      </c>
      <c r="B480" t="s">
        <v>374</v>
      </c>
      <c r="C480" t="s">
        <v>633</v>
      </c>
      <c r="D480" t="s">
        <v>286</v>
      </c>
      <c r="E480">
        <v>6</v>
      </c>
      <c r="F480" t="s">
        <v>286</v>
      </c>
      <c r="G480" t="s">
        <v>287</v>
      </c>
      <c r="H480" s="13"/>
      <c r="I480" s="13"/>
      <c r="J480" s="13"/>
      <c r="K480" s="9" t="s">
        <v>294</v>
      </c>
      <c r="N480" s="78"/>
      <c r="O480" s="31" t="s">
        <v>632</v>
      </c>
      <c r="P480" s="9"/>
      <c r="Q480" s="9">
        <f>COUNTIF(Tabela4[[#All],[Cenário]],Tabela4[[#This Row],[Cenário]])</f>
        <v>5</v>
      </c>
      <c r="R480">
        <f>COUNTIFS(Tabela4[[#All],[Cenário]],Tabela4[[#This Row],[Cenário]],Tabela4[[#All],[Status]],"Keyuser - Concluído ")</f>
        <v>0</v>
      </c>
      <c r="S480" t="str">
        <f>IF(Tabela4[[#This Row],[Tarefas por Cenário]]-Tabela4[[#This Row],[Tarefas Concluídas]]&gt;0,"Não","Sim")</f>
        <v>Não</v>
      </c>
      <c r="T480">
        <f>COUNTIFS(Tabela4[[#All],[Cenário]],Tabela4[[#This Row],[Cenário]],Tabela4[[#All],[Status]],Tabela4[[#Headers],[Elo - Em correção ]])</f>
        <v>0</v>
      </c>
      <c r="U480">
        <f>COUNTIFS(Tabela4[[#All],[Cenário]],Tabela4[[#This Row],[Cenário]],Tabela4[[#All],[Status]],Tabela4[[#Headers],[Keyuser - Aguardando tarefa precedente]])</f>
        <v>0</v>
      </c>
      <c r="V480">
        <f>COUNTIFS(Tabela4[[#All],[Cenário]],Tabela4[[#This Row],[Cenário]],Tabela4[[#All],[Status]],Tabela4[[#Headers],[Não liberado  para testes]])</f>
        <v>0</v>
      </c>
      <c r="W480" t="str">
        <f>IF(Tabela4[[#This Row],[Elo - Em correção ]]&gt;0,"Sim","Não")</f>
        <v>Não</v>
      </c>
      <c r="X480" t="str">
        <f>IF(Tabela4[[#This Row],[Keyuser - Aguardando tarefa precedente]]&gt;0,"Sim","Não")</f>
        <v>Não</v>
      </c>
      <c r="Y480" t="str">
        <f>IF(Tabela4[[#This Row],[Não liberado  para testes]]&gt;0,"Sim","Não")</f>
        <v>Não</v>
      </c>
      <c r="Z480" t="str">
        <f ca="1">IF(Tabela4[[#This Row],[Status]]="Keyuser - Pendente",NETWORKDAYS(Tabela4[[#This Row],[Dt Inicial]],TODAY()),"")</f>
        <v/>
      </c>
      <c r="AA480" t="b">
        <f>AND(Tabela4[[#This Row],[Status]]="Keyuser - Aguardando tarefa precedente",K479="Keyuser - Concluído ")</f>
        <v>0</v>
      </c>
    </row>
    <row r="481" spans="1:27" x14ac:dyDescent="0.25">
      <c r="A481" t="str">
        <f>"OUT-"&amp;IFERROR(MID(Tabela4[[#This Row],[Cenário]],SEARCH("(",Tabela4[[#This Row],[Cenário]])+1,SEARCH(")",Tabela4[[#This Row],[Cenário]])-SEARCH("(",Tabela4[[#This Row],[Cenário]])-1),"")&amp;"_"&amp;ROW()</f>
        <v>OUT-YRET_481</v>
      </c>
      <c r="B481" t="s">
        <v>374</v>
      </c>
      <c r="C481" t="s">
        <v>634</v>
      </c>
      <c r="D481" t="s">
        <v>360</v>
      </c>
      <c r="E481">
        <v>1</v>
      </c>
      <c r="F481" t="s">
        <v>360</v>
      </c>
      <c r="G481" t="s">
        <v>377</v>
      </c>
      <c r="H481" s="13"/>
      <c r="I481" s="13"/>
      <c r="J481" s="13"/>
      <c r="K481" s="9" t="s">
        <v>294</v>
      </c>
      <c r="N481" s="78"/>
      <c r="O481" s="31" t="s">
        <v>635</v>
      </c>
      <c r="P481" s="9"/>
      <c r="Q481" s="9">
        <f>COUNTIF(Tabela4[[#All],[Cenário]],Tabela4[[#This Row],[Cenário]])</f>
        <v>1</v>
      </c>
      <c r="R481">
        <f>COUNTIFS(Tabela4[[#All],[Cenário]],Tabela4[[#This Row],[Cenário]],Tabela4[[#All],[Status]],"Keyuser - Concluído ")</f>
        <v>0</v>
      </c>
      <c r="S481" t="str">
        <f>IF(Tabela4[[#This Row],[Tarefas por Cenário]]-Tabela4[[#This Row],[Tarefas Concluídas]]&gt;0,"Não","Sim")</f>
        <v>Não</v>
      </c>
      <c r="T481">
        <f>COUNTIFS(Tabela4[[#All],[Cenário]],Tabela4[[#This Row],[Cenário]],Tabela4[[#All],[Status]],Tabela4[[#Headers],[Elo - Em correção ]])</f>
        <v>0</v>
      </c>
      <c r="U481">
        <f>COUNTIFS(Tabela4[[#All],[Cenário]],Tabela4[[#This Row],[Cenário]],Tabela4[[#All],[Status]],Tabela4[[#Headers],[Keyuser - Aguardando tarefa precedente]])</f>
        <v>0</v>
      </c>
      <c r="V481">
        <f>COUNTIFS(Tabela4[[#All],[Cenário]],Tabela4[[#This Row],[Cenário]],Tabela4[[#All],[Status]],Tabela4[[#Headers],[Não liberado  para testes]])</f>
        <v>0</v>
      </c>
      <c r="W481" t="str">
        <f>IF(Tabela4[[#This Row],[Elo - Em correção ]]&gt;0,"Sim","Não")</f>
        <v>Não</v>
      </c>
      <c r="X481" t="str">
        <f>IF(Tabela4[[#This Row],[Keyuser - Aguardando tarefa precedente]]&gt;0,"Sim","Não")</f>
        <v>Não</v>
      </c>
      <c r="Y481" t="str">
        <f>IF(Tabela4[[#This Row],[Não liberado  para testes]]&gt;0,"Sim","Não")</f>
        <v>Não</v>
      </c>
      <c r="Z481" t="str">
        <f ca="1">IF(Tabela4[[#This Row],[Status]]="Keyuser - Pendente",NETWORKDAYS(Tabela4[[#This Row],[Dt Inicial]],TODAY()),"")</f>
        <v/>
      </c>
      <c r="AA481" t="b">
        <f>AND(Tabela4[[#This Row],[Status]]="Keyuser - Aguardando tarefa precedente",K480="Keyuser - Concluído ")</f>
        <v>0</v>
      </c>
    </row>
    <row r="482" spans="1:27" x14ac:dyDescent="0.25">
      <c r="A482" t="str">
        <f>"OUT-"&amp;IFERROR(MID(Tabela4[[#This Row],[Cenário]],SEARCH("(",Tabela4[[#This Row],[Cenário]])+1,SEARCH(")",Tabela4[[#This Row],[Cenário]])-SEARCH("(",Tabela4[[#This Row],[Cenário]])-1),"")&amp;"_"&amp;ROW()</f>
        <v>OUT-RET_482</v>
      </c>
      <c r="B482" t="s">
        <v>374</v>
      </c>
      <c r="C482" t="s">
        <v>636</v>
      </c>
      <c r="D482" t="s">
        <v>365</v>
      </c>
      <c r="E482">
        <v>2</v>
      </c>
      <c r="F482" t="s">
        <v>365</v>
      </c>
      <c r="G482" t="s">
        <v>310</v>
      </c>
      <c r="H482" s="13"/>
      <c r="I482" s="13"/>
      <c r="J482" s="13"/>
      <c r="K482" s="9" t="s">
        <v>294</v>
      </c>
      <c r="N482" s="78"/>
      <c r="O482" s="31" t="s">
        <v>635</v>
      </c>
      <c r="P482" s="9"/>
      <c r="Q482" s="9">
        <f>COUNTIF(Tabela4[[#All],[Cenário]],Tabela4[[#This Row],[Cenário]])</f>
        <v>4</v>
      </c>
      <c r="R482">
        <f>COUNTIFS(Tabela4[[#All],[Cenário]],Tabela4[[#This Row],[Cenário]],Tabela4[[#All],[Status]],"Keyuser - Concluído ")</f>
        <v>0</v>
      </c>
      <c r="S482" t="str">
        <f>IF(Tabela4[[#This Row],[Tarefas por Cenário]]-Tabela4[[#This Row],[Tarefas Concluídas]]&gt;0,"Não","Sim")</f>
        <v>Não</v>
      </c>
      <c r="T482">
        <f>COUNTIFS(Tabela4[[#All],[Cenário]],Tabela4[[#This Row],[Cenário]],Tabela4[[#All],[Status]],Tabela4[[#Headers],[Elo - Em correção ]])</f>
        <v>0</v>
      </c>
      <c r="U482">
        <f>COUNTIFS(Tabela4[[#All],[Cenário]],Tabela4[[#This Row],[Cenário]],Tabela4[[#All],[Status]],Tabela4[[#Headers],[Keyuser - Aguardando tarefa precedente]])</f>
        <v>0</v>
      </c>
      <c r="V482">
        <f>COUNTIFS(Tabela4[[#All],[Cenário]],Tabela4[[#This Row],[Cenário]],Tabela4[[#All],[Status]],Tabela4[[#Headers],[Não liberado  para testes]])</f>
        <v>0</v>
      </c>
      <c r="W482" t="str">
        <f>IF(Tabela4[[#This Row],[Elo - Em correção ]]&gt;0,"Sim","Não")</f>
        <v>Não</v>
      </c>
      <c r="X482" t="str">
        <f>IF(Tabela4[[#This Row],[Keyuser - Aguardando tarefa precedente]]&gt;0,"Sim","Não")</f>
        <v>Não</v>
      </c>
      <c r="Y482" t="str">
        <f>IF(Tabela4[[#This Row],[Não liberado  para testes]]&gt;0,"Sim","Não")</f>
        <v>Não</v>
      </c>
      <c r="Z482" t="str">
        <f ca="1">IF(Tabela4[[#This Row],[Status]]="Keyuser - Pendente",NETWORKDAYS(Tabela4[[#This Row],[Dt Inicial]],TODAY()),"")</f>
        <v/>
      </c>
      <c r="AA482" t="b">
        <f>AND(Tabela4[[#This Row],[Status]]="Keyuser - Aguardando tarefa precedente",K481="Keyuser - Concluído ")</f>
        <v>0</v>
      </c>
    </row>
    <row r="483" spans="1:27" x14ac:dyDescent="0.25">
      <c r="A483" t="str">
        <f>"OUT-"&amp;IFERROR(MID(Tabela4[[#This Row],[Cenário]],SEARCH("(",Tabela4[[#This Row],[Cenário]])+1,SEARCH(")",Tabela4[[#This Row],[Cenário]])-SEARCH("(",Tabela4[[#This Row],[Cenário]])-1),"")&amp;"_"&amp;ROW()</f>
        <v>OUT-RET_483</v>
      </c>
      <c r="B483" t="s">
        <v>374</v>
      </c>
      <c r="C483" t="s">
        <v>636</v>
      </c>
      <c r="D483" t="s">
        <v>368</v>
      </c>
      <c r="E483">
        <v>4</v>
      </c>
      <c r="F483" t="s">
        <v>368</v>
      </c>
      <c r="G483" t="s">
        <v>377</v>
      </c>
      <c r="H483" s="13"/>
      <c r="I483" s="13"/>
      <c r="J483" s="13"/>
      <c r="K483" s="9" t="s">
        <v>294</v>
      </c>
      <c r="N483" s="78"/>
      <c r="O483" s="31" t="s">
        <v>635</v>
      </c>
      <c r="P483" s="9"/>
      <c r="Q483" s="9">
        <f>COUNTIF(Tabela4[[#All],[Cenário]],Tabela4[[#This Row],[Cenário]])</f>
        <v>4</v>
      </c>
      <c r="R483">
        <f>COUNTIFS(Tabela4[[#All],[Cenário]],Tabela4[[#This Row],[Cenário]],Tabela4[[#All],[Status]],"Keyuser - Concluído ")</f>
        <v>0</v>
      </c>
      <c r="S483" t="str">
        <f>IF(Tabela4[[#This Row],[Tarefas por Cenário]]-Tabela4[[#This Row],[Tarefas Concluídas]]&gt;0,"Não","Sim")</f>
        <v>Não</v>
      </c>
      <c r="T483">
        <f>COUNTIFS(Tabela4[[#All],[Cenário]],Tabela4[[#This Row],[Cenário]],Tabela4[[#All],[Status]],Tabela4[[#Headers],[Elo - Em correção ]])</f>
        <v>0</v>
      </c>
      <c r="U483">
        <f>COUNTIFS(Tabela4[[#All],[Cenário]],Tabela4[[#This Row],[Cenário]],Tabela4[[#All],[Status]],Tabela4[[#Headers],[Keyuser - Aguardando tarefa precedente]])</f>
        <v>0</v>
      </c>
      <c r="V483">
        <f>COUNTIFS(Tabela4[[#All],[Cenário]],Tabela4[[#This Row],[Cenário]],Tabela4[[#All],[Status]],Tabela4[[#Headers],[Não liberado  para testes]])</f>
        <v>0</v>
      </c>
      <c r="W483" t="str">
        <f>IF(Tabela4[[#This Row],[Elo - Em correção ]]&gt;0,"Sim","Não")</f>
        <v>Não</v>
      </c>
      <c r="X483" t="str">
        <f>IF(Tabela4[[#This Row],[Keyuser - Aguardando tarefa precedente]]&gt;0,"Sim","Não")</f>
        <v>Não</v>
      </c>
      <c r="Y483" t="str">
        <f>IF(Tabela4[[#This Row],[Não liberado  para testes]]&gt;0,"Sim","Não")</f>
        <v>Não</v>
      </c>
      <c r="Z483" t="str">
        <f ca="1">IF(Tabela4[[#This Row],[Status]]="Keyuser - Pendente",NETWORKDAYS(Tabela4[[#This Row],[Dt Inicial]],TODAY()),"")</f>
        <v/>
      </c>
      <c r="AA483" t="b">
        <f>AND(Tabela4[[#This Row],[Status]]="Keyuser - Aguardando tarefa precedente",K482="Keyuser - Concluído ")</f>
        <v>0</v>
      </c>
    </row>
    <row r="484" spans="1:27" x14ac:dyDescent="0.25">
      <c r="A484" t="str">
        <f>"OUT-"&amp;IFERROR(MID(Tabela4[[#This Row],[Cenário]],SEARCH("(",Tabela4[[#This Row],[Cenário]])+1,SEARCH(")",Tabela4[[#This Row],[Cenário]])-SEARCH("(",Tabela4[[#This Row],[Cenário]])-1),"")&amp;"_"&amp;ROW()</f>
        <v>OUT-RET_484</v>
      </c>
      <c r="B484" t="s">
        <v>374</v>
      </c>
      <c r="C484" t="s">
        <v>636</v>
      </c>
      <c r="D484" t="s">
        <v>434</v>
      </c>
      <c r="E484">
        <v>5</v>
      </c>
      <c r="F484" t="s">
        <v>435</v>
      </c>
      <c r="G484" t="s">
        <v>287</v>
      </c>
      <c r="H484" s="13"/>
      <c r="I484" s="13"/>
      <c r="J484" s="13"/>
      <c r="K484" s="9" t="s">
        <v>294</v>
      </c>
      <c r="N484" s="78"/>
      <c r="O484" s="31" t="s">
        <v>635</v>
      </c>
      <c r="P484" s="9"/>
      <c r="Q484" s="9">
        <f>COUNTIF(Tabela4[[#All],[Cenário]],Tabela4[[#This Row],[Cenário]])</f>
        <v>4</v>
      </c>
      <c r="R484">
        <f>COUNTIFS(Tabela4[[#All],[Cenário]],Tabela4[[#This Row],[Cenário]],Tabela4[[#All],[Status]],"Keyuser - Concluído ")</f>
        <v>0</v>
      </c>
      <c r="S484" t="str">
        <f>IF(Tabela4[[#This Row],[Tarefas por Cenário]]-Tabela4[[#This Row],[Tarefas Concluídas]]&gt;0,"Não","Sim")</f>
        <v>Não</v>
      </c>
      <c r="T484">
        <f>COUNTIFS(Tabela4[[#All],[Cenário]],Tabela4[[#This Row],[Cenário]],Tabela4[[#All],[Status]],Tabela4[[#Headers],[Elo - Em correção ]])</f>
        <v>0</v>
      </c>
      <c r="U484">
        <f>COUNTIFS(Tabela4[[#All],[Cenário]],Tabela4[[#This Row],[Cenário]],Tabela4[[#All],[Status]],Tabela4[[#Headers],[Keyuser - Aguardando tarefa precedente]])</f>
        <v>0</v>
      </c>
      <c r="V484">
        <f>COUNTIFS(Tabela4[[#All],[Cenário]],Tabela4[[#This Row],[Cenário]],Tabela4[[#All],[Status]],Tabela4[[#Headers],[Não liberado  para testes]])</f>
        <v>0</v>
      </c>
      <c r="W484" t="str">
        <f>IF(Tabela4[[#This Row],[Elo - Em correção ]]&gt;0,"Sim","Não")</f>
        <v>Não</v>
      </c>
      <c r="X484" t="str">
        <f>IF(Tabela4[[#This Row],[Keyuser - Aguardando tarefa precedente]]&gt;0,"Sim","Não")</f>
        <v>Não</v>
      </c>
      <c r="Y484" t="str">
        <f>IF(Tabela4[[#This Row],[Não liberado  para testes]]&gt;0,"Sim","Não")</f>
        <v>Não</v>
      </c>
      <c r="Z484" t="str">
        <f ca="1">IF(Tabela4[[#This Row],[Status]]="Keyuser - Pendente",NETWORKDAYS(Tabela4[[#This Row],[Dt Inicial]],TODAY()),"")</f>
        <v/>
      </c>
      <c r="AA484" t="b">
        <f>AND(Tabela4[[#This Row],[Status]]="Keyuser - Aguardando tarefa precedente",K483="Keyuser - Concluído ")</f>
        <v>0</v>
      </c>
    </row>
    <row r="485" spans="1:27" x14ac:dyDescent="0.25">
      <c r="A485" t="str">
        <f>"OUT-"&amp;IFERROR(MID(Tabela4[[#This Row],[Cenário]],SEARCH("(",Tabela4[[#This Row],[Cenário]])+1,SEARCH(")",Tabela4[[#This Row],[Cenário]])-SEARCH("(",Tabela4[[#This Row],[Cenário]])-1),"")&amp;"_"&amp;ROW()</f>
        <v>OUT-RET_485</v>
      </c>
      <c r="B485" t="s">
        <v>374</v>
      </c>
      <c r="C485" t="s">
        <v>636</v>
      </c>
      <c r="D485" t="s">
        <v>373</v>
      </c>
      <c r="E485">
        <v>6</v>
      </c>
      <c r="F485" t="s">
        <v>373</v>
      </c>
      <c r="G485" t="s">
        <v>283</v>
      </c>
      <c r="H485" s="13"/>
      <c r="I485" s="13"/>
      <c r="J485" s="13"/>
      <c r="K485" s="9" t="s">
        <v>294</v>
      </c>
      <c r="N485" s="78"/>
      <c r="O485" s="31" t="s">
        <v>635</v>
      </c>
      <c r="P485" s="9"/>
      <c r="Q485" s="9">
        <f>COUNTIF(Tabela4[[#All],[Cenário]],Tabela4[[#This Row],[Cenário]])</f>
        <v>4</v>
      </c>
      <c r="R485">
        <f>COUNTIFS(Tabela4[[#All],[Cenário]],Tabela4[[#This Row],[Cenário]],Tabela4[[#All],[Status]],"Keyuser - Concluído ")</f>
        <v>0</v>
      </c>
      <c r="S485" t="str">
        <f>IF(Tabela4[[#This Row],[Tarefas por Cenário]]-Tabela4[[#This Row],[Tarefas Concluídas]]&gt;0,"Não","Sim")</f>
        <v>Não</v>
      </c>
      <c r="T485">
        <f>COUNTIFS(Tabela4[[#All],[Cenário]],Tabela4[[#This Row],[Cenário]],Tabela4[[#All],[Status]],Tabela4[[#Headers],[Elo - Em correção ]])</f>
        <v>0</v>
      </c>
      <c r="U485">
        <f>COUNTIFS(Tabela4[[#All],[Cenário]],Tabela4[[#This Row],[Cenário]],Tabela4[[#All],[Status]],Tabela4[[#Headers],[Keyuser - Aguardando tarefa precedente]])</f>
        <v>0</v>
      </c>
      <c r="V485">
        <f>COUNTIFS(Tabela4[[#All],[Cenário]],Tabela4[[#This Row],[Cenário]],Tabela4[[#All],[Status]],Tabela4[[#Headers],[Não liberado  para testes]])</f>
        <v>0</v>
      </c>
      <c r="W485" t="str">
        <f>IF(Tabela4[[#This Row],[Elo - Em correção ]]&gt;0,"Sim","Não")</f>
        <v>Não</v>
      </c>
      <c r="X485" t="str">
        <f>IF(Tabela4[[#This Row],[Keyuser - Aguardando tarefa precedente]]&gt;0,"Sim","Não")</f>
        <v>Não</v>
      </c>
      <c r="Y485" t="str">
        <f>IF(Tabela4[[#This Row],[Não liberado  para testes]]&gt;0,"Sim","Não")</f>
        <v>Não</v>
      </c>
      <c r="Z485" t="str">
        <f ca="1">IF(Tabela4[[#This Row],[Status]]="Keyuser - Pendente",NETWORKDAYS(Tabela4[[#This Row],[Dt Inicial]],TODAY()),"")</f>
        <v/>
      </c>
      <c r="AA485" t="b">
        <f>AND(Tabela4[[#This Row],[Status]]="Keyuser - Aguardando tarefa precedente",K484="Keyuser - Concluído ")</f>
        <v>0</v>
      </c>
    </row>
    <row r="486" spans="1:27" x14ac:dyDescent="0.25">
      <c r="A486" t="str">
        <f>"OUT-"&amp;IFERROR(MID(Tabela4[[#This Row],[Cenário]],SEARCH("(",Tabela4[[#This Row],[Cenário]])+1,SEARCH(")",Tabela4[[#This Row],[Cenário]])-SEARCH("(",Tabela4[[#This Row],[Cenário]])-1),"")&amp;"_"&amp;ROW()</f>
        <v>OUT-Y002_486</v>
      </c>
      <c r="B486" t="s">
        <v>358</v>
      </c>
      <c r="C486" t="s">
        <v>637</v>
      </c>
      <c r="D486" s="5" t="s">
        <v>360</v>
      </c>
      <c r="E486">
        <v>1</v>
      </c>
      <c r="F486" t="s">
        <v>360</v>
      </c>
      <c r="G486" t="s">
        <v>361</v>
      </c>
      <c r="H486" s="49">
        <v>15603645</v>
      </c>
      <c r="I486" s="9" t="s">
        <v>638</v>
      </c>
      <c r="J486" s="9" t="s">
        <v>364</v>
      </c>
      <c r="K486" s="9" t="s">
        <v>271</v>
      </c>
      <c r="L486" s="78">
        <v>45953</v>
      </c>
      <c r="N486" s="78">
        <v>45953</v>
      </c>
      <c r="O486" s="31"/>
      <c r="P486" s="9"/>
      <c r="Q486" s="9">
        <f>COUNTIF(Tabela4[[#All],[Cenário]],Tabela4[[#This Row],[Cenário]])</f>
        <v>8</v>
      </c>
      <c r="R486">
        <f>COUNTIFS(Tabela4[[#All],[Cenário]],Tabela4[[#This Row],[Cenário]],Tabela4[[#All],[Status]],"Keyuser - Concluído ")</f>
        <v>7</v>
      </c>
      <c r="S486" t="str">
        <f>IF(Tabela4[[#This Row],[Tarefas por Cenário]]-Tabela4[[#This Row],[Tarefas Concluídas]]&gt;0,"Não","Sim")</f>
        <v>Não</v>
      </c>
      <c r="T486">
        <f>COUNTIFS(Tabela4[[#All],[Cenário]],Tabela4[[#This Row],[Cenário]],Tabela4[[#All],[Status]],Tabela4[[#Headers],[Elo - Em correção ]])</f>
        <v>0</v>
      </c>
      <c r="U486">
        <f>COUNTIFS(Tabela4[[#All],[Cenário]],Tabela4[[#This Row],[Cenário]],Tabela4[[#All],[Status]],Tabela4[[#Headers],[Keyuser - Aguardando tarefa precedente]])</f>
        <v>0</v>
      </c>
      <c r="V486">
        <f>COUNTIFS(Tabela4[[#All],[Cenário]],Tabela4[[#This Row],[Cenário]],Tabela4[[#All],[Status]],Tabela4[[#Headers],[Não liberado  para testes]])</f>
        <v>1</v>
      </c>
      <c r="W486" t="str">
        <f>IF(Tabela4[[#This Row],[Elo - Em correção ]]&gt;0,"Sim","Não")</f>
        <v>Não</v>
      </c>
      <c r="X486" t="str">
        <f>IF(Tabela4[[#This Row],[Keyuser - Aguardando tarefa precedente]]&gt;0,"Sim","Não")</f>
        <v>Não</v>
      </c>
      <c r="Y486" t="str">
        <f>IF(Tabela4[[#This Row],[Não liberado  para testes]]&gt;0,"Sim","Não")</f>
        <v>Sim</v>
      </c>
      <c r="Z486" t="str">
        <f ca="1">IF(Tabela4[[#This Row],[Status]]="Keyuser - Pendente",NETWORKDAYS(Tabela4[[#This Row],[Dt Inicial]],TODAY()),"")</f>
        <v/>
      </c>
      <c r="AA486" t="b">
        <f>AND(Tabela4[[#This Row],[Status]]="Keyuser - Aguardando tarefa precedente",K485="Keyuser - Concluído ")</f>
        <v>0</v>
      </c>
    </row>
    <row r="487" spans="1:27" x14ac:dyDescent="0.25">
      <c r="A487" t="str">
        <f>"OUT-"&amp;IFERROR(MID(Tabela4[[#This Row],[Cenário]],SEARCH("(",Tabela4[[#This Row],[Cenário]])+1,SEARCH(")",Tabela4[[#This Row],[Cenário]])-SEARCH("(",Tabela4[[#This Row],[Cenário]])-1),"")&amp;"_"&amp;ROW()</f>
        <v>OUT-Y002_487</v>
      </c>
      <c r="B487" t="s">
        <v>358</v>
      </c>
      <c r="C487" t="s">
        <v>637</v>
      </c>
      <c r="D487" s="5" t="s">
        <v>365</v>
      </c>
      <c r="E487">
        <v>2</v>
      </c>
      <c r="F487" t="s">
        <v>365</v>
      </c>
      <c r="G487" t="s">
        <v>310</v>
      </c>
      <c r="H487" s="49">
        <v>15603645</v>
      </c>
      <c r="I487" s="9" t="s">
        <v>638</v>
      </c>
      <c r="J487" s="9" t="s">
        <v>364</v>
      </c>
      <c r="K487" s="9" t="s">
        <v>271</v>
      </c>
      <c r="L487" s="78">
        <v>45953</v>
      </c>
      <c r="N487" s="78">
        <v>45953</v>
      </c>
      <c r="O487" s="31"/>
      <c r="P487" s="9"/>
      <c r="Q487" s="9">
        <f>COUNTIF(Tabela4[[#All],[Cenário]],Tabela4[[#This Row],[Cenário]])</f>
        <v>8</v>
      </c>
      <c r="R487">
        <f>COUNTIFS(Tabela4[[#All],[Cenário]],Tabela4[[#This Row],[Cenário]],Tabela4[[#All],[Status]],"Keyuser - Concluído ")</f>
        <v>7</v>
      </c>
      <c r="S487" t="str">
        <f>IF(Tabela4[[#This Row],[Tarefas por Cenário]]-Tabela4[[#This Row],[Tarefas Concluídas]]&gt;0,"Não","Sim")</f>
        <v>Não</v>
      </c>
      <c r="T487">
        <f>COUNTIFS(Tabela4[[#All],[Cenário]],Tabela4[[#This Row],[Cenário]],Tabela4[[#All],[Status]],Tabela4[[#Headers],[Elo - Em correção ]])</f>
        <v>0</v>
      </c>
      <c r="U487">
        <f>COUNTIFS(Tabela4[[#All],[Cenário]],Tabela4[[#This Row],[Cenário]],Tabela4[[#All],[Status]],Tabela4[[#Headers],[Keyuser - Aguardando tarefa precedente]])</f>
        <v>0</v>
      </c>
      <c r="V487">
        <f>COUNTIFS(Tabela4[[#All],[Cenário]],Tabela4[[#This Row],[Cenário]],Tabela4[[#All],[Status]],Tabela4[[#Headers],[Não liberado  para testes]])</f>
        <v>1</v>
      </c>
      <c r="W487" t="str">
        <f>IF(Tabela4[[#This Row],[Elo - Em correção ]]&gt;0,"Sim","Não")</f>
        <v>Não</v>
      </c>
      <c r="X487" t="str">
        <f>IF(Tabela4[[#This Row],[Keyuser - Aguardando tarefa precedente]]&gt;0,"Sim","Não")</f>
        <v>Não</v>
      </c>
      <c r="Y487" t="str">
        <f>IF(Tabela4[[#This Row],[Não liberado  para testes]]&gt;0,"Sim","Não")</f>
        <v>Sim</v>
      </c>
      <c r="Z487" t="str">
        <f ca="1">IF(Tabela4[[#This Row],[Status]]="Keyuser - Pendente",NETWORKDAYS(Tabela4[[#This Row],[Dt Inicial]],TODAY()),"")</f>
        <v/>
      </c>
      <c r="AA487" t="b">
        <f>AND(Tabela4[[#This Row],[Status]]="Keyuser - Aguardando tarefa precedente",K486="Keyuser - Concluído ")</f>
        <v>0</v>
      </c>
    </row>
    <row r="488" spans="1:27" x14ac:dyDescent="0.25">
      <c r="A488" t="str">
        <f>"OUT-"&amp;IFERROR(MID(Tabela4[[#This Row],[Cenário]],SEARCH("(",Tabela4[[#This Row],[Cenário]])+1,SEARCH(")",Tabela4[[#This Row],[Cenário]])-SEARCH("(",Tabela4[[#This Row],[Cenário]])-1),"")&amp;"_"&amp;ROW()</f>
        <v>OUT-Y002_488</v>
      </c>
      <c r="B488" t="s">
        <v>358</v>
      </c>
      <c r="C488" t="s">
        <v>637</v>
      </c>
      <c r="D488" s="5" t="s">
        <v>366</v>
      </c>
      <c r="E488">
        <v>3</v>
      </c>
      <c r="F488" t="s">
        <v>366</v>
      </c>
      <c r="G488" t="s">
        <v>367</v>
      </c>
      <c r="H488" s="49">
        <v>15603645</v>
      </c>
      <c r="I488" s="9" t="s">
        <v>638</v>
      </c>
      <c r="J488" s="9" t="s">
        <v>364</v>
      </c>
      <c r="K488" s="9" t="s">
        <v>271</v>
      </c>
      <c r="L488" s="78">
        <v>45953</v>
      </c>
      <c r="N488" s="78">
        <v>45953</v>
      </c>
      <c r="O488" s="31"/>
      <c r="P488" s="9"/>
      <c r="Q488" s="9">
        <f>COUNTIF(Tabela4[[#All],[Cenário]],Tabela4[[#This Row],[Cenário]])</f>
        <v>8</v>
      </c>
      <c r="R488">
        <f>COUNTIFS(Tabela4[[#All],[Cenário]],Tabela4[[#This Row],[Cenário]],Tabela4[[#All],[Status]],"Keyuser - Concluído ")</f>
        <v>7</v>
      </c>
      <c r="S488" t="str">
        <f>IF(Tabela4[[#This Row],[Tarefas por Cenário]]-Tabela4[[#This Row],[Tarefas Concluídas]]&gt;0,"Não","Sim")</f>
        <v>Não</v>
      </c>
      <c r="T488">
        <f>COUNTIFS(Tabela4[[#All],[Cenário]],Tabela4[[#This Row],[Cenário]],Tabela4[[#All],[Status]],Tabela4[[#Headers],[Elo - Em correção ]])</f>
        <v>0</v>
      </c>
      <c r="U488">
        <f>COUNTIFS(Tabela4[[#All],[Cenário]],Tabela4[[#This Row],[Cenário]],Tabela4[[#All],[Status]],Tabela4[[#Headers],[Keyuser - Aguardando tarefa precedente]])</f>
        <v>0</v>
      </c>
      <c r="V488">
        <f>COUNTIFS(Tabela4[[#All],[Cenário]],Tabela4[[#This Row],[Cenário]],Tabela4[[#All],[Status]],Tabela4[[#Headers],[Não liberado  para testes]])</f>
        <v>1</v>
      </c>
      <c r="W488" t="str">
        <f>IF(Tabela4[[#This Row],[Elo - Em correção ]]&gt;0,"Sim","Não")</f>
        <v>Não</v>
      </c>
      <c r="X488" t="str">
        <f>IF(Tabela4[[#This Row],[Keyuser - Aguardando tarefa precedente]]&gt;0,"Sim","Não")</f>
        <v>Não</v>
      </c>
      <c r="Y488" t="str">
        <f>IF(Tabela4[[#This Row],[Não liberado  para testes]]&gt;0,"Sim","Não")</f>
        <v>Sim</v>
      </c>
      <c r="Z488" t="str">
        <f ca="1">IF(Tabela4[[#This Row],[Status]]="Keyuser - Pendente",NETWORKDAYS(Tabela4[[#This Row],[Dt Inicial]],TODAY()),"")</f>
        <v/>
      </c>
      <c r="AA488" t="b">
        <f>AND(Tabela4[[#This Row],[Status]]="Keyuser - Aguardando tarefa precedente",K487="Keyuser - Concluído ")</f>
        <v>0</v>
      </c>
    </row>
    <row r="489" spans="1:27" x14ac:dyDescent="0.25">
      <c r="A489" t="str">
        <f>"OUT-"&amp;IFERROR(MID(Tabela4[[#This Row],[Cenário]],SEARCH("(",Tabela4[[#This Row],[Cenário]])+1,SEARCH(")",Tabela4[[#This Row],[Cenário]])-SEARCH("(",Tabela4[[#This Row],[Cenário]])-1),"")&amp;"_"&amp;ROW()</f>
        <v>OUT-Y002_489</v>
      </c>
      <c r="B489" t="s">
        <v>358</v>
      </c>
      <c r="C489" t="s">
        <v>637</v>
      </c>
      <c r="D489" s="5" t="s">
        <v>368</v>
      </c>
      <c r="E489">
        <v>4</v>
      </c>
      <c r="F489" t="s">
        <v>368</v>
      </c>
      <c r="G489" t="s">
        <v>369</v>
      </c>
      <c r="H489" s="13" t="s">
        <v>639</v>
      </c>
      <c r="J489" s="9" t="s">
        <v>364</v>
      </c>
      <c r="K489" s="9" t="s">
        <v>271</v>
      </c>
      <c r="L489" s="78">
        <v>45954</v>
      </c>
      <c r="N489" s="78">
        <v>45954</v>
      </c>
      <c r="O489" s="32"/>
      <c r="P489" s="9"/>
      <c r="Q489" s="9">
        <f>COUNTIF(Tabela4[[#All],[Cenário]],Tabela4[[#This Row],[Cenário]])</f>
        <v>8</v>
      </c>
      <c r="R489">
        <f>COUNTIFS(Tabela4[[#All],[Cenário]],Tabela4[[#This Row],[Cenário]],Tabela4[[#All],[Status]],"Keyuser - Concluído ")</f>
        <v>7</v>
      </c>
      <c r="S489" t="str">
        <f>IF(Tabela4[[#This Row],[Tarefas por Cenário]]-Tabela4[[#This Row],[Tarefas Concluídas]]&gt;0,"Não","Sim")</f>
        <v>Não</v>
      </c>
      <c r="T489">
        <f>COUNTIFS(Tabela4[[#All],[Cenário]],Tabela4[[#This Row],[Cenário]],Tabela4[[#All],[Status]],Tabela4[[#Headers],[Elo - Em correção ]])</f>
        <v>0</v>
      </c>
      <c r="U489">
        <f>COUNTIFS(Tabela4[[#All],[Cenário]],Tabela4[[#This Row],[Cenário]],Tabela4[[#All],[Status]],Tabela4[[#Headers],[Keyuser - Aguardando tarefa precedente]])</f>
        <v>0</v>
      </c>
      <c r="V489">
        <f>COUNTIFS(Tabela4[[#All],[Cenário]],Tabela4[[#This Row],[Cenário]],Tabela4[[#All],[Status]],Tabela4[[#Headers],[Não liberado  para testes]])</f>
        <v>1</v>
      </c>
      <c r="W489" t="str">
        <f>IF(Tabela4[[#This Row],[Elo - Em correção ]]&gt;0,"Sim","Não")</f>
        <v>Não</v>
      </c>
      <c r="X489" t="str">
        <f>IF(Tabela4[[#This Row],[Keyuser - Aguardando tarefa precedente]]&gt;0,"Sim","Não")</f>
        <v>Não</v>
      </c>
      <c r="Y489" t="str">
        <f>IF(Tabela4[[#This Row],[Não liberado  para testes]]&gt;0,"Sim","Não")</f>
        <v>Sim</v>
      </c>
      <c r="Z489" t="str">
        <f ca="1">IF(Tabela4[[#This Row],[Status]]="Keyuser - Pendente",NETWORKDAYS(Tabela4[[#This Row],[Dt Inicial]],TODAY()),"")</f>
        <v/>
      </c>
      <c r="AA489" t="b">
        <f>AND(Tabela4[[#This Row],[Status]]="Keyuser - Aguardando tarefa precedente",K488="Keyuser - Concluído ")</f>
        <v>0</v>
      </c>
    </row>
    <row r="490" spans="1:27" x14ac:dyDescent="0.25">
      <c r="A490" t="str">
        <f>"OUT-"&amp;IFERROR(MID(Tabela4[[#This Row],[Cenário]],SEARCH("(",Tabela4[[#This Row],[Cenário]])+1,SEARCH(")",Tabela4[[#This Row],[Cenário]])-SEARCH("(",Tabela4[[#This Row],[Cenário]])-1),"")&amp;"_"&amp;ROW()</f>
        <v>OUT-Y002_490</v>
      </c>
      <c r="B490" t="s">
        <v>358</v>
      </c>
      <c r="C490" t="s">
        <v>637</v>
      </c>
      <c r="D490" s="5" t="s">
        <v>371</v>
      </c>
      <c r="E490">
        <v>5</v>
      </c>
      <c r="F490" t="s">
        <v>435</v>
      </c>
      <c r="G490" t="s">
        <v>287</v>
      </c>
      <c r="H490" s="13" t="s">
        <v>639</v>
      </c>
      <c r="K490" s="9" t="s">
        <v>271</v>
      </c>
      <c r="L490" s="78" t="s">
        <v>617</v>
      </c>
      <c r="N490" s="78">
        <v>45957</v>
      </c>
      <c r="O490" s="31"/>
      <c r="P490" s="9"/>
      <c r="Q490" s="9">
        <f>COUNTIF(Tabela4[[#All],[Cenário]],Tabela4[[#This Row],[Cenário]])</f>
        <v>8</v>
      </c>
      <c r="R490">
        <f>COUNTIFS(Tabela4[[#All],[Cenário]],Tabela4[[#This Row],[Cenário]],Tabela4[[#All],[Status]],"Keyuser - Concluído ")</f>
        <v>7</v>
      </c>
      <c r="S490" t="str">
        <f>IF(Tabela4[[#This Row],[Tarefas por Cenário]]-Tabela4[[#This Row],[Tarefas Concluídas]]&gt;0,"Não","Sim")</f>
        <v>Não</v>
      </c>
      <c r="T490">
        <f>COUNTIFS(Tabela4[[#All],[Cenário]],Tabela4[[#This Row],[Cenário]],Tabela4[[#All],[Status]],Tabela4[[#Headers],[Elo - Em correção ]])</f>
        <v>0</v>
      </c>
      <c r="U490">
        <f>COUNTIFS(Tabela4[[#All],[Cenário]],Tabela4[[#This Row],[Cenário]],Tabela4[[#All],[Status]],Tabela4[[#Headers],[Keyuser - Aguardando tarefa precedente]])</f>
        <v>0</v>
      </c>
      <c r="V490">
        <f>COUNTIFS(Tabela4[[#All],[Cenário]],Tabela4[[#This Row],[Cenário]],Tabela4[[#All],[Status]],Tabela4[[#Headers],[Não liberado  para testes]])</f>
        <v>1</v>
      </c>
      <c r="W490" t="str">
        <f>IF(Tabela4[[#This Row],[Elo - Em correção ]]&gt;0,"Sim","Não")</f>
        <v>Não</v>
      </c>
      <c r="X490" t="str">
        <f>IF(Tabela4[[#This Row],[Keyuser - Aguardando tarefa precedente]]&gt;0,"Sim","Não")</f>
        <v>Não</v>
      </c>
      <c r="Y490" t="str">
        <f>IF(Tabela4[[#This Row],[Não liberado  para testes]]&gt;0,"Sim","Não")</f>
        <v>Sim</v>
      </c>
      <c r="Z490" t="str">
        <f ca="1">IF(Tabela4[[#This Row],[Status]]="Keyuser - Pendente",NETWORKDAYS(Tabela4[[#This Row],[Dt Inicial]],TODAY()),"")</f>
        <v/>
      </c>
      <c r="AA490" t="b">
        <f>AND(Tabela4[[#This Row],[Status]]="Keyuser - Aguardando tarefa precedente",K489="Keyuser - Concluído ")</f>
        <v>0</v>
      </c>
    </row>
    <row r="491" spans="1:27" x14ac:dyDescent="0.25">
      <c r="A491" t="str">
        <f>"OUT-"&amp;IFERROR(MID(Tabela4[[#This Row],[Cenário]],SEARCH("(",Tabela4[[#This Row],[Cenário]])+1,SEARCH(")",Tabela4[[#This Row],[Cenário]])-SEARCH("(",Tabela4[[#This Row],[Cenário]])-1),"")&amp;"_"&amp;ROW()</f>
        <v>OUT-Y002_491</v>
      </c>
      <c r="B491" t="s">
        <v>358</v>
      </c>
      <c r="C491" t="s">
        <v>637</v>
      </c>
      <c r="D491" s="5" t="s">
        <v>373</v>
      </c>
      <c r="E491">
        <v>6</v>
      </c>
      <c r="F491" t="s">
        <v>373</v>
      </c>
      <c r="G491" t="s">
        <v>283</v>
      </c>
      <c r="H491" s="13" t="s">
        <v>639</v>
      </c>
      <c r="K491" s="9" t="s">
        <v>271</v>
      </c>
      <c r="L491" s="78" t="s">
        <v>617</v>
      </c>
      <c r="N491" s="78">
        <v>45957</v>
      </c>
      <c r="O491" s="31"/>
      <c r="P491" s="9"/>
      <c r="Q491" s="9">
        <f>COUNTIF(Tabela4[[#All],[Cenário]],Tabela4[[#This Row],[Cenário]])</f>
        <v>8</v>
      </c>
      <c r="R491">
        <f>COUNTIFS(Tabela4[[#All],[Cenário]],Tabela4[[#This Row],[Cenário]],Tabela4[[#All],[Status]],"Keyuser - Concluído ")</f>
        <v>7</v>
      </c>
      <c r="S491" t="str">
        <f>IF(Tabela4[[#This Row],[Tarefas por Cenário]]-Tabela4[[#This Row],[Tarefas Concluídas]]&gt;0,"Não","Sim")</f>
        <v>Não</v>
      </c>
      <c r="T491">
        <f>COUNTIFS(Tabela4[[#All],[Cenário]],Tabela4[[#This Row],[Cenário]],Tabela4[[#All],[Status]],Tabela4[[#Headers],[Elo - Em correção ]])</f>
        <v>0</v>
      </c>
      <c r="U491">
        <f>COUNTIFS(Tabela4[[#All],[Cenário]],Tabela4[[#This Row],[Cenário]],Tabela4[[#All],[Status]],Tabela4[[#Headers],[Keyuser - Aguardando tarefa precedente]])</f>
        <v>0</v>
      </c>
      <c r="V491">
        <f>COUNTIFS(Tabela4[[#All],[Cenário]],Tabela4[[#This Row],[Cenário]],Tabela4[[#All],[Status]],Tabela4[[#Headers],[Não liberado  para testes]])</f>
        <v>1</v>
      </c>
      <c r="W491" t="str">
        <f>IF(Tabela4[[#This Row],[Elo - Em correção ]]&gt;0,"Sim","Não")</f>
        <v>Não</v>
      </c>
      <c r="X491" t="str">
        <f>IF(Tabela4[[#This Row],[Keyuser - Aguardando tarefa precedente]]&gt;0,"Sim","Não")</f>
        <v>Não</v>
      </c>
      <c r="Y491" t="str">
        <f>IF(Tabela4[[#This Row],[Não liberado  para testes]]&gt;0,"Sim","Não")</f>
        <v>Sim</v>
      </c>
      <c r="Z491" t="str">
        <f ca="1">IF(Tabela4[[#This Row],[Status]]="Keyuser - Pendente",NETWORKDAYS(Tabela4[[#This Row],[Dt Inicial]],TODAY()),"")</f>
        <v/>
      </c>
      <c r="AA491" t="b">
        <f>AND(Tabela4[[#This Row],[Status]]="Keyuser - Aguardando tarefa precedente",K490="Keyuser - Concluído ")</f>
        <v>0</v>
      </c>
    </row>
    <row r="492" spans="1:27" x14ac:dyDescent="0.25">
      <c r="A492" t="str">
        <f>"OUT-"&amp;IFERROR(MID(Tabela4[[#This Row],[Cenário]],SEARCH("(",Tabela4[[#This Row],[Cenário]])+1,SEARCH(")",Tabela4[[#This Row],[Cenário]])-SEARCH("(",Tabela4[[#This Row],[Cenário]])-1),"")&amp;"_"&amp;ROW()</f>
        <v>OUT-Y002_492</v>
      </c>
      <c r="B492" t="s">
        <v>374</v>
      </c>
      <c r="C492" t="s">
        <v>637</v>
      </c>
      <c r="D492" s="5" t="s">
        <v>286</v>
      </c>
      <c r="E492">
        <v>7</v>
      </c>
      <c r="F492" t="s">
        <v>286</v>
      </c>
      <c r="G492" t="s">
        <v>287</v>
      </c>
      <c r="H492" s="13"/>
      <c r="I492" s="13"/>
      <c r="J492" s="13"/>
      <c r="K492" s="9" t="s">
        <v>262</v>
      </c>
      <c r="N492" s="78"/>
      <c r="O492" s="31"/>
      <c r="P492" s="9"/>
      <c r="Q492" s="9">
        <f>COUNTIF(Tabela4[[#All],[Cenário]],Tabela4[[#This Row],[Cenário]])</f>
        <v>8</v>
      </c>
      <c r="R492">
        <f>COUNTIFS(Tabela4[[#All],[Cenário]],Tabela4[[#This Row],[Cenário]],Tabela4[[#All],[Status]],"Keyuser - Concluído ")</f>
        <v>7</v>
      </c>
      <c r="S492" t="str">
        <f>IF(Tabela4[[#This Row],[Tarefas por Cenário]]-Tabela4[[#This Row],[Tarefas Concluídas]]&gt;0,"Não","Sim")</f>
        <v>Não</v>
      </c>
      <c r="T492">
        <f>COUNTIFS(Tabela4[[#All],[Cenário]],Tabela4[[#This Row],[Cenário]],Tabela4[[#All],[Status]],Tabela4[[#Headers],[Elo - Em correção ]])</f>
        <v>0</v>
      </c>
      <c r="U492">
        <f>COUNTIFS(Tabela4[[#All],[Cenário]],Tabela4[[#This Row],[Cenário]],Tabela4[[#All],[Status]],Tabela4[[#Headers],[Keyuser - Aguardando tarefa precedente]])</f>
        <v>0</v>
      </c>
      <c r="V492">
        <f>COUNTIFS(Tabela4[[#All],[Cenário]],Tabela4[[#This Row],[Cenário]],Tabela4[[#All],[Status]],Tabela4[[#Headers],[Não liberado  para testes]])</f>
        <v>1</v>
      </c>
      <c r="W492" t="str">
        <f>IF(Tabela4[[#This Row],[Elo - Em correção ]]&gt;0,"Sim","Não")</f>
        <v>Não</v>
      </c>
      <c r="X492" t="str">
        <f>IF(Tabela4[[#This Row],[Keyuser - Aguardando tarefa precedente]]&gt;0,"Sim","Não")</f>
        <v>Não</v>
      </c>
      <c r="Y492" t="str">
        <f>IF(Tabela4[[#This Row],[Não liberado  para testes]]&gt;0,"Sim","Não")</f>
        <v>Sim</v>
      </c>
      <c r="Z492" t="str">
        <f ca="1">IF(Tabela4[[#This Row],[Status]]="Keyuser - Pendente",NETWORKDAYS(Tabela4[[#This Row],[Dt Inicial]],TODAY()),"")</f>
        <v/>
      </c>
      <c r="AA492" t="b">
        <f>AND(Tabela4[[#This Row],[Status]]="Keyuser - Aguardando tarefa precedente",K491="Keyuser - Concluído ")</f>
        <v>0</v>
      </c>
    </row>
    <row r="493" spans="1:27" x14ac:dyDescent="0.25">
      <c r="A493" t="str">
        <f>"OUT-"&amp;IFERROR(MID(Tabela4[[#This Row],[Cenário]],SEARCH("(",Tabela4[[#This Row],[Cenário]])+1,SEARCH(")",Tabela4[[#This Row],[Cenário]])-SEARCH("(",Tabela4[[#This Row],[Cenário]])-1),"")&amp;"_"&amp;ROW()</f>
        <v>OUT-Y002_493</v>
      </c>
      <c r="B493" t="s">
        <v>358</v>
      </c>
      <c r="C493" t="s">
        <v>637</v>
      </c>
      <c r="D493" s="5" t="s">
        <v>375</v>
      </c>
      <c r="E493">
        <v>8</v>
      </c>
      <c r="F493" t="s">
        <v>375</v>
      </c>
      <c r="G493" t="s">
        <v>367</v>
      </c>
      <c r="H493" s="49">
        <v>15603645</v>
      </c>
      <c r="I493" s="9" t="s">
        <v>638</v>
      </c>
      <c r="J493" s="13"/>
      <c r="K493" s="9" t="s">
        <v>271</v>
      </c>
      <c r="L493" s="78">
        <v>45957</v>
      </c>
      <c r="N493" s="78">
        <v>45957</v>
      </c>
      <c r="O493" s="31"/>
      <c r="P493" s="9"/>
      <c r="Q493" s="9">
        <f>COUNTIF(Tabela4[[#All],[Cenário]],Tabela4[[#This Row],[Cenário]])</f>
        <v>8</v>
      </c>
      <c r="R493">
        <f>COUNTIFS(Tabela4[[#All],[Cenário]],Tabela4[[#This Row],[Cenário]],Tabela4[[#All],[Status]],"Keyuser - Concluído ")</f>
        <v>7</v>
      </c>
      <c r="S493" t="str">
        <f>IF(Tabela4[[#This Row],[Tarefas por Cenário]]-Tabela4[[#This Row],[Tarefas Concluídas]]&gt;0,"Não","Sim")</f>
        <v>Não</v>
      </c>
      <c r="T493">
        <f>COUNTIFS(Tabela4[[#All],[Cenário]],Tabela4[[#This Row],[Cenário]],Tabela4[[#All],[Status]],Tabela4[[#Headers],[Elo - Em correção ]])</f>
        <v>0</v>
      </c>
      <c r="U493">
        <f>COUNTIFS(Tabela4[[#All],[Cenário]],Tabela4[[#This Row],[Cenário]],Tabela4[[#All],[Status]],Tabela4[[#Headers],[Keyuser - Aguardando tarefa precedente]])</f>
        <v>0</v>
      </c>
      <c r="V493">
        <f>COUNTIFS(Tabela4[[#All],[Cenário]],Tabela4[[#This Row],[Cenário]],Tabela4[[#All],[Status]],Tabela4[[#Headers],[Não liberado  para testes]])</f>
        <v>1</v>
      </c>
      <c r="W493" t="str">
        <f>IF(Tabela4[[#This Row],[Elo - Em correção ]]&gt;0,"Sim","Não")</f>
        <v>Não</v>
      </c>
      <c r="X493" t="str">
        <f>IF(Tabela4[[#This Row],[Keyuser - Aguardando tarefa precedente]]&gt;0,"Sim","Não")</f>
        <v>Não</v>
      </c>
      <c r="Y493" t="str">
        <f>IF(Tabela4[[#This Row],[Não liberado  para testes]]&gt;0,"Sim","Não")</f>
        <v>Sim</v>
      </c>
      <c r="Z493" t="str">
        <f ca="1">IF(Tabela4[[#This Row],[Status]]="Keyuser - Pendente",NETWORKDAYS(Tabela4[[#This Row],[Dt Inicial]],TODAY()),"")</f>
        <v/>
      </c>
      <c r="AA493" t="b">
        <f>AND(Tabela4[[#This Row],[Status]]="Keyuser - Aguardando tarefa precedente",K492="Keyuser - Concluído ")</f>
        <v>0</v>
      </c>
    </row>
    <row r="494" spans="1:27" x14ac:dyDescent="0.25">
      <c r="A494" t="str">
        <f>"OUT-"&amp;IFERROR(MID(Tabela4[[#This Row],[Cenário]],SEARCH("(",Tabela4[[#This Row],[Cenário]])+1,SEARCH(")",Tabela4[[#This Row],[Cenário]])-SEARCH("(",Tabela4[[#This Row],[Cenário]])-1),"")&amp;"_"&amp;ROW()</f>
        <v>OUT-Y014_494</v>
      </c>
      <c r="B494" t="s">
        <v>358</v>
      </c>
      <c r="C494" t="s">
        <v>640</v>
      </c>
      <c r="D494" s="5" t="s">
        <v>360</v>
      </c>
      <c r="E494">
        <v>1</v>
      </c>
      <c r="F494" t="s">
        <v>360</v>
      </c>
      <c r="G494" t="s">
        <v>361</v>
      </c>
      <c r="H494" s="18">
        <v>70583969</v>
      </c>
      <c r="I494" s="13"/>
      <c r="J494" s="13"/>
      <c r="K494" s="9" t="s">
        <v>271</v>
      </c>
      <c r="L494" s="78">
        <v>45958</v>
      </c>
      <c r="N494" s="78">
        <v>45958</v>
      </c>
      <c r="O494" s="31"/>
      <c r="P494" s="9"/>
      <c r="Q494" s="9">
        <f>COUNTIF(Tabela4[[#All],[Cenário]],Tabela4[[#This Row],[Cenário]])</f>
        <v>6</v>
      </c>
      <c r="R494">
        <f>COUNTIFS(Tabela4[[#All],[Cenário]],Tabela4[[#This Row],[Cenário]],Tabela4[[#All],[Status]],"Keyuser - Concluído ")</f>
        <v>5</v>
      </c>
      <c r="S494" t="str">
        <f>IF(Tabela4[[#This Row],[Tarefas por Cenário]]-Tabela4[[#This Row],[Tarefas Concluídas]]&gt;0,"Não","Sim")</f>
        <v>Não</v>
      </c>
      <c r="T494">
        <f>COUNTIFS(Tabela4[[#All],[Cenário]],Tabela4[[#This Row],[Cenário]],Tabela4[[#All],[Status]],Tabela4[[#Headers],[Elo - Em correção ]])</f>
        <v>0</v>
      </c>
      <c r="U494">
        <f>COUNTIFS(Tabela4[[#All],[Cenário]],Tabela4[[#This Row],[Cenário]],Tabela4[[#All],[Status]],Tabela4[[#Headers],[Keyuser - Aguardando tarefa precedente]])</f>
        <v>0</v>
      </c>
      <c r="V494">
        <f>COUNTIFS(Tabela4[[#All],[Cenário]],Tabela4[[#This Row],[Cenário]],Tabela4[[#All],[Status]],Tabela4[[#Headers],[Não liberado  para testes]])</f>
        <v>1</v>
      </c>
      <c r="W494" t="str">
        <f>IF(Tabela4[[#This Row],[Elo - Em correção ]]&gt;0,"Sim","Não")</f>
        <v>Não</v>
      </c>
      <c r="X494" t="str">
        <f>IF(Tabela4[[#This Row],[Keyuser - Aguardando tarefa precedente]]&gt;0,"Sim","Não")</f>
        <v>Não</v>
      </c>
      <c r="Y494" t="str">
        <f>IF(Tabela4[[#This Row],[Não liberado  para testes]]&gt;0,"Sim","Não")</f>
        <v>Sim</v>
      </c>
      <c r="Z494" t="str">
        <f ca="1">IF(Tabela4[[#This Row],[Status]]="Keyuser - Pendente",NETWORKDAYS(Tabela4[[#This Row],[Dt Inicial]],TODAY()),"")</f>
        <v/>
      </c>
      <c r="AA494" t="b">
        <f>AND(Tabela4[[#This Row],[Status]]="Keyuser - Aguardando tarefa precedente",K493="Keyuser - Concluído ")</f>
        <v>0</v>
      </c>
    </row>
    <row r="495" spans="1:27" x14ac:dyDescent="0.25">
      <c r="A495" t="str">
        <f>"OUT-"&amp;IFERROR(MID(Tabela4[[#This Row],[Cenário]],SEARCH("(",Tabela4[[#This Row],[Cenário]])+1,SEARCH(")",Tabela4[[#This Row],[Cenário]])-SEARCH("(",Tabela4[[#This Row],[Cenário]])-1),"")&amp;"_"&amp;ROW()</f>
        <v>OUT-Y014_495</v>
      </c>
      <c r="B495" t="s">
        <v>358</v>
      </c>
      <c r="C495" t="s">
        <v>640</v>
      </c>
      <c r="D495" s="5" t="s">
        <v>368</v>
      </c>
      <c r="E495">
        <v>4</v>
      </c>
      <c r="F495" t="s">
        <v>368</v>
      </c>
      <c r="G495" t="s">
        <v>369</v>
      </c>
      <c r="H495" s="13" t="s">
        <v>641</v>
      </c>
      <c r="I495" s="13"/>
      <c r="J495" s="13"/>
      <c r="K495" s="9" t="s">
        <v>271</v>
      </c>
      <c r="L495" s="78">
        <v>45965</v>
      </c>
      <c r="N495" s="78">
        <v>45965</v>
      </c>
      <c r="O495" s="48"/>
      <c r="P495" s="9"/>
      <c r="Q495" s="9">
        <f>COUNTIF(Tabela4[[#All],[Cenário]],Tabela4[[#This Row],[Cenário]])</f>
        <v>6</v>
      </c>
      <c r="R495">
        <f>COUNTIFS(Tabela4[[#All],[Cenário]],Tabela4[[#This Row],[Cenário]],Tabela4[[#All],[Status]],"Keyuser - Concluído ")</f>
        <v>5</v>
      </c>
      <c r="S495" t="str">
        <f>IF(Tabela4[[#This Row],[Tarefas por Cenário]]-Tabela4[[#This Row],[Tarefas Concluídas]]&gt;0,"Não","Sim")</f>
        <v>Não</v>
      </c>
      <c r="T495">
        <f>COUNTIFS(Tabela4[[#All],[Cenário]],Tabela4[[#This Row],[Cenário]],Tabela4[[#All],[Status]],Tabela4[[#Headers],[Elo - Em correção ]])</f>
        <v>0</v>
      </c>
      <c r="U495">
        <f>COUNTIFS(Tabela4[[#All],[Cenário]],Tabela4[[#This Row],[Cenário]],Tabela4[[#All],[Status]],Tabela4[[#Headers],[Keyuser - Aguardando tarefa precedente]])</f>
        <v>0</v>
      </c>
      <c r="V495">
        <f>COUNTIFS(Tabela4[[#All],[Cenário]],Tabela4[[#This Row],[Cenário]],Tabela4[[#All],[Status]],Tabela4[[#Headers],[Não liberado  para testes]])</f>
        <v>1</v>
      </c>
      <c r="W495" t="str">
        <f>IF(Tabela4[[#This Row],[Elo - Em correção ]]&gt;0,"Sim","Não")</f>
        <v>Não</v>
      </c>
      <c r="X495" t="str">
        <f>IF(Tabela4[[#This Row],[Keyuser - Aguardando tarefa precedente]]&gt;0,"Sim","Não")</f>
        <v>Não</v>
      </c>
      <c r="Y495" t="str">
        <f>IF(Tabela4[[#This Row],[Não liberado  para testes]]&gt;0,"Sim","Não")</f>
        <v>Sim</v>
      </c>
      <c r="Z495" t="str">
        <f ca="1">IF(Tabela4[[#This Row],[Status]]="Keyuser - Pendente",NETWORKDAYS(Tabela4[[#This Row],[Dt Inicial]],TODAY()),"")</f>
        <v/>
      </c>
      <c r="AA495" t="b">
        <f>AND(Tabela4[[#This Row],[Status]]="Keyuser - Aguardando tarefa precedente",K494="Keyuser - Concluído ")</f>
        <v>0</v>
      </c>
    </row>
    <row r="496" spans="1:27" x14ac:dyDescent="0.25">
      <c r="A496" t="str">
        <f>"OUT-"&amp;IFERROR(MID(Tabela4[[#This Row],[Cenário]],SEARCH("(",Tabela4[[#This Row],[Cenário]])+1,SEARCH(")",Tabela4[[#This Row],[Cenário]])-SEARCH("(",Tabela4[[#This Row],[Cenário]])-1),"")&amp;"_"&amp;ROW()</f>
        <v>OUT-Y014_496</v>
      </c>
      <c r="B496" t="s">
        <v>358</v>
      </c>
      <c r="C496" t="s">
        <v>640</v>
      </c>
      <c r="D496" s="5" t="s">
        <v>371</v>
      </c>
      <c r="E496">
        <v>5</v>
      </c>
      <c r="F496" t="s">
        <v>435</v>
      </c>
      <c r="G496" t="s">
        <v>287</v>
      </c>
      <c r="H496" s="13" t="s">
        <v>641</v>
      </c>
      <c r="I496" s="13"/>
      <c r="J496" s="13"/>
      <c r="K496" s="9" t="s">
        <v>271</v>
      </c>
      <c r="L496" s="78">
        <v>45968</v>
      </c>
      <c r="N496" s="78">
        <v>45968</v>
      </c>
      <c r="O496" s="31"/>
      <c r="P496" s="9"/>
      <c r="Q496" s="9">
        <f>COUNTIF(Tabela4[[#All],[Cenário]],Tabela4[[#This Row],[Cenário]])</f>
        <v>6</v>
      </c>
      <c r="R496">
        <f>COUNTIFS(Tabela4[[#All],[Cenário]],Tabela4[[#This Row],[Cenário]],Tabela4[[#All],[Status]],"Keyuser - Concluído ")</f>
        <v>5</v>
      </c>
      <c r="S496" t="str">
        <f>IF(Tabela4[[#This Row],[Tarefas por Cenário]]-Tabela4[[#This Row],[Tarefas Concluídas]]&gt;0,"Não","Sim")</f>
        <v>Não</v>
      </c>
      <c r="T496">
        <f>COUNTIFS(Tabela4[[#All],[Cenário]],Tabela4[[#This Row],[Cenário]],Tabela4[[#All],[Status]],Tabela4[[#Headers],[Elo - Em correção ]])</f>
        <v>0</v>
      </c>
      <c r="U496">
        <f>COUNTIFS(Tabela4[[#All],[Cenário]],Tabela4[[#This Row],[Cenário]],Tabela4[[#All],[Status]],Tabela4[[#Headers],[Keyuser - Aguardando tarefa precedente]])</f>
        <v>0</v>
      </c>
      <c r="V496">
        <f>COUNTIFS(Tabela4[[#All],[Cenário]],Tabela4[[#This Row],[Cenário]],Tabela4[[#All],[Status]],Tabela4[[#Headers],[Não liberado  para testes]])</f>
        <v>1</v>
      </c>
      <c r="W496" t="str">
        <f>IF(Tabela4[[#This Row],[Elo - Em correção ]]&gt;0,"Sim","Não")</f>
        <v>Não</v>
      </c>
      <c r="X496" t="str">
        <f>IF(Tabela4[[#This Row],[Keyuser - Aguardando tarefa precedente]]&gt;0,"Sim","Não")</f>
        <v>Não</v>
      </c>
      <c r="Y496" t="str">
        <f>IF(Tabela4[[#This Row],[Não liberado  para testes]]&gt;0,"Sim","Não")</f>
        <v>Sim</v>
      </c>
      <c r="Z496" t="str">
        <f ca="1">IF(Tabela4[[#This Row],[Status]]="Keyuser - Pendente",NETWORKDAYS(Tabela4[[#This Row],[Dt Inicial]],TODAY()),"")</f>
        <v/>
      </c>
      <c r="AA496" t="b">
        <f>AND(Tabela4[[#This Row],[Status]]="Keyuser - Aguardando tarefa precedente",K495="Keyuser - Concluído ")</f>
        <v>0</v>
      </c>
    </row>
    <row r="497" spans="1:27" x14ac:dyDescent="0.25">
      <c r="A497" t="str">
        <f>"OUT-"&amp;IFERROR(MID(Tabela4[[#This Row],[Cenário]],SEARCH("(",Tabela4[[#This Row],[Cenário]])+1,SEARCH(")",Tabela4[[#This Row],[Cenário]])-SEARCH("(",Tabela4[[#This Row],[Cenário]])-1),"")&amp;"_"&amp;ROW()</f>
        <v>OUT-Y014_497</v>
      </c>
      <c r="B497" t="s">
        <v>358</v>
      </c>
      <c r="C497" t="s">
        <v>640</v>
      </c>
      <c r="D497" s="5" t="s">
        <v>373</v>
      </c>
      <c r="E497">
        <v>6</v>
      </c>
      <c r="F497" t="s">
        <v>373</v>
      </c>
      <c r="G497" t="s">
        <v>283</v>
      </c>
      <c r="H497" s="13" t="s">
        <v>641</v>
      </c>
      <c r="I497" s="13"/>
      <c r="J497" s="13"/>
      <c r="K497" s="9" t="s">
        <v>271</v>
      </c>
      <c r="L497" s="78">
        <v>45971</v>
      </c>
      <c r="N497" s="78">
        <v>45968</v>
      </c>
      <c r="O497" s="31"/>
      <c r="P497" s="9"/>
      <c r="Q497" s="9">
        <f>COUNTIF(Tabela4[[#All],[Cenário]],Tabela4[[#This Row],[Cenário]])</f>
        <v>6</v>
      </c>
      <c r="R497">
        <f>COUNTIFS(Tabela4[[#All],[Cenário]],Tabela4[[#This Row],[Cenário]],Tabela4[[#All],[Status]],"Keyuser - Concluído ")</f>
        <v>5</v>
      </c>
      <c r="S497" t="str">
        <f>IF(Tabela4[[#This Row],[Tarefas por Cenário]]-Tabela4[[#This Row],[Tarefas Concluídas]]&gt;0,"Não","Sim")</f>
        <v>Não</v>
      </c>
      <c r="T497">
        <f>COUNTIFS(Tabela4[[#All],[Cenário]],Tabela4[[#This Row],[Cenário]],Tabela4[[#All],[Status]],Tabela4[[#Headers],[Elo - Em correção ]])</f>
        <v>0</v>
      </c>
      <c r="U497">
        <f>COUNTIFS(Tabela4[[#All],[Cenário]],Tabela4[[#This Row],[Cenário]],Tabela4[[#All],[Status]],Tabela4[[#Headers],[Keyuser - Aguardando tarefa precedente]])</f>
        <v>0</v>
      </c>
      <c r="V497">
        <f>COUNTIFS(Tabela4[[#All],[Cenário]],Tabela4[[#This Row],[Cenário]],Tabela4[[#All],[Status]],Tabela4[[#Headers],[Não liberado  para testes]])</f>
        <v>1</v>
      </c>
      <c r="W497" t="str">
        <f>IF(Tabela4[[#This Row],[Elo - Em correção ]]&gt;0,"Sim","Não")</f>
        <v>Não</v>
      </c>
      <c r="X497" t="str">
        <f>IF(Tabela4[[#This Row],[Keyuser - Aguardando tarefa precedente]]&gt;0,"Sim","Não")</f>
        <v>Não</v>
      </c>
      <c r="Y497" t="str">
        <f>IF(Tabela4[[#This Row],[Não liberado  para testes]]&gt;0,"Sim","Não")</f>
        <v>Sim</v>
      </c>
      <c r="Z497" t="str">
        <f ca="1">IF(Tabela4[[#This Row],[Status]]="Keyuser - Pendente",NETWORKDAYS(Tabela4[[#This Row],[Dt Inicial]],TODAY()),"")</f>
        <v/>
      </c>
      <c r="AA497" t="b">
        <f>AND(Tabela4[[#This Row],[Status]]="Keyuser - Aguardando tarefa precedente",K496="Keyuser - Concluído ")</f>
        <v>0</v>
      </c>
    </row>
    <row r="498" spans="1:27" x14ac:dyDescent="0.25">
      <c r="A498" t="str">
        <f>"OUT-"&amp;IFERROR(MID(Tabela4[[#This Row],[Cenário]],SEARCH("(",Tabela4[[#This Row],[Cenário]])+1,SEARCH(")",Tabela4[[#This Row],[Cenário]])-SEARCH("(",Tabela4[[#This Row],[Cenário]])-1),"")&amp;"_"&amp;ROW()</f>
        <v>OUT-Y014_498</v>
      </c>
      <c r="B498" t="s">
        <v>374</v>
      </c>
      <c r="C498" t="s">
        <v>640</v>
      </c>
      <c r="D498" s="5" t="s">
        <v>286</v>
      </c>
      <c r="E498">
        <v>7</v>
      </c>
      <c r="F498" t="s">
        <v>286</v>
      </c>
      <c r="G498" t="s">
        <v>287</v>
      </c>
      <c r="H498" s="13"/>
      <c r="I498" s="13"/>
      <c r="J498" s="13"/>
      <c r="K498" s="9" t="s">
        <v>262</v>
      </c>
      <c r="N498" s="78"/>
      <c r="O498" s="31"/>
      <c r="P498" s="9"/>
      <c r="Q498" s="9">
        <f>COUNTIF(Tabela4[[#All],[Cenário]],Tabela4[[#This Row],[Cenário]])</f>
        <v>6</v>
      </c>
      <c r="R498">
        <f>COUNTIFS(Tabela4[[#All],[Cenário]],Tabela4[[#This Row],[Cenário]],Tabela4[[#All],[Status]],"Keyuser - Concluído ")</f>
        <v>5</v>
      </c>
      <c r="S498" t="str">
        <f>IF(Tabela4[[#This Row],[Tarefas por Cenário]]-Tabela4[[#This Row],[Tarefas Concluídas]]&gt;0,"Não","Sim")</f>
        <v>Não</v>
      </c>
      <c r="T498">
        <f>COUNTIFS(Tabela4[[#All],[Cenário]],Tabela4[[#This Row],[Cenário]],Tabela4[[#All],[Status]],Tabela4[[#Headers],[Elo - Em correção ]])</f>
        <v>0</v>
      </c>
      <c r="U498">
        <f>COUNTIFS(Tabela4[[#All],[Cenário]],Tabela4[[#This Row],[Cenário]],Tabela4[[#All],[Status]],Tabela4[[#Headers],[Keyuser - Aguardando tarefa precedente]])</f>
        <v>0</v>
      </c>
      <c r="V498">
        <f>COUNTIFS(Tabela4[[#All],[Cenário]],Tabela4[[#This Row],[Cenário]],Tabela4[[#All],[Status]],Tabela4[[#Headers],[Não liberado  para testes]])</f>
        <v>1</v>
      </c>
      <c r="W498" t="str">
        <f>IF(Tabela4[[#This Row],[Elo - Em correção ]]&gt;0,"Sim","Não")</f>
        <v>Não</v>
      </c>
      <c r="X498" t="str">
        <f>IF(Tabela4[[#This Row],[Keyuser - Aguardando tarefa precedente]]&gt;0,"Sim","Não")</f>
        <v>Não</v>
      </c>
      <c r="Y498" t="str">
        <f>IF(Tabela4[[#This Row],[Não liberado  para testes]]&gt;0,"Sim","Não")</f>
        <v>Sim</v>
      </c>
      <c r="Z498" t="str">
        <f ca="1">IF(Tabela4[[#This Row],[Status]]="Keyuser - Pendente",NETWORKDAYS(Tabela4[[#This Row],[Dt Inicial]],TODAY()),"")</f>
        <v/>
      </c>
      <c r="AA498" t="b">
        <f>AND(Tabela4[[#This Row],[Status]]="Keyuser - Aguardando tarefa precedente",K497="Keyuser - Concluído ")</f>
        <v>0</v>
      </c>
    </row>
    <row r="499" spans="1:27" x14ac:dyDescent="0.25">
      <c r="A499" t="str">
        <f>"OUT-"&amp;IFERROR(MID(Tabela4[[#This Row],[Cenário]],SEARCH("(",Tabela4[[#This Row],[Cenário]])+1,SEARCH(")",Tabela4[[#This Row],[Cenário]])-SEARCH("(",Tabela4[[#This Row],[Cenário]])-1),"")&amp;"_"&amp;ROW()</f>
        <v>OUT-Y014_499</v>
      </c>
      <c r="B499" t="s">
        <v>358</v>
      </c>
      <c r="C499" t="s">
        <v>640</v>
      </c>
      <c r="D499" s="5" t="s">
        <v>375</v>
      </c>
      <c r="E499">
        <v>8</v>
      </c>
      <c r="F499" t="s">
        <v>375</v>
      </c>
      <c r="G499" t="s">
        <v>367</v>
      </c>
      <c r="H499" s="18">
        <v>70583969</v>
      </c>
      <c r="I499" s="13"/>
      <c r="J499" s="13"/>
      <c r="K499" s="9" t="s">
        <v>271</v>
      </c>
      <c r="L499" s="78">
        <v>45973</v>
      </c>
      <c r="N499" s="78">
        <v>45973</v>
      </c>
      <c r="O499" s="31"/>
      <c r="P499" s="9"/>
      <c r="Q499" s="9">
        <f>COUNTIF(Tabela4[[#All],[Cenário]],Tabela4[[#This Row],[Cenário]])</f>
        <v>6</v>
      </c>
      <c r="R499">
        <f>COUNTIFS(Tabela4[[#All],[Cenário]],Tabela4[[#This Row],[Cenário]],Tabela4[[#All],[Status]],"Keyuser - Concluído ")</f>
        <v>5</v>
      </c>
      <c r="S499" t="str">
        <f>IF(Tabela4[[#This Row],[Tarefas por Cenário]]-Tabela4[[#This Row],[Tarefas Concluídas]]&gt;0,"Não","Sim")</f>
        <v>Não</v>
      </c>
      <c r="T499">
        <f>COUNTIFS(Tabela4[[#All],[Cenário]],Tabela4[[#This Row],[Cenário]],Tabela4[[#All],[Status]],Tabela4[[#Headers],[Elo - Em correção ]])</f>
        <v>0</v>
      </c>
      <c r="U499">
        <f>COUNTIFS(Tabela4[[#All],[Cenário]],Tabela4[[#This Row],[Cenário]],Tabela4[[#All],[Status]],Tabela4[[#Headers],[Keyuser - Aguardando tarefa precedente]])</f>
        <v>0</v>
      </c>
      <c r="V499">
        <f>COUNTIFS(Tabela4[[#All],[Cenário]],Tabela4[[#This Row],[Cenário]],Tabela4[[#All],[Status]],Tabela4[[#Headers],[Não liberado  para testes]])</f>
        <v>1</v>
      </c>
      <c r="W499" t="str">
        <f>IF(Tabela4[[#This Row],[Elo - Em correção ]]&gt;0,"Sim","Não")</f>
        <v>Não</v>
      </c>
      <c r="X499" t="str">
        <f>IF(Tabela4[[#This Row],[Keyuser - Aguardando tarefa precedente]]&gt;0,"Sim","Não")</f>
        <v>Não</v>
      </c>
      <c r="Y499" t="str">
        <f>IF(Tabela4[[#This Row],[Não liberado  para testes]]&gt;0,"Sim","Não")</f>
        <v>Sim</v>
      </c>
      <c r="Z499" t="str">
        <f ca="1">IF(Tabela4[[#This Row],[Status]]="Keyuser - Pendente",NETWORKDAYS(Tabela4[[#This Row],[Dt Inicial]],TODAY()),"")</f>
        <v/>
      </c>
      <c r="AA499" t="b">
        <f>AND(Tabela4[[#This Row],[Status]]="Keyuser - Aguardando tarefa precedente",K498="Keyuser - Concluído ")</f>
        <v>0</v>
      </c>
    </row>
    <row r="500" spans="1:27" x14ac:dyDescent="0.25">
      <c r="A500" t="str">
        <f>"OUT-"&amp;IFERROR(MID(Tabela4[[#This Row],[Cenário]],SEARCH("(",Tabela4[[#This Row],[Cenário]])+1,SEARCH(")",Tabela4[[#This Row],[Cenário]])-SEARCH("(",Tabela4[[#This Row],[Cenário]])-1),"")&amp;"_"&amp;ROW()</f>
        <v>OUT-Y013_500</v>
      </c>
      <c r="B500" t="s">
        <v>358</v>
      </c>
      <c r="C500" t="s">
        <v>642</v>
      </c>
      <c r="D500" t="s">
        <v>360</v>
      </c>
      <c r="E500">
        <v>1</v>
      </c>
      <c r="F500" t="s">
        <v>360</v>
      </c>
      <c r="G500" t="s">
        <v>643</v>
      </c>
      <c r="H500" s="13">
        <v>15603617</v>
      </c>
      <c r="I500" s="13" t="s">
        <v>644</v>
      </c>
      <c r="J500" s="13" t="s">
        <v>364</v>
      </c>
      <c r="K500" s="9" t="s">
        <v>271</v>
      </c>
      <c r="L500" s="78">
        <v>45946</v>
      </c>
      <c r="N500" s="78">
        <v>45946</v>
      </c>
      <c r="O500" s="31"/>
      <c r="P500" s="9"/>
      <c r="Q500" s="9">
        <f>COUNTIF(Tabela4[[#All],[Cenário]],Tabela4[[#This Row],[Cenário]])</f>
        <v>5</v>
      </c>
      <c r="R500">
        <f>COUNTIFS(Tabela4[[#All],[Cenário]],Tabela4[[#This Row],[Cenário]],Tabela4[[#All],[Status]],"Keyuser - Concluído ")</f>
        <v>5</v>
      </c>
      <c r="S500" t="str">
        <f>IF(Tabela4[[#This Row],[Tarefas por Cenário]]-Tabela4[[#This Row],[Tarefas Concluídas]]&gt;0,"Não","Sim")</f>
        <v>Sim</v>
      </c>
      <c r="T500">
        <f>COUNTIFS(Tabela4[[#All],[Cenário]],Tabela4[[#This Row],[Cenário]],Tabela4[[#All],[Status]],Tabela4[[#Headers],[Elo - Em correção ]])</f>
        <v>0</v>
      </c>
      <c r="U500">
        <f>COUNTIFS(Tabela4[[#All],[Cenário]],Tabela4[[#This Row],[Cenário]],Tabela4[[#All],[Status]],Tabela4[[#Headers],[Keyuser - Aguardando tarefa precedente]])</f>
        <v>0</v>
      </c>
      <c r="V500">
        <f>COUNTIFS(Tabela4[[#All],[Cenário]],Tabela4[[#This Row],[Cenário]],Tabela4[[#All],[Status]],Tabela4[[#Headers],[Não liberado  para testes]])</f>
        <v>0</v>
      </c>
      <c r="W500" t="str">
        <f>IF(Tabela4[[#This Row],[Elo - Em correção ]]&gt;0,"Sim","Não")</f>
        <v>Não</v>
      </c>
      <c r="X500" t="str">
        <f>IF(Tabela4[[#This Row],[Keyuser - Aguardando tarefa precedente]]&gt;0,"Sim","Não")</f>
        <v>Não</v>
      </c>
      <c r="Y500" t="str">
        <f>IF(Tabela4[[#This Row],[Não liberado  para testes]]&gt;0,"Sim","Não")</f>
        <v>Não</v>
      </c>
      <c r="Z500" t="str">
        <f ca="1">IF(Tabela4[[#This Row],[Status]]="Keyuser - Pendente",NETWORKDAYS(Tabela4[[#This Row],[Dt Inicial]],TODAY()),"")</f>
        <v/>
      </c>
      <c r="AA500" t="b">
        <f>AND(Tabela4[[#This Row],[Status]]="Keyuser - Aguardando tarefa precedente",K499="Keyuser - Concluído ")</f>
        <v>0</v>
      </c>
    </row>
    <row r="501" spans="1:27" x14ac:dyDescent="0.25">
      <c r="A501" t="str">
        <f>"OUT-"&amp;IFERROR(MID(Tabela4[[#This Row],[Cenário]],SEARCH("(",Tabela4[[#This Row],[Cenário]])+1,SEARCH(")",Tabela4[[#This Row],[Cenário]])-SEARCH("(",Tabela4[[#This Row],[Cenário]])-1),"")&amp;"_"&amp;ROW()</f>
        <v>OUT-Y013_501</v>
      </c>
      <c r="B501" t="s">
        <v>358</v>
      </c>
      <c r="C501" t="s">
        <v>642</v>
      </c>
      <c r="D501" t="s">
        <v>365</v>
      </c>
      <c r="E501">
        <v>2</v>
      </c>
      <c r="F501" t="s">
        <v>365</v>
      </c>
      <c r="G501" t="s">
        <v>310</v>
      </c>
      <c r="H501" s="13">
        <v>15603617</v>
      </c>
      <c r="I501" s="13" t="s">
        <v>644</v>
      </c>
      <c r="J501" s="13" t="s">
        <v>364</v>
      </c>
      <c r="K501" s="9" t="s">
        <v>271</v>
      </c>
      <c r="L501" s="78">
        <v>45946</v>
      </c>
      <c r="N501" s="78">
        <v>45946</v>
      </c>
      <c r="O501" s="31"/>
      <c r="P501" s="9"/>
      <c r="Q501" s="9">
        <f>COUNTIF(Tabela4[[#All],[Cenário]],Tabela4[[#This Row],[Cenário]])</f>
        <v>5</v>
      </c>
      <c r="R501">
        <f>COUNTIFS(Tabela4[[#All],[Cenário]],Tabela4[[#This Row],[Cenário]],Tabela4[[#All],[Status]],"Keyuser - Concluído ")</f>
        <v>5</v>
      </c>
      <c r="S501" t="str">
        <f>IF(Tabela4[[#This Row],[Tarefas por Cenário]]-Tabela4[[#This Row],[Tarefas Concluídas]]&gt;0,"Não","Sim")</f>
        <v>Sim</v>
      </c>
      <c r="T501">
        <f>COUNTIFS(Tabela4[[#All],[Cenário]],Tabela4[[#This Row],[Cenário]],Tabela4[[#All],[Status]],Tabela4[[#Headers],[Elo - Em correção ]])</f>
        <v>0</v>
      </c>
      <c r="U501">
        <f>COUNTIFS(Tabela4[[#All],[Cenário]],Tabela4[[#This Row],[Cenário]],Tabela4[[#All],[Status]],Tabela4[[#Headers],[Keyuser - Aguardando tarefa precedente]])</f>
        <v>0</v>
      </c>
      <c r="V501">
        <f>COUNTIFS(Tabela4[[#All],[Cenário]],Tabela4[[#This Row],[Cenário]],Tabela4[[#All],[Status]],Tabela4[[#Headers],[Não liberado  para testes]])</f>
        <v>0</v>
      </c>
      <c r="W501" t="str">
        <f>IF(Tabela4[[#This Row],[Elo - Em correção ]]&gt;0,"Sim","Não")</f>
        <v>Não</v>
      </c>
      <c r="X501" t="str">
        <f>IF(Tabela4[[#This Row],[Keyuser - Aguardando tarefa precedente]]&gt;0,"Sim","Não")</f>
        <v>Não</v>
      </c>
      <c r="Y501" t="str">
        <f>IF(Tabela4[[#This Row],[Não liberado  para testes]]&gt;0,"Sim","Não")</f>
        <v>Não</v>
      </c>
      <c r="Z501" t="str">
        <f ca="1">IF(Tabela4[[#This Row],[Status]]="Keyuser - Pendente",NETWORKDAYS(Tabela4[[#This Row],[Dt Inicial]],TODAY()),"")</f>
        <v/>
      </c>
      <c r="AA501" t="b">
        <f>AND(Tabela4[[#This Row],[Status]]="Keyuser - Aguardando tarefa precedente",K500="Keyuser - Concluído ")</f>
        <v>0</v>
      </c>
    </row>
    <row r="502" spans="1:27" x14ac:dyDescent="0.25">
      <c r="A502" t="str">
        <f>"OUT-"&amp;IFERROR(MID(Tabela4[[#This Row],[Cenário]],SEARCH("(",Tabela4[[#This Row],[Cenário]])+1,SEARCH(")",Tabela4[[#This Row],[Cenário]])-SEARCH("(",Tabela4[[#This Row],[Cenário]])-1),"")&amp;"_"&amp;ROW()</f>
        <v>OUT-Y013_502</v>
      </c>
      <c r="B502" t="s">
        <v>358</v>
      </c>
      <c r="C502" t="s">
        <v>642</v>
      </c>
      <c r="D502" t="s">
        <v>366</v>
      </c>
      <c r="E502">
        <v>3</v>
      </c>
      <c r="F502" t="s">
        <v>366</v>
      </c>
      <c r="G502" t="s">
        <v>367</v>
      </c>
      <c r="H502" s="13">
        <v>15603617</v>
      </c>
      <c r="I502" s="13" t="s">
        <v>644</v>
      </c>
      <c r="J502" s="13" t="s">
        <v>364</v>
      </c>
      <c r="K502" s="9" t="s">
        <v>271</v>
      </c>
      <c r="L502" s="78">
        <v>45946</v>
      </c>
      <c r="N502" s="78">
        <v>45946</v>
      </c>
      <c r="O502" s="31"/>
      <c r="P502" s="9"/>
      <c r="Q502" s="9">
        <f>COUNTIF(Tabela4[[#All],[Cenário]],Tabela4[[#This Row],[Cenário]])</f>
        <v>5</v>
      </c>
      <c r="R502">
        <f>COUNTIFS(Tabela4[[#All],[Cenário]],Tabela4[[#This Row],[Cenário]],Tabela4[[#All],[Status]],"Keyuser - Concluído ")</f>
        <v>5</v>
      </c>
      <c r="S502" t="str">
        <f>IF(Tabela4[[#This Row],[Tarefas por Cenário]]-Tabela4[[#This Row],[Tarefas Concluídas]]&gt;0,"Não","Sim")</f>
        <v>Sim</v>
      </c>
      <c r="T502">
        <f>COUNTIFS(Tabela4[[#All],[Cenário]],Tabela4[[#This Row],[Cenário]],Tabela4[[#All],[Status]],Tabela4[[#Headers],[Elo - Em correção ]])</f>
        <v>0</v>
      </c>
      <c r="U502">
        <f>COUNTIFS(Tabela4[[#All],[Cenário]],Tabela4[[#This Row],[Cenário]],Tabela4[[#All],[Status]],Tabela4[[#Headers],[Keyuser - Aguardando tarefa precedente]])</f>
        <v>0</v>
      </c>
      <c r="V502">
        <f>COUNTIFS(Tabela4[[#All],[Cenário]],Tabela4[[#This Row],[Cenário]],Tabela4[[#All],[Status]],Tabela4[[#Headers],[Não liberado  para testes]])</f>
        <v>0</v>
      </c>
      <c r="W502" t="str">
        <f>IF(Tabela4[[#This Row],[Elo - Em correção ]]&gt;0,"Sim","Não")</f>
        <v>Não</v>
      </c>
      <c r="X502" t="str">
        <f>IF(Tabela4[[#This Row],[Keyuser - Aguardando tarefa precedente]]&gt;0,"Sim","Não")</f>
        <v>Não</v>
      </c>
      <c r="Y502" t="str">
        <f>IF(Tabela4[[#This Row],[Não liberado  para testes]]&gt;0,"Sim","Não")</f>
        <v>Não</v>
      </c>
      <c r="Z502" t="str">
        <f ca="1">IF(Tabela4[[#This Row],[Status]]="Keyuser - Pendente",NETWORKDAYS(Tabela4[[#This Row],[Dt Inicial]],TODAY()),"")</f>
        <v/>
      </c>
      <c r="AA502" t="b">
        <f>AND(Tabela4[[#This Row],[Status]]="Keyuser - Aguardando tarefa precedente",K501="Keyuser - Concluído ")</f>
        <v>0</v>
      </c>
    </row>
    <row r="503" spans="1:27" x14ac:dyDescent="0.25">
      <c r="A503" t="str">
        <f>"OUT-"&amp;IFERROR(MID(Tabela4[[#This Row],[Cenário]],SEARCH("(",Tabela4[[#This Row],[Cenário]])+1,SEARCH(")",Tabela4[[#This Row],[Cenário]])-SEARCH("(",Tabela4[[#This Row],[Cenário]])-1),"")&amp;"_"&amp;ROW()</f>
        <v>OUT-Y013_503</v>
      </c>
      <c r="B503" t="s">
        <v>358</v>
      </c>
      <c r="C503" t="s">
        <v>642</v>
      </c>
      <c r="D503" t="s">
        <v>368</v>
      </c>
      <c r="E503">
        <v>4</v>
      </c>
      <c r="F503" t="s">
        <v>368</v>
      </c>
      <c r="G503" t="s">
        <v>377</v>
      </c>
      <c r="H503" s="13" t="s">
        <v>645</v>
      </c>
      <c r="I503" s="13"/>
      <c r="J503" s="13"/>
      <c r="K503" s="9" t="s">
        <v>271</v>
      </c>
      <c r="L503" s="78">
        <v>45947</v>
      </c>
      <c r="N503" s="78">
        <v>45947</v>
      </c>
      <c r="O503" s="31" t="s">
        <v>646</v>
      </c>
      <c r="P503" s="9"/>
      <c r="Q503" s="9">
        <f>COUNTIF(Tabela4[[#All],[Cenário]],Tabela4[[#This Row],[Cenário]])</f>
        <v>5</v>
      </c>
      <c r="R503">
        <f>COUNTIFS(Tabela4[[#All],[Cenário]],Tabela4[[#This Row],[Cenário]],Tabela4[[#All],[Status]],"Keyuser - Concluído ")</f>
        <v>5</v>
      </c>
      <c r="S503" t="str">
        <f>IF(Tabela4[[#This Row],[Tarefas por Cenário]]-Tabela4[[#This Row],[Tarefas Concluídas]]&gt;0,"Não","Sim")</f>
        <v>Sim</v>
      </c>
      <c r="T503">
        <f>COUNTIFS(Tabela4[[#All],[Cenário]],Tabela4[[#This Row],[Cenário]],Tabela4[[#All],[Status]],Tabela4[[#Headers],[Elo - Em correção ]])</f>
        <v>0</v>
      </c>
      <c r="U503">
        <f>COUNTIFS(Tabela4[[#All],[Cenário]],Tabela4[[#This Row],[Cenário]],Tabela4[[#All],[Status]],Tabela4[[#Headers],[Keyuser - Aguardando tarefa precedente]])</f>
        <v>0</v>
      </c>
      <c r="V503">
        <f>COUNTIFS(Tabela4[[#All],[Cenário]],Tabela4[[#This Row],[Cenário]],Tabela4[[#All],[Status]],Tabela4[[#Headers],[Não liberado  para testes]])</f>
        <v>0</v>
      </c>
      <c r="W503" t="str">
        <f>IF(Tabela4[[#This Row],[Elo - Em correção ]]&gt;0,"Sim","Não")</f>
        <v>Não</v>
      </c>
      <c r="X503" t="str">
        <f>IF(Tabela4[[#This Row],[Keyuser - Aguardando tarefa precedente]]&gt;0,"Sim","Não")</f>
        <v>Não</v>
      </c>
      <c r="Y503" t="str">
        <f>IF(Tabela4[[#This Row],[Não liberado  para testes]]&gt;0,"Sim","Não")</f>
        <v>Não</v>
      </c>
      <c r="Z503" t="str">
        <f ca="1">IF(Tabela4[[#This Row],[Status]]="Keyuser - Pendente",NETWORKDAYS(Tabela4[[#This Row],[Dt Inicial]],TODAY()),"")</f>
        <v/>
      </c>
      <c r="AA503" t="b">
        <f>AND(Tabela4[[#This Row],[Status]]="Keyuser - Aguardando tarefa precedente",K502="Keyuser - Concluído ")</f>
        <v>0</v>
      </c>
    </row>
    <row r="504" spans="1:27" x14ac:dyDescent="0.25">
      <c r="A504" t="str">
        <f>"OUT-"&amp;IFERROR(MID(Tabela4[[#This Row],[Cenário]],SEARCH("(",Tabela4[[#This Row],[Cenário]])+1,SEARCH(")",Tabela4[[#This Row],[Cenário]])-SEARCH("(",Tabela4[[#This Row],[Cenário]])-1),"")&amp;"_"&amp;ROW()</f>
        <v>OUT-Y013_504</v>
      </c>
      <c r="B504" t="s">
        <v>358</v>
      </c>
      <c r="C504" t="s">
        <v>642</v>
      </c>
      <c r="D504" t="s">
        <v>434</v>
      </c>
      <c r="E504">
        <v>5</v>
      </c>
      <c r="F504" t="s">
        <v>435</v>
      </c>
      <c r="G504" t="s">
        <v>287</v>
      </c>
      <c r="H504" s="13" t="s">
        <v>645</v>
      </c>
      <c r="I504" s="13"/>
      <c r="J504" s="13"/>
      <c r="K504" s="9" t="s">
        <v>271</v>
      </c>
      <c r="L504" s="78">
        <v>45947</v>
      </c>
      <c r="N504" s="78">
        <v>45947</v>
      </c>
      <c r="O504" s="31"/>
      <c r="P504" s="9"/>
      <c r="Q504" s="9">
        <f>COUNTIF(Tabela4[[#All],[Cenário]],Tabela4[[#This Row],[Cenário]])</f>
        <v>5</v>
      </c>
      <c r="R504">
        <f>COUNTIFS(Tabela4[[#All],[Cenário]],Tabela4[[#This Row],[Cenário]],Tabela4[[#All],[Status]],"Keyuser - Concluído ")</f>
        <v>5</v>
      </c>
      <c r="S504" t="str">
        <f>IF(Tabela4[[#This Row],[Tarefas por Cenário]]-Tabela4[[#This Row],[Tarefas Concluídas]]&gt;0,"Não","Sim")</f>
        <v>Sim</v>
      </c>
      <c r="T504">
        <f>COUNTIFS(Tabela4[[#All],[Cenário]],Tabela4[[#This Row],[Cenário]],Tabela4[[#All],[Status]],Tabela4[[#Headers],[Elo - Em correção ]])</f>
        <v>0</v>
      </c>
      <c r="U504">
        <f>COUNTIFS(Tabela4[[#All],[Cenário]],Tabela4[[#This Row],[Cenário]],Tabela4[[#All],[Status]],Tabela4[[#Headers],[Keyuser - Aguardando tarefa precedente]])</f>
        <v>0</v>
      </c>
      <c r="V504">
        <f>COUNTIFS(Tabela4[[#All],[Cenário]],Tabela4[[#This Row],[Cenário]],Tabela4[[#All],[Status]],Tabela4[[#Headers],[Não liberado  para testes]])</f>
        <v>0</v>
      </c>
      <c r="W504" t="str">
        <f>IF(Tabela4[[#This Row],[Elo - Em correção ]]&gt;0,"Sim","Não")</f>
        <v>Não</v>
      </c>
      <c r="X504" t="str">
        <f>IF(Tabela4[[#This Row],[Keyuser - Aguardando tarefa precedente]]&gt;0,"Sim","Não")</f>
        <v>Não</v>
      </c>
      <c r="Y504" t="str">
        <f>IF(Tabela4[[#This Row],[Não liberado  para testes]]&gt;0,"Sim","Não")</f>
        <v>Não</v>
      </c>
      <c r="Z504" t="str">
        <f ca="1">IF(Tabela4[[#This Row],[Status]]="Keyuser - Pendente",NETWORKDAYS(Tabela4[[#This Row],[Dt Inicial]],TODAY()),"")</f>
        <v/>
      </c>
      <c r="AA504" t="b">
        <f>AND(Tabela4[[#This Row],[Status]]="Keyuser - Aguardando tarefa precedente",K503="Keyuser - Concluído ")</f>
        <v>0</v>
      </c>
    </row>
    <row r="505" spans="1:27" x14ac:dyDescent="0.25">
      <c r="A505" t="str">
        <f>"OUT-"&amp;IFERROR(MID(Tabela4[[#This Row],[Cenário]],SEARCH("(",Tabela4[[#This Row],[Cenário]])+1,SEARCH(")",Tabela4[[#This Row],[Cenário]])-SEARCH("(",Tabela4[[#This Row],[Cenário]])-1),"")&amp;"_"&amp;ROW()</f>
        <v>OUT-Y103_505</v>
      </c>
      <c r="B505" t="s">
        <v>358</v>
      </c>
      <c r="C505" t="s">
        <v>647</v>
      </c>
      <c r="D505" t="s">
        <v>360</v>
      </c>
      <c r="E505">
        <v>1</v>
      </c>
      <c r="F505" t="s">
        <v>360</v>
      </c>
      <c r="G505" t="s">
        <v>643</v>
      </c>
      <c r="H505" s="13">
        <v>15603672</v>
      </c>
      <c r="I505" s="13" t="s">
        <v>648</v>
      </c>
      <c r="J505" s="13" t="s">
        <v>364</v>
      </c>
      <c r="K505" s="9" t="s">
        <v>271</v>
      </c>
      <c r="L505" s="78">
        <v>45964</v>
      </c>
      <c r="N505" s="78">
        <v>45964</v>
      </c>
      <c r="O505" s="31"/>
      <c r="P505" s="9"/>
      <c r="Q505" s="9">
        <f>COUNTIF(Tabela4[[#All],[Cenário]],Tabela4[[#This Row],[Cenário]])</f>
        <v>5</v>
      </c>
      <c r="R505">
        <f>COUNTIFS(Tabela4[[#All],[Cenário]],Tabela4[[#This Row],[Cenário]],Tabela4[[#All],[Status]],"Keyuser - Concluído ")</f>
        <v>5</v>
      </c>
      <c r="S505" t="str">
        <f>IF(Tabela4[[#This Row],[Tarefas por Cenário]]-Tabela4[[#This Row],[Tarefas Concluídas]]&gt;0,"Não","Sim")</f>
        <v>Sim</v>
      </c>
      <c r="T505">
        <f>COUNTIFS(Tabela4[[#All],[Cenário]],Tabela4[[#This Row],[Cenário]],Tabela4[[#All],[Status]],Tabela4[[#Headers],[Elo - Em correção ]])</f>
        <v>0</v>
      </c>
      <c r="U505">
        <f>COUNTIFS(Tabela4[[#All],[Cenário]],Tabela4[[#This Row],[Cenário]],Tabela4[[#All],[Status]],Tabela4[[#Headers],[Keyuser - Aguardando tarefa precedente]])</f>
        <v>0</v>
      </c>
      <c r="V505">
        <f>COUNTIFS(Tabela4[[#All],[Cenário]],Tabela4[[#This Row],[Cenário]],Tabela4[[#All],[Status]],Tabela4[[#Headers],[Não liberado  para testes]])</f>
        <v>0</v>
      </c>
      <c r="W505" t="str">
        <f>IF(Tabela4[[#This Row],[Elo - Em correção ]]&gt;0,"Sim","Não")</f>
        <v>Não</v>
      </c>
      <c r="X505" t="str">
        <f>IF(Tabela4[[#This Row],[Keyuser - Aguardando tarefa precedente]]&gt;0,"Sim","Não")</f>
        <v>Não</v>
      </c>
      <c r="Y505" t="str">
        <f>IF(Tabela4[[#This Row],[Não liberado  para testes]]&gt;0,"Sim","Não")</f>
        <v>Não</v>
      </c>
      <c r="Z505" t="str">
        <f ca="1">IF(Tabela4[[#This Row],[Status]]="Keyuser - Pendente",NETWORKDAYS(Tabela4[[#This Row],[Dt Inicial]],TODAY()),"")</f>
        <v/>
      </c>
      <c r="AA505" t="b">
        <f>AND(Tabela4[[#This Row],[Status]]="Keyuser - Aguardando tarefa precedente",K504="Keyuser - Concluído ")</f>
        <v>0</v>
      </c>
    </row>
    <row r="506" spans="1:27" x14ac:dyDescent="0.25">
      <c r="A506" t="str">
        <f>"OUT-"&amp;IFERROR(MID(Tabela4[[#This Row],[Cenário]],SEARCH("(",Tabela4[[#This Row],[Cenário]])+1,SEARCH(")",Tabela4[[#This Row],[Cenário]])-SEARCH("(",Tabela4[[#This Row],[Cenário]])-1),"")&amp;"_"&amp;ROW()</f>
        <v>OUT-Y103_506</v>
      </c>
      <c r="B506" t="s">
        <v>358</v>
      </c>
      <c r="C506" t="s">
        <v>647</v>
      </c>
      <c r="D506" t="s">
        <v>365</v>
      </c>
      <c r="E506">
        <v>2</v>
      </c>
      <c r="F506" t="s">
        <v>365</v>
      </c>
      <c r="G506" t="s">
        <v>310</v>
      </c>
      <c r="H506" s="13">
        <v>15603672</v>
      </c>
      <c r="I506" s="13" t="s">
        <v>648</v>
      </c>
      <c r="J506" s="13" t="s">
        <v>364</v>
      </c>
      <c r="K506" s="9" t="s">
        <v>271</v>
      </c>
      <c r="L506" s="78">
        <v>45964</v>
      </c>
      <c r="N506" s="78">
        <v>45964</v>
      </c>
      <c r="O506" s="31"/>
      <c r="P506" s="9"/>
      <c r="Q506" s="9">
        <f>COUNTIF(Tabela4[[#All],[Cenário]],Tabela4[[#This Row],[Cenário]])</f>
        <v>5</v>
      </c>
      <c r="R506">
        <f>COUNTIFS(Tabela4[[#All],[Cenário]],Tabela4[[#This Row],[Cenário]],Tabela4[[#All],[Status]],"Keyuser - Concluído ")</f>
        <v>5</v>
      </c>
      <c r="S506" t="str">
        <f>IF(Tabela4[[#This Row],[Tarefas por Cenário]]-Tabela4[[#This Row],[Tarefas Concluídas]]&gt;0,"Não","Sim")</f>
        <v>Sim</v>
      </c>
      <c r="T506">
        <f>COUNTIFS(Tabela4[[#All],[Cenário]],Tabela4[[#This Row],[Cenário]],Tabela4[[#All],[Status]],Tabela4[[#Headers],[Elo - Em correção ]])</f>
        <v>0</v>
      </c>
      <c r="U506">
        <f>COUNTIFS(Tabela4[[#All],[Cenário]],Tabela4[[#This Row],[Cenário]],Tabela4[[#All],[Status]],Tabela4[[#Headers],[Keyuser - Aguardando tarefa precedente]])</f>
        <v>0</v>
      </c>
      <c r="V506">
        <f>COUNTIFS(Tabela4[[#All],[Cenário]],Tabela4[[#This Row],[Cenário]],Tabela4[[#All],[Status]],Tabela4[[#Headers],[Não liberado  para testes]])</f>
        <v>0</v>
      </c>
      <c r="W506" t="str">
        <f>IF(Tabela4[[#This Row],[Elo - Em correção ]]&gt;0,"Sim","Não")</f>
        <v>Não</v>
      </c>
      <c r="X506" t="str">
        <f>IF(Tabela4[[#This Row],[Keyuser - Aguardando tarefa precedente]]&gt;0,"Sim","Não")</f>
        <v>Não</v>
      </c>
      <c r="Y506" t="str">
        <f>IF(Tabela4[[#This Row],[Não liberado  para testes]]&gt;0,"Sim","Não")</f>
        <v>Não</v>
      </c>
      <c r="Z506" t="str">
        <f ca="1">IF(Tabela4[[#This Row],[Status]]="Keyuser - Pendente",NETWORKDAYS(Tabela4[[#This Row],[Dt Inicial]],TODAY()),"")</f>
        <v/>
      </c>
      <c r="AA506" t="b">
        <f>AND(Tabela4[[#This Row],[Status]]="Keyuser - Aguardando tarefa precedente",K505="Keyuser - Concluído ")</f>
        <v>0</v>
      </c>
    </row>
    <row r="507" spans="1:27" x14ac:dyDescent="0.25">
      <c r="A507" t="str">
        <f>"OUT-"&amp;IFERROR(MID(Tabela4[[#This Row],[Cenário]],SEARCH("(",Tabela4[[#This Row],[Cenário]])+1,SEARCH(")",Tabela4[[#This Row],[Cenário]])-SEARCH("(",Tabela4[[#This Row],[Cenário]])-1),"")&amp;"_"&amp;ROW()</f>
        <v>OUT-Y103_507</v>
      </c>
      <c r="B507" t="s">
        <v>358</v>
      </c>
      <c r="C507" t="s">
        <v>647</v>
      </c>
      <c r="D507" t="s">
        <v>366</v>
      </c>
      <c r="E507">
        <v>3</v>
      </c>
      <c r="F507" t="s">
        <v>366</v>
      </c>
      <c r="G507" t="s">
        <v>367</v>
      </c>
      <c r="H507" s="13" t="s">
        <v>645</v>
      </c>
      <c r="I507" s="13"/>
      <c r="J507" s="13"/>
      <c r="K507" s="9" t="s">
        <v>271</v>
      </c>
      <c r="L507" s="78">
        <v>45964</v>
      </c>
      <c r="N507" s="78">
        <v>45964</v>
      </c>
      <c r="O507" s="31"/>
      <c r="P507" s="9"/>
      <c r="Q507" s="9">
        <f>COUNTIF(Tabela4[[#All],[Cenário]],Tabela4[[#This Row],[Cenário]])</f>
        <v>5</v>
      </c>
      <c r="R507">
        <f>COUNTIFS(Tabela4[[#All],[Cenário]],Tabela4[[#This Row],[Cenário]],Tabela4[[#All],[Status]],"Keyuser - Concluído ")</f>
        <v>5</v>
      </c>
      <c r="S507" t="str">
        <f>IF(Tabela4[[#This Row],[Tarefas por Cenário]]-Tabela4[[#This Row],[Tarefas Concluídas]]&gt;0,"Não","Sim")</f>
        <v>Sim</v>
      </c>
      <c r="T507">
        <f>COUNTIFS(Tabela4[[#All],[Cenário]],Tabela4[[#This Row],[Cenário]],Tabela4[[#All],[Status]],Tabela4[[#Headers],[Elo - Em correção ]])</f>
        <v>0</v>
      </c>
      <c r="U507">
        <f>COUNTIFS(Tabela4[[#All],[Cenário]],Tabela4[[#This Row],[Cenário]],Tabela4[[#All],[Status]],Tabela4[[#Headers],[Keyuser - Aguardando tarefa precedente]])</f>
        <v>0</v>
      </c>
      <c r="V507">
        <f>COUNTIFS(Tabela4[[#All],[Cenário]],Tabela4[[#This Row],[Cenário]],Tabela4[[#All],[Status]],Tabela4[[#Headers],[Não liberado  para testes]])</f>
        <v>0</v>
      </c>
      <c r="W507" t="str">
        <f>IF(Tabela4[[#This Row],[Elo - Em correção ]]&gt;0,"Sim","Não")</f>
        <v>Não</v>
      </c>
      <c r="X507" t="str">
        <f>IF(Tabela4[[#This Row],[Keyuser - Aguardando tarefa precedente]]&gt;0,"Sim","Não")</f>
        <v>Não</v>
      </c>
      <c r="Y507" t="str">
        <f>IF(Tabela4[[#This Row],[Não liberado  para testes]]&gt;0,"Sim","Não")</f>
        <v>Não</v>
      </c>
      <c r="Z507" t="str">
        <f ca="1">IF(Tabela4[[#This Row],[Status]]="Keyuser - Pendente",NETWORKDAYS(Tabela4[[#This Row],[Dt Inicial]],TODAY()),"")</f>
        <v/>
      </c>
      <c r="AA507" t="b">
        <f>AND(Tabela4[[#This Row],[Status]]="Keyuser - Aguardando tarefa precedente",K506="Keyuser - Concluído ")</f>
        <v>0</v>
      </c>
    </row>
    <row r="508" spans="1:27" x14ac:dyDescent="0.25">
      <c r="A508" t="str">
        <f>"OUT-"&amp;IFERROR(MID(Tabela4[[#This Row],[Cenário]],SEARCH("(",Tabela4[[#This Row],[Cenário]])+1,SEARCH(")",Tabela4[[#This Row],[Cenário]])-SEARCH("(",Tabela4[[#This Row],[Cenário]])-1),"")&amp;"_"&amp;ROW()</f>
        <v>OUT-Y103_508</v>
      </c>
      <c r="B508" t="s">
        <v>358</v>
      </c>
      <c r="C508" t="s">
        <v>647</v>
      </c>
      <c r="D508" t="s">
        <v>368</v>
      </c>
      <c r="E508">
        <v>4</v>
      </c>
      <c r="F508" t="s">
        <v>368</v>
      </c>
      <c r="G508" t="s">
        <v>377</v>
      </c>
      <c r="H508" s="13" t="s">
        <v>649</v>
      </c>
      <c r="I508" s="13"/>
      <c r="J508" s="13"/>
      <c r="K508" s="9" t="s">
        <v>271</v>
      </c>
      <c r="L508" s="78">
        <v>45964</v>
      </c>
      <c r="N508" s="78">
        <v>45964</v>
      </c>
      <c r="O508" s="31" t="s">
        <v>650</v>
      </c>
      <c r="P508" s="9"/>
      <c r="Q508" s="9">
        <f>COUNTIF(Tabela4[[#All],[Cenário]],Tabela4[[#This Row],[Cenário]])</f>
        <v>5</v>
      </c>
      <c r="R508">
        <f>COUNTIFS(Tabela4[[#All],[Cenário]],Tabela4[[#This Row],[Cenário]],Tabela4[[#All],[Status]],"Keyuser - Concluído ")</f>
        <v>5</v>
      </c>
      <c r="S508" t="str">
        <f>IF(Tabela4[[#This Row],[Tarefas por Cenário]]-Tabela4[[#This Row],[Tarefas Concluídas]]&gt;0,"Não","Sim")</f>
        <v>Sim</v>
      </c>
      <c r="T508">
        <f>COUNTIFS(Tabela4[[#All],[Cenário]],Tabela4[[#This Row],[Cenário]],Tabela4[[#All],[Status]],Tabela4[[#Headers],[Elo - Em correção ]])</f>
        <v>0</v>
      </c>
      <c r="U508">
        <f>COUNTIFS(Tabela4[[#All],[Cenário]],Tabela4[[#This Row],[Cenário]],Tabela4[[#All],[Status]],Tabela4[[#Headers],[Keyuser - Aguardando tarefa precedente]])</f>
        <v>0</v>
      </c>
      <c r="V508">
        <f>COUNTIFS(Tabela4[[#All],[Cenário]],Tabela4[[#This Row],[Cenário]],Tabela4[[#All],[Status]],Tabela4[[#Headers],[Não liberado  para testes]])</f>
        <v>0</v>
      </c>
      <c r="W508" t="str">
        <f>IF(Tabela4[[#This Row],[Elo - Em correção ]]&gt;0,"Sim","Não")</f>
        <v>Não</v>
      </c>
      <c r="X508" t="str">
        <f>IF(Tabela4[[#This Row],[Keyuser - Aguardando tarefa precedente]]&gt;0,"Sim","Não")</f>
        <v>Não</v>
      </c>
      <c r="Y508" t="str">
        <f>IF(Tabela4[[#This Row],[Não liberado  para testes]]&gt;0,"Sim","Não")</f>
        <v>Não</v>
      </c>
      <c r="Z508" t="str">
        <f ca="1">IF(Tabela4[[#This Row],[Status]]="Keyuser - Pendente",NETWORKDAYS(Tabela4[[#This Row],[Dt Inicial]],TODAY()),"")</f>
        <v/>
      </c>
      <c r="AA508" t="b">
        <f>AND(Tabela4[[#This Row],[Status]]="Keyuser - Aguardando tarefa precedente",K507="Keyuser - Concluído ")</f>
        <v>0</v>
      </c>
    </row>
    <row r="509" spans="1:27" x14ac:dyDescent="0.25">
      <c r="A509" t="str">
        <f>"OUT-"&amp;IFERROR(MID(Tabela4[[#This Row],[Cenário]],SEARCH("(",Tabela4[[#This Row],[Cenário]])+1,SEARCH(")",Tabela4[[#This Row],[Cenário]])-SEARCH("(",Tabela4[[#This Row],[Cenário]])-1),"")&amp;"_"&amp;ROW()</f>
        <v>OUT-Y103_509</v>
      </c>
      <c r="B509" t="s">
        <v>358</v>
      </c>
      <c r="C509" t="s">
        <v>647</v>
      </c>
      <c r="D509" t="s">
        <v>434</v>
      </c>
      <c r="E509">
        <v>5</v>
      </c>
      <c r="F509" t="s">
        <v>435</v>
      </c>
      <c r="G509" t="s">
        <v>287</v>
      </c>
      <c r="H509" s="13" t="s">
        <v>649</v>
      </c>
      <c r="I509" s="13"/>
      <c r="J509" s="13"/>
      <c r="K509" s="9" t="s">
        <v>271</v>
      </c>
      <c r="L509" s="78">
        <v>45972</v>
      </c>
      <c r="N509" s="78">
        <v>45972</v>
      </c>
      <c r="O509" s="31" t="s">
        <v>651</v>
      </c>
      <c r="P509" s="9"/>
      <c r="Q509" s="9">
        <f>COUNTIF(Tabela4[[#All],[Cenário]],Tabela4[[#This Row],[Cenário]])</f>
        <v>5</v>
      </c>
      <c r="R509">
        <f>COUNTIFS(Tabela4[[#All],[Cenário]],Tabela4[[#This Row],[Cenário]],Tabela4[[#All],[Status]],"Keyuser - Concluído ")</f>
        <v>5</v>
      </c>
      <c r="S509" t="str">
        <f>IF(Tabela4[[#This Row],[Tarefas por Cenário]]-Tabela4[[#This Row],[Tarefas Concluídas]]&gt;0,"Não","Sim")</f>
        <v>Sim</v>
      </c>
      <c r="T509">
        <f>COUNTIFS(Tabela4[[#All],[Cenário]],Tabela4[[#This Row],[Cenário]],Tabela4[[#All],[Status]],Tabela4[[#Headers],[Elo - Em correção ]])</f>
        <v>0</v>
      </c>
      <c r="U509">
        <f>COUNTIFS(Tabela4[[#All],[Cenário]],Tabela4[[#This Row],[Cenário]],Tabela4[[#All],[Status]],Tabela4[[#Headers],[Keyuser - Aguardando tarefa precedente]])</f>
        <v>0</v>
      </c>
      <c r="V509">
        <f>COUNTIFS(Tabela4[[#All],[Cenário]],Tabela4[[#This Row],[Cenário]],Tabela4[[#All],[Status]],Tabela4[[#Headers],[Não liberado  para testes]])</f>
        <v>0</v>
      </c>
      <c r="W509" t="str">
        <f>IF(Tabela4[[#This Row],[Elo - Em correção ]]&gt;0,"Sim","Não")</f>
        <v>Não</v>
      </c>
      <c r="X509" t="str">
        <f>IF(Tabela4[[#This Row],[Keyuser - Aguardando tarefa precedente]]&gt;0,"Sim","Não")</f>
        <v>Não</v>
      </c>
      <c r="Y509" t="str">
        <f>IF(Tabela4[[#This Row],[Não liberado  para testes]]&gt;0,"Sim","Não")</f>
        <v>Não</v>
      </c>
      <c r="Z509" t="str">
        <f ca="1">IF(Tabela4[[#This Row],[Status]]="Keyuser - Pendente",NETWORKDAYS(Tabela4[[#This Row],[Dt Inicial]],TODAY()),"")</f>
        <v/>
      </c>
      <c r="AA509" t="b">
        <f>AND(Tabela4[[#This Row],[Status]]="Keyuser - Aguardando tarefa precedente",K508="Keyuser - Concluído ")</f>
        <v>0</v>
      </c>
    </row>
    <row r="510" spans="1:27" x14ac:dyDescent="0.25">
      <c r="A510" t="str">
        <f>"OUT-"&amp;IFERROR(MID(Tabela4[[#This Row],[Cenário]],SEARCH("(",Tabela4[[#This Row],[Cenário]])+1,SEARCH(")",Tabela4[[#This Row],[Cenário]])-SEARCH("(",Tabela4[[#This Row],[Cenário]])-1),"")&amp;"_"&amp;ROW()</f>
        <v>OUT-Y005_510</v>
      </c>
      <c r="B510" t="s">
        <v>358</v>
      </c>
      <c r="C510" t="s">
        <v>652</v>
      </c>
      <c r="D510" s="5" t="s">
        <v>360</v>
      </c>
      <c r="E510">
        <v>1</v>
      </c>
      <c r="F510" t="s">
        <v>360</v>
      </c>
      <c r="G510" t="s">
        <v>643</v>
      </c>
      <c r="H510" s="13">
        <v>15603634</v>
      </c>
      <c r="I510" s="13" t="s">
        <v>653</v>
      </c>
      <c r="J510" s="13" t="s">
        <v>364</v>
      </c>
      <c r="K510" s="9" t="s">
        <v>271</v>
      </c>
      <c r="L510" s="78">
        <v>45952</v>
      </c>
      <c r="N510" s="78">
        <v>45952</v>
      </c>
      <c r="O510" s="31"/>
      <c r="P510" s="9"/>
      <c r="Q510" s="9">
        <f>COUNTIF(Tabela4[[#All],[Cenário]],Tabela4[[#This Row],[Cenário]])</f>
        <v>8</v>
      </c>
      <c r="R510">
        <f>COUNTIFS(Tabela4[[#All],[Cenário]],Tabela4[[#This Row],[Cenário]],Tabela4[[#All],[Status]],"Keyuser - Concluído ")</f>
        <v>7</v>
      </c>
      <c r="S510" t="str">
        <f>IF(Tabela4[[#This Row],[Tarefas por Cenário]]-Tabela4[[#This Row],[Tarefas Concluídas]]&gt;0,"Não","Sim")</f>
        <v>Não</v>
      </c>
      <c r="T510">
        <f>COUNTIFS(Tabela4[[#All],[Cenário]],Tabela4[[#This Row],[Cenário]],Tabela4[[#All],[Status]],Tabela4[[#Headers],[Elo - Em correção ]])</f>
        <v>0</v>
      </c>
      <c r="U510">
        <f>COUNTIFS(Tabela4[[#All],[Cenário]],Tabela4[[#This Row],[Cenário]],Tabela4[[#All],[Status]],Tabela4[[#Headers],[Keyuser - Aguardando tarefa precedente]])</f>
        <v>0</v>
      </c>
      <c r="V510">
        <f>COUNTIFS(Tabela4[[#All],[Cenário]],Tabela4[[#This Row],[Cenário]],Tabela4[[#All],[Status]],Tabela4[[#Headers],[Não liberado  para testes]])</f>
        <v>1</v>
      </c>
      <c r="W510" t="str">
        <f>IF(Tabela4[[#This Row],[Elo - Em correção ]]&gt;0,"Sim","Não")</f>
        <v>Não</v>
      </c>
      <c r="X510" t="str">
        <f>IF(Tabela4[[#This Row],[Keyuser - Aguardando tarefa precedente]]&gt;0,"Sim","Não")</f>
        <v>Não</v>
      </c>
      <c r="Y510" t="str">
        <f>IF(Tabela4[[#This Row],[Não liberado  para testes]]&gt;0,"Sim","Não")</f>
        <v>Sim</v>
      </c>
      <c r="Z510" t="str">
        <f ca="1">IF(Tabela4[[#This Row],[Status]]="Keyuser - Pendente",NETWORKDAYS(Tabela4[[#This Row],[Dt Inicial]],TODAY()),"")</f>
        <v/>
      </c>
      <c r="AA510" t="b">
        <f>AND(Tabela4[[#This Row],[Status]]="Keyuser - Aguardando tarefa precedente",K509="Keyuser - Concluído ")</f>
        <v>0</v>
      </c>
    </row>
    <row r="511" spans="1:27" x14ac:dyDescent="0.25">
      <c r="A511" t="str">
        <f>"OUT-"&amp;IFERROR(MID(Tabela4[[#This Row],[Cenário]],SEARCH("(",Tabela4[[#This Row],[Cenário]])+1,SEARCH(")",Tabela4[[#This Row],[Cenário]])-SEARCH("(",Tabela4[[#This Row],[Cenário]])-1),"")&amp;"_"&amp;ROW()</f>
        <v>OUT-Y005_511</v>
      </c>
      <c r="B511" t="s">
        <v>358</v>
      </c>
      <c r="C511" t="s">
        <v>652</v>
      </c>
      <c r="D511" s="5" t="s">
        <v>365</v>
      </c>
      <c r="E511">
        <v>2</v>
      </c>
      <c r="F511" t="s">
        <v>365</v>
      </c>
      <c r="G511" t="s">
        <v>310</v>
      </c>
      <c r="H511" s="13">
        <v>15603634</v>
      </c>
      <c r="I511" s="13" t="s">
        <v>653</v>
      </c>
      <c r="J511" s="13" t="s">
        <v>364</v>
      </c>
      <c r="K511" s="9" t="s">
        <v>271</v>
      </c>
      <c r="L511" s="78">
        <v>45952</v>
      </c>
      <c r="N511" s="78">
        <v>45952</v>
      </c>
      <c r="O511" s="31"/>
      <c r="P511" s="9"/>
      <c r="Q511" s="9">
        <f>COUNTIF(Tabela4[[#All],[Cenário]],Tabela4[[#This Row],[Cenário]])</f>
        <v>8</v>
      </c>
      <c r="R511">
        <f>COUNTIFS(Tabela4[[#All],[Cenário]],Tabela4[[#This Row],[Cenário]],Tabela4[[#All],[Status]],"Keyuser - Concluído ")</f>
        <v>7</v>
      </c>
      <c r="S511" t="str">
        <f>IF(Tabela4[[#This Row],[Tarefas por Cenário]]-Tabela4[[#This Row],[Tarefas Concluídas]]&gt;0,"Não","Sim")</f>
        <v>Não</v>
      </c>
      <c r="T511">
        <f>COUNTIFS(Tabela4[[#All],[Cenário]],Tabela4[[#This Row],[Cenário]],Tabela4[[#All],[Status]],Tabela4[[#Headers],[Elo - Em correção ]])</f>
        <v>0</v>
      </c>
      <c r="U511">
        <f>COUNTIFS(Tabela4[[#All],[Cenário]],Tabela4[[#This Row],[Cenário]],Tabela4[[#All],[Status]],Tabela4[[#Headers],[Keyuser - Aguardando tarefa precedente]])</f>
        <v>0</v>
      </c>
      <c r="V511">
        <f>COUNTIFS(Tabela4[[#All],[Cenário]],Tabela4[[#This Row],[Cenário]],Tabela4[[#All],[Status]],Tabela4[[#Headers],[Não liberado  para testes]])</f>
        <v>1</v>
      </c>
      <c r="W511" t="str">
        <f>IF(Tabela4[[#This Row],[Elo - Em correção ]]&gt;0,"Sim","Não")</f>
        <v>Não</v>
      </c>
      <c r="X511" t="str">
        <f>IF(Tabela4[[#This Row],[Keyuser - Aguardando tarefa precedente]]&gt;0,"Sim","Não")</f>
        <v>Não</v>
      </c>
      <c r="Y511" t="str">
        <f>IF(Tabela4[[#This Row],[Não liberado  para testes]]&gt;0,"Sim","Não")</f>
        <v>Sim</v>
      </c>
      <c r="Z511" t="str">
        <f ca="1">IF(Tabela4[[#This Row],[Status]]="Keyuser - Pendente",NETWORKDAYS(Tabela4[[#This Row],[Dt Inicial]],TODAY()),"")</f>
        <v/>
      </c>
      <c r="AA511" t="b">
        <f>AND(Tabela4[[#This Row],[Status]]="Keyuser - Aguardando tarefa precedente",K510="Keyuser - Concluído ")</f>
        <v>0</v>
      </c>
    </row>
    <row r="512" spans="1:27" x14ac:dyDescent="0.25">
      <c r="A512" t="str">
        <f>"OUT-"&amp;IFERROR(MID(Tabela4[[#This Row],[Cenário]],SEARCH("(",Tabela4[[#This Row],[Cenário]])+1,SEARCH(")",Tabela4[[#This Row],[Cenário]])-SEARCH("(",Tabela4[[#This Row],[Cenário]])-1),"")&amp;"_"&amp;ROW()</f>
        <v>OUT-Y005_512</v>
      </c>
      <c r="B512" t="s">
        <v>358</v>
      </c>
      <c r="C512" t="s">
        <v>652</v>
      </c>
      <c r="D512" s="5" t="s">
        <v>366</v>
      </c>
      <c r="E512">
        <v>3</v>
      </c>
      <c r="F512" t="s">
        <v>366</v>
      </c>
      <c r="G512" t="s">
        <v>367</v>
      </c>
      <c r="H512" s="13">
        <v>15603634</v>
      </c>
      <c r="I512" s="13" t="s">
        <v>653</v>
      </c>
      <c r="J512" s="13" t="s">
        <v>364</v>
      </c>
      <c r="K512" s="9" t="s">
        <v>271</v>
      </c>
      <c r="L512" s="78">
        <v>45952</v>
      </c>
      <c r="N512" s="78">
        <v>45952</v>
      </c>
      <c r="O512" s="31"/>
      <c r="P512" s="9"/>
      <c r="Q512" s="9">
        <f>COUNTIF(Tabela4[[#All],[Cenário]],Tabela4[[#This Row],[Cenário]])</f>
        <v>8</v>
      </c>
      <c r="R512">
        <f>COUNTIFS(Tabela4[[#All],[Cenário]],Tabela4[[#This Row],[Cenário]],Tabela4[[#All],[Status]],"Keyuser - Concluído ")</f>
        <v>7</v>
      </c>
      <c r="S512" t="str">
        <f>IF(Tabela4[[#This Row],[Tarefas por Cenário]]-Tabela4[[#This Row],[Tarefas Concluídas]]&gt;0,"Não","Sim")</f>
        <v>Não</v>
      </c>
      <c r="T512">
        <f>COUNTIFS(Tabela4[[#All],[Cenário]],Tabela4[[#This Row],[Cenário]],Tabela4[[#All],[Status]],Tabela4[[#Headers],[Elo - Em correção ]])</f>
        <v>0</v>
      </c>
      <c r="U512">
        <f>COUNTIFS(Tabela4[[#All],[Cenário]],Tabela4[[#This Row],[Cenário]],Tabela4[[#All],[Status]],Tabela4[[#Headers],[Keyuser - Aguardando tarefa precedente]])</f>
        <v>0</v>
      </c>
      <c r="V512">
        <f>COUNTIFS(Tabela4[[#All],[Cenário]],Tabela4[[#This Row],[Cenário]],Tabela4[[#All],[Status]],Tabela4[[#Headers],[Não liberado  para testes]])</f>
        <v>1</v>
      </c>
      <c r="W512" t="str">
        <f>IF(Tabela4[[#This Row],[Elo - Em correção ]]&gt;0,"Sim","Não")</f>
        <v>Não</v>
      </c>
      <c r="X512" t="str">
        <f>IF(Tabela4[[#This Row],[Keyuser - Aguardando tarefa precedente]]&gt;0,"Sim","Não")</f>
        <v>Não</v>
      </c>
      <c r="Y512" t="str">
        <f>IF(Tabela4[[#This Row],[Não liberado  para testes]]&gt;0,"Sim","Não")</f>
        <v>Sim</v>
      </c>
      <c r="Z512" t="str">
        <f ca="1">IF(Tabela4[[#This Row],[Status]]="Keyuser - Pendente",NETWORKDAYS(Tabela4[[#This Row],[Dt Inicial]],TODAY()),"")</f>
        <v/>
      </c>
      <c r="AA512" t="b">
        <f>AND(Tabela4[[#This Row],[Status]]="Keyuser - Aguardando tarefa precedente",K511="Keyuser - Concluído ")</f>
        <v>0</v>
      </c>
    </row>
    <row r="513" spans="1:27" x14ac:dyDescent="0.25">
      <c r="A513" t="str">
        <f>"OUT-"&amp;IFERROR(MID(Tabela4[[#This Row],[Cenário]],SEARCH("(",Tabela4[[#This Row],[Cenário]])+1,SEARCH(")",Tabela4[[#This Row],[Cenário]])-SEARCH("(",Tabela4[[#This Row],[Cenário]])-1),"")&amp;"_"&amp;ROW()</f>
        <v>OUT-Y005_513</v>
      </c>
      <c r="B513" t="s">
        <v>358</v>
      </c>
      <c r="C513" t="s">
        <v>652</v>
      </c>
      <c r="D513" s="5" t="s">
        <v>368</v>
      </c>
      <c r="E513">
        <v>4</v>
      </c>
      <c r="F513" t="s">
        <v>368</v>
      </c>
      <c r="G513" t="s">
        <v>377</v>
      </c>
      <c r="H513" s="13" t="s">
        <v>654</v>
      </c>
      <c r="I513" s="13"/>
      <c r="J513" s="13"/>
      <c r="K513" s="9" t="s">
        <v>271</v>
      </c>
      <c r="L513" s="78">
        <v>45952</v>
      </c>
      <c r="N513" s="78">
        <v>45952</v>
      </c>
      <c r="O513" s="31" t="s">
        <v>655</v>
      </c>
      <c r="P513" s="9"/>
      <c r="Q513" s="9">
        <f>COUNTIF(Tabela4[[#All],[Cenário]],Tabela4[[#This Row],[Cenário]])</f>
        <v>8</v>
      </c>
      <c r="R513">
        <f>COUNTIFS(Tabela4[[#All],[Cenário]],Tabela4[[#This Row],[Cenário]],Tabela4[[#All],[Status]],"Keyuser - Concluído ")</f>
        <v>7</v>
      </c>
      <c r="S513" t="str">
        <f>IF(Tabela4[[#This Row],[Tarefas por Cenário]]-Tabela4[[#This Row],[Tarefas Concluídas]]&gt;0,"Não","Sim")</f>
        <v>Não</v>
      </c>
      <c r="T513">
        <f>COUNTIFS(Tabela4[[#All],[Cenário]],Tabela4[[#This Row],[Cenário]],Tabela4[[#All],[Status]],Tabela4[[#Headers],[Elo - Em correção ]])</f>
        <v>0</v>
      </c>
      <c r="U513">
        <f>COUNTIFS(Tabela4[[#All],[Cenário]],Tabela4[[#This Row],[Cenário]],Tabela4[[#All],[Status]],Tabela4[[#Headers],[Keyuser - Aguardando tarefa precedente]])</f>
        <v>0</v>
      </c>
      <c r="V513">
        <f>COUNTIFS(Tabela4[[#All],[Cenário]],Tabela4[[#This Row],[Cenário]],Tabela4[[#All],[Status]],Tabela4[[#Headers],[Não liberado  para testes]])</f>
        <v>1</v>
      </c>
      <c r="W513" t="str">
        <f>IF(Tabela4[[#This Row],[Elo - Em correção ]]&gt;0,"Sim","Não")</f>
        <v>Não</v>
      </c>
      <c r="X513" t="str">
        <f>IF(Tabela4[[#This Row],[Keyuser - Aguardando tarefa precedente]]&gt;0,"Sim","Não")</f>
        <v>Não</v>
      </c>
      <c r="Y513" t="str">
        <f>IF(Tabela4[[#This Row],[Não liberado  para testes]]&gt;0,"Sim","Não")</f>
        <v>Sim</v>
      </c>
      <c r="Z513" t="str">
        <f ca="1">IF(Tabela4[[#This Row],[Status]]="Keyuser - Pendente",NETWORKDAYS(Tabela4[[#This Row],[Dt Inicial]],TODAY()),"")</f>
        <v/>
      </c>
      <c r="AA513" t="b">
        <f>AND(Tabela4[[#This Row],[Status]]="Keyuser - Aguardando tarefa precedente",K512="Keyuser - Concluído ")</f>
        <v>0</v>
      </c>
    </row>
    <row r="514" spans="1:27" x14ac:dyDescent="0.25">
      <c r="A514" t="str">
        <f>"OUT-"&amp;IFERROR(MID(Tabela4[[#This Row],[Cenário]],SEARCH("(",Tabela4[[#This Row],[Cenário]])+1,SEARCH(")",Tabela4[[#This Row],[Cenário]])-SEARCH("(",Tabela4[[#This Row],[Cenário]])-1),"")&amp;"_"&amp;ROW()</f>
        <v>OUT-Y005_514</v>
      </c>
      <c r="B514" t="s">
        <v>358</v>
      </c>
      <c r="C514" t="s">
        <v>652</v>
      </c>
      <c r="D514" s="5" t="s">
        <v>371</v>
      </c>
      <c r="E514">
        <v>5</v>
      </c>
      <c r="F514" t="s">
        <v>435</v>
      </c>
      <c r="G514" t="s">
        <v>287</v>
      </c>
      <c r="H514" s="13" t="s">
        <v>654</v>
      </c>
      <c r="I514" s="13"/>
      <c r="J514" s="13"/>
      <c r="K514" s="9" t="s">
        <v>271</v>
      </c>
      <c r="L514" s="78" t="s">
        <v>617</v>
      </c>
      <c r="N514" s="78">
        <v>45957</v>
      </c>
      <c r="O514" s="31"/>
      <c r="P514" s="9"/>
      <c r="Q514" s="9">
        <f>COUNTIF(Tabela4[[#All],[Cenário]],Tabela4[[#This Row],[Cenário]])</f>
        <v>8</v>
      </c>
      <c r="R514">
        <f>COUNTIFS(Tabela4[[#All],[Cenário]],Tabela4[[#This Row],[Cenário]],Tabela4[[#All],[Status]],"Keyuser - Concluído ")</f>
        <v>7</v>
      </c>
      <c r="S514" t="str">
        <f>IF(Tabela4[[#This Row],[Tarefas por Cenário]]-Tabela4[[#This Row],[Tarefas Concluídas]]&gt;0,"Não","Sim")</f>
        <v>Não</v>
      </c>
      <c r="T514">
        <f>COUNTIFS(Tabela4[[#All],[Cenário]],Tabela4[[#This Row],[Cenário]],Tabela4[[#All],[Status]],Tabela4[[#Headers],[Elo - Em correção ]])</f>
        <v>0</v>
      </c>
      <c r="U514">
        <f>COUNTIFS(Tabela4[[#All],[Cenário]],Tabela4[[#This Row],[Cenário]],Tabela4[[#All],[Status]],Tabela4[[#Headers],[Keyuser - Aguardando tarefa precedente]])</f>
        <v>0</v>
      </c>
      <c r="V514">
        <f>COUNTIFS(Tabela4[[#All],[Cenário]],Tabela4[[#This Row],[Cenário]],Tabela4[[#All],[Status]],Tabela4[[#Headers],[Não liberado  para testes]])</f>
        <v>1</v>
      </c>
      <c r="W514" t="str">
        <f>IF(Tabela4[[#This Row],[Elo - Em correção ]]&gt;0,"Sim","Não")</f>
        <v>Não</v>
      </c>
      <c r="X514" t="str">
        <f>IF(Tabela4[[#This Row],[Keyuser - Aguardando tarefa precedente]]&gt;0,"Sim","Não")</f>
        <v>Não</v>
      </c>
      <c r="Y514" t="str">
        <f>IF(Tabela4[[#This Row],[Não liberado  para testes]]&gt;0,"Sim","Não")</f>
        <v>Sim</v>
      </c>
      <c r="Z514" t="str">
        <f ca="1">IF(Tabela4[[#This Row],[Status]]="Keyuser - Pendente",NETWORKDAYS(Tabela4[[#This Row],[Dt Inicial]],TODAY()),"")</f>
        <v/>
      </c>
      <c r="AA514" t="b">
        <f>AND(Tabela4[[#This Row],[Status]]="Keyuser - Aguardando tarefa precedente",K513="Keyuser - Concluído ")</f>
        <v>0</v>
      </c>
    </row>
    <row r="515" spans="1:27" x14ac:dyDescent="0.25">
      <c r="A515" t="str">
        <f>"OUT-"&amp;IFERROR(MID(Tabela4[[#This Row],[Cenário]],SEARCH("(",Tabela4[[#This Row],[Cenário]])+1,SEARCH(")",Tabela4[[#This Row],[Cenário]])-SEARCH("(",Tabela4[[#This Row],[Cenário]])-1),"")&amp;"_"&amp;ROW()</f>
        <v>OUT-Y005_515</v>
      </c>
      <c r="B515" t="s">
        <v>358</v>
      </c>
      <c r="C515" t="s">
        <v>652</v>
      </c>
      <c r="D515" s="5" t="s">
        <v>373</v>
      </c>
      <c r="E515">
        <v>6</v>
      </c>
      <c r="F515" t="s">
        <v>373</v>
      </c>
      <c r="G515" t="s">
        <v>283</v>
      </c>
      <c r="H515" s="13" t="s">
        <v>654</v>
      </c>
      <c r="I515" s="13"/>
      <c r="J515" s="13"/>
      <c r="K515" s="9" t="s">
        <v>271</v>
      </c>
      <c r="L515" s="78" t="s">
        <v>617</v>
      </c>
      <c r="N515" s="78">
        <v>45957</v>
      </c>
      <c r="O515" s="31" t="s">
        <v>656</v>
      </c>
      <c r="P515" s="9"/>
      <c r="Q515" s="9">
        <f>COUNTIF(Tabela4[[#All],[Cenário]],Tabela4[[#This Row],[Cenário]])</f>
        <v>8</v>
      </c>
      <c r="R515">
        <f>COUNTIFS(Tabela4[[#All],[Cenário]],Tabela4[[#This Row],[Cenário]],Tabela4[[#All],[Status]],"Keyuser - Concluído ")</f>
        <v>7</v>
      </c>
      <c r="S515" t="str">
        <f>IF(Tabela4[[#This Row],[Tarefas por Cenário]]-Tabela4[[#This Row],[Tarefas Concluídas]]&gt;0,"Não","Sim")</f>
        <v>Não</v>
      </c>
      <c r="T515">
        <f>COUNTIFS(Tabela4[[#All],[Cenário]],Tabela4[[#This Row],[Cenário]],Tabela4[[#All],[Status]],Tabela4[[#Headers],[Elo - Em correção ]])</f>
        <v>0</v>
      </c>
      <c r="U515">
        <f>COUNTIFS(Tabela4[[#All],[Cenário]],Tabela4[[#This Row],[Cenário]],Tabela4[[#All],[Status]],Tabela4[[#Headers],[Keyuser - Aguardando tarefa precedente]])</f>
        <v>0</v>
      </c>
      <c r="V515">
        <f>COUNTIFS(Tabela4[[#All],[Cenário]],Tabela4[[#This Row],[Cenário]],Tabela4[[#All],[Status]],Tabela4[[#Headers],[Não liberado  para testes]])</f>
        <v>1</v>
      </c>
      <c r="W515" t="str">
        <f>IF(Tabela4[[#This Row],[Elo - Em correção ]]&gt;0,"Sim","Não")</f>
        <v>Não</v>
      </c>
      <c r="X515" t="str">
        <f>IF(Tabela4[[#This Row],[Keyuser - Aguardando tarefa precedente]]&gt;0,"Sim","Não")</f>
        <v>Não</v>
      </c>
      <c r="Y515" t="str">
        <f>IF(Tabela4[[#This Row],[Não liberado  para testes]]&gt;0,"Sim","Não")</f>
        <v>Sim</v>
      </c>
      <c r="Z515" t="str">
        <f ca="1">IF(Tabela4[[#This Row],[Status]]="Keyuser - Pendente",NETWORKDAYS(Tabela4[[#This Row],[Dt Inicial]],TODAY()),"")</f>
        <v/>
      </c>
      <c r="AA515" t="b">
        <f>AND(Tabela4[[#This Row],[Status]]="Keyuser - Aguardando tarefa precedente",K514="Keyuser - Concluído ")</f>
        <v>0</v>
      </c>
    </row>
    <row r="516" spans="1:27" x14ac:dyDescent="0.25">
      <c r="A516" t="str">
        <f>"OUT-"&amp;IFERROR(MID(Tabela4[[#This Row],[Cenário]],SEARCH("(",Tabela4[[#This Row],[Cenário]])+1,SEARCH(")",Tabela4[[#This Row],[Cenário]])-SEARCH("(",Tabela4[[#This Row],[Cenário]])-1),"")&amp;"_"&amp;ROW()</f>
        <v>OUT-Y005_516</v>
      </c>
      <c r="B516" t="s">
        <v>374</v>
      </c>
      <c r="C516" t="s">
        <v>652</v>
      </c>
      <c r="D516" s="5" t="s">
        <v>286</v>
      </c>
      <c r="E516">
        <v>7</v>
      </c>
      <c r="F516" t="s">
        <v>286</v>
      </c>
      <c r="G516" t="s">
        <v>287</v>
      </c>
      <c r="H516" s="13"/>
      <c r="I516" s="13"/>
      <c r="J516" s="13"/>
      <c r="K516" s="9" t="s">
        <v>262</v>
      </c>
      <c r="N516" s="78"/>
      <c r="O516" s="31"/>
      <c r="P516" s="9"/>
      <c r="Q516" s="9">
        <f>COUNTIF(Tabela4[[#All],[Cenário]],Tabela4[[#This Row],[Cenário]])</f>
        <v>8</v>
      </c>
      <c r="R516">
        <f>COUNTIFS(Tabela4[[#All],[Cenário]],Tabela4[[#This Row],[Cenário]],Tabela4[[#All],[Status]],"Keyuser - Concluído ")</f>
        <v>7</v>
      </c>
      <c r="S516" t="str">
        <f>IF(Tabela4[[#This Row],[Tarefas por Cenário]]-Tabela4[[#This Row],[Tarefas Concluídas]]&gt;0,"Não","Sim")</f>
        <v>Não</v>
      </c>
      <c r="T516">
        <f>COUNTIFS(Tabela4[[#All],[Cenário]],Tabela4[[#This Row],[Cenário]],Tabela4[[#All],[Status]],Tabela4[[#Headers],[Elo - Em correção ]])</f>
        <v>0</v>
      </c>
      <c r="U516">
        <f>COUNTIFS(Tabela4[[#All],[Cenário]],Tabela4[[#This Row],[Cenário]],Tabela4[[#All],[Status]],Tabela4[[#Headers],[Keyuser - Aguardando tarefa precedente]])</f>
        <v>0</v>
      </c>
      <c r="V516">
        <f>COUNTIFS(Tabela4[[#All],[Cenário]],Tabela4[[#This Row],[Cenário]],Tabela4[[#All],[Status]],Tabela4[[#Headers],[Não liberado  para testes]])</f>
        <v>1</v>
      </c>
      <c r="W516" t="str">
        <f>IF(Tabela4[[#This Row],[Elo - Em correção ]]&gt;0,"Sim","Não")</f>
        <v>Não</v>
      </c>
      <c r="X516" t="str">
        <f>IF(Tabela4[[#This Row],[Keyuser - Aguardando tarefa precedente]]&gt;0,"Sim","Não")</f>
        <v>Não</v>
      </c>
      <c r="Y516" t="str">
        <f>IF(Tabela4[[#This Row],[Não liberado  para testes]]&gt;0,"Sim","Não")</f>
        <v>Sim</v>
      </c>
      <c r="Z516" t="str">
        <f ca="1">IF(Tabela4[[#This Row],[Status]]="Keyuser - Pendente",NETWORKDAYS(Tabela4[[#This Row],[Dt Inicial]],TODAY()),"")</f>
        <v/>
      </c>
      <c r="AA516" t="b">
        <f>AND(Tabela4[[#This Row],[Status]]="Keyuser - Aguardando tarefa precedente",K515="Keyuser - Concluído ")</f>
        <v>0</v>
      </c>
    </row>
    <row r="517" spans="1:27" x14ac:dyDescent="0.25">
      <c r="A517" t="str">
        <f>"OUT-"&amp;IFERROR(MID(Tabela4[[#This Row],[Cenário]],SEARCH("(",Tabela4[[#This Row],[Cenário]])+1,SEARCH(")",Tabela4[[#This Row],[Cenário]])-SEARCH("(",Tabela4[[#This Row],[Cenário]])-1),"")&amp;"_"&amp;ROW()</f>
        <v>OUT-Y005_517</v>
      </c>
      <c r="B517" t="s">
        <v>358</v>
      </c>
      <c r="C517" t="s">
        <v>652</v>
      </c>
      <c r="D517" s="5" t="s">
        <v>375</v>
      </c>
      <c r="E517">
        <v>8</v>
      </c>
      <c r="F517" t="s">
        <v>375</v>
      </c>
      <c r="G517" t="s">
        <v>367</v>
      </c>
      <c r="H517" s="13">
        <v>15603634</v>
      </c>
      <c r="I517" s="13" t="s">
        <v>653</v>
      </c>
      <c r="J517" s="13"/>
      <c r="K517" s="9" t="s">
        <v>271</v>
      </c>
      <c r="L517" s="78">
        <v>45954</v>
      </c>
      <c r="N517" s="78">
        <v>45954</v>
      </c>
      <c r="O517" s="31"/>
      <c r="P517" s="9"/>
      <c r="Q517" s="9">
        <f>COUNTIF(Tabela4[[#All],[Cenário]],Tabela4[[#This Row],[Cenário]])</f>
        <v>8</v>
      </c>
      <c r="R517">
        <f>COUNTIFS(Tabela4[[#All],[Cenário]],Tabela4[[#This Row],[Cenário]],Tabela4[[#All],[Status]],"Keyuser - Concluído ")</f>
        <v>7</v>
      </c>
      <c r="S517" t="str">
        <f>IF(Tabela4[[#This Row],[Tarefas por Cenário]]-Tabela4[[#This Row],[Tarefas Concluídas]]&gt;0,"Não","Sim")</f>
        <v>Não</v>
      </c>
      <c r="T517">
        <f>COUNTIFS(Tabela4[[#All],[Cenário]],Tabela4[[#This Row],[Cenário]],Tabela4[[#All],[Status]],Tabela4[[#Headers],[Elo - Em correção ]])</f>
        <v>0</v>
      </c>
      <c r="U517">
        <f>COUNTIFS(Tabela4[[#All],[Cenário]],Tabela4[[#This Row],[Cenário]],Tabela4[[#All],[Status]],Tabela4[[#Headers],[Keyuser - Aguardando tarefa precedente]])</f>
        <v>0</v>
      </c>
      <c r="V517">
        <f>COUNTIFS(Tabela4[[#All],[Cenário]],Tabela4[[#This Row],[Cenário]],Tabela4[[#All],[Status]],Tabela4[[#Headers],[Não liberado  para testes]])</f>
        <v>1</v>
      </c>
      <c r="W517" t="str">
        <f>IF(Tabela4[[#This Row],[Elo - Em correção ]]&gt;0,"Sim","Não")</f>
        <v>Não</v>
      </c>
      <c r="X517" t="str">
        <f>IF(Tabela4[[#This Row],[Keyuser - Aguardando tarefa precedente]]&gt;0,"Sim","Não")</f>
        <v>Não</v>
      </c>
      <c r="Y517" t="str">
        <f>IF(Tabela4[[#This Row],[Não liberado  para testes]]&gt;0,"Sim","Não")</f>
        <v>Sim</v>
      </c>
      <c r="Z517" t="str">
        <f ca="1">IF(Tabela4[[#This Row],[Status]]="Keyuser - Pendente",NETWORKDAYS(Tabela4[[#This Row],[Dt Inicial]],TODAY()),"")</f>
        <v/>
      </c>
      <c r="AA517" t="b">
        <f>AND(Tabela4[[#This Row],[Status]]="Keyuser - Aguardando tarefa precedente",K516="Keyuser - Concluído ")</f>
        <v>0</v>
      </c>
    </row>
    <row r="518" spans="1:27" x14ac:dyDescent="0.25">
      <c r="A518" t="str">
        <f>"OUT-"&amp;IFERROR(MID(Tabela4[[#This Row],[Cenário]],SEARCH("(",Tabela4[[#This Row],[Cenário]])+1,SEARCH(")",Tabela4[[#This Row],[Cenário]])-SEARCH("(",Tabela4[[#This Row],[Cenário]])-1),"")&amp;"_"&amp;ROW()</f>
        <v>OUT-Y007_518</v>
      </c>
      <c r="B518" t="s">
        <v>358</v>
      </c>
      <c r="C518" t="s">
        <v>657</v>
      </c>
      <c r="D518" s="5" t="s">
        <v>360</v>
      </c>
      <c r="E518">
        <v>1</v>
      </c>
      <c r="F518" t="s">
        <v>360</v>
      </c>
      <c r="G518" t="s">
        <v>643</v>
      </c>
      <c r="H518" s="13">
        <v>15603610</v>
      </c>
      <c r="I518" s="13" t="s">
        <v>658</v>
      </c>
      <c r="J518" s="13" t="s">
        <v>364</v>
      </c>
      <c r="K518" s="9" t="s">
        <v>271</v>
      </c>
      <c r="L518" s="78">
        <v>45946</v>
      </c>
      <c r="N518" s="78">
        <v>45946</v>
      </c>
      <c r="O518" s="31"/>
      <c r="P518" s="9"/>
      <c r="Q518" s="9">
        <f>COUNTIF(Tabela4[[#All],[Cenário]],Tabela4[[#This Row],[Cenário]])</f>
        <v>8</v>
      </c>
      <c r="R518">
        <f>COUNTIFS(Tabela4[[#All],[Cenário]],Tabela4[[#This Row],[Cenário]],Tabela4[[#All],[Status]],"Keyuser - Concluído ")</f>
        <v>7</v>
      </c>
      <c r="S518" t="str">
        <f>IF(Tabela4[[#This Row],[Tarefas por Cenário]]-Tabela4[[#This Row],[Tarefas Concluídas]]&gt;0,"Não","Sim")</f>
        <v>Não</v>
      </c>
      <c r="T518">
        <f>COUNTIFS(Tabela4[[#All],[Cenário]],Tabela4[[#This Row],[Cenário]],Tabela4[[#All],[Status]],Tabela4[[#Headers],[Elo - Em correção ]])</f>
        <v>0</v>
      </c>
      <c r="U518">
        <f>COUNTIFS(Tabela4[[#All],[Cenário]],Tabela4[[#This Row],[Cenário]],Tabela4[[#All],[Status]],Tabela4[[#Headers],[Keyuser - Aguardando tarefa precedente]])</f>
        <v>0</v>
      </c>
      <c r="V518">
        <f>COUNTIFS(Tabela4[[#All],[Cenário]],Tabela4[[#This Row],[Cenário]],Tabela4[[#All],[Status]],Tabela4[[#Headers],[Não liberado  para testes]])</f>
        <v>1</v>
      </c>
      <c r="W518" t="str">
        <f>IF(Tabela4[[#This Row],[Elo - Em correção ]]&gt;0,"Sim","Não")</f>
        <v>Não</v>
      </c>
      <c r="X518" t="str">
        <f>IF(Tabela4[[#This Row],[Keyuser - Aguardando tarefa precedente]]&gt;0,"Sim","Não")</f>
        <v>Não</v>
      </c>
      <c r="Y518" t="str">
        <f>IF(Tabela4[[#This Row],[Não liberado  para testes]]&gt;0,"Sim","Não")</f>
        <v>Sim</v>
      </c>
      <c r="Z518" t="str">
        <f ca="1">IF(Tabela4[[#This Row],[Status]]="Keyuser - Pendente",NETWORKDAYS(Tabela4[[#This Row],[Dt Inicial]],TODAY()),"")</f>
        <v/>
      </c>
      <c r="AA518" t="b">
        <f>AND(Tabela4[[#This Row],[Status]]="Keyuser - Aguardando tarefa precedente",K517="Keyuser - Concluído ")</f>
        <v>0</v>
      </c>
    </row>
    <row r="519" spans="1:27" x14ac:dyDescent="0.25">
      <c r="A519" t="str">
        <f>"OUT-"&amp;IFERROR(MID(Tabela4[[#This Row],[Cenário]],SEARCH("(",Tabela4[[#This Row],[Cenário]])+1,SEARCH(")",Tabela4[[#This Row],[Cenário]])-SEARCH("(",Tabela4[[#This Row],[Cenário]])-1),"")&amp;"_"&amp;ROW()</f>
        <v>OUT-Y007_519</v>
      </c>
      <c r="B519" t="s">
        <v>358</v>
      </c>
      <c r="C519" t="s">
        <v>657</v>
      </c>
      <c r="D519" s="5" t="s">
        <v>365</v>
      </c>
      <c r="E519">
        <v>2</v>
      </c>
      <c r="F519" t="s">
        <v>365</v>
      </c>
      <c r="G519" t="s">
        <v>310</v>
      </c>
      <c r="H519" s="13">
        <v>15603610</v>
      </c>
      <c r="I519" s="13" t="s">
        <v>658</v>
      </c>
      <c r="J519" s="13" t="s">
        <v>364</v>
      </c>
      <c r="K519" s="9" t="s">
        <v>271</v>
      </c>
      <c r="L519" s="78">
        <v>45946</v>
      </c>
      <c r="N519" s="78">
        <v>45946</v>
      </c>
      <c r="O519" s="31"/>
      <c r="P519" s="9"/>
      <c r="Q519" s="9">
        <f>COUNTIF(Tabela4[[#All],[Cenário]],Tabela4[[#This Row],[Cenário]])</f>
        <v>8</v>
      </c>
      <c r="R519">
        <f>COUNTIFS(Tabela4[[#All],[Cenário]],Tabela4[[#This Row],[Cenário]],Tabela4[[#All],[Status]],"Keyuser - Concluído ")</f>
        <v>7</v>
      </c>
      <c r="S519" t="str">
        <f>IF(Tabela4[[#This Row],[Tarefas por Cenário]]-Tabela4[[#This Row],[Tarefas Concluídas]]&gt;0,"Não","Sim")</f>
        <v>Não</v>
      </c>
      <c r="T519">
        <f>COUNTIFS(Tabela4[[#All],[Cenário]],Tabela4[[#This Row],[Cenário]],Tabela4[[#All],[Status]],Tabela4[[#Headers],[Elo - Em correção ]])</f>
        <v>0</v>
      </c>
      <c r="U519">
        <f>COUNTIFS(Tabela4[[#All],[Cenário]],Tabela4[[#This Row],[Cenário]],Tabela4[[#All],[Status]],Tabela4[[#Headers],[Keyuser - Aguardando tarefa precedente]])</f>
        <v>0</v>
      </c>
      <c r="V519">
        <f>COUNTIFS(Tabela4[[#All],[Cenário]],Tabela4[[#This Row],[Cenário]],Tabela4[[#All],[Status]],Tabela4[[#Headers],[Não liberado  para testes]])</f>
        <v>1</v>
      </c>
      <c r="W519" t="str">
        <f>IF(Tabela4[[#This Row],[Elo - Em correção ]]&gt;0,"Sim","Não")</f>
        <v>Não</v>
      </c>
      <c r="X519" t="str">
        <f>IF(Tabela4[[#This Row],[Keyuser - Aguardando tarefa precedente]]&gt;0,"Sim","Não")</f>
        <v>Não</v>
      </c>
      <c r="Y519" t="str">
        <f>IF(Tabela4[[#This Row],[Não liberado  para testes]]&gt;0,"Sim","Não")</f>
        <v>Sim</v>
      </c>
      <c r="Z519" t="str">
        <f ca="1">IF(Tabela4[[#This Row],[Status]]="Keyuser - Pendente",NETWORKDAYS(Tabela4[[#This Row],[Dt Inicial]],TODAY()),"")</f>
        <v/>
      </c>
      <c r="AA519" t="b">
        <f>AND(Tabela4[[#This Row],[Status]]="Keyuser - Aguardando tarefa precedente",K518="Keyuser - Concluído ")</f>
        <v>0</v>
      </c>
    </row>
    <row r="520" spans="1:27" x14ac:dyDescent="0.25">
      <c r="A520" t="str">
        <f>"OUT-"&amp;IFERROR(MID(Tabela4[[#This Row],[Cenário]],SEARCH("(",Tabela4[[#This Row],[Cenário]])+1,SEARCH(")",Tabela4[[#This Row],[Cenário]])-SEARCH("(",Tabela4[[#This Row],[Cenário]])-1),"")&amp;"_"&amp;ROW()</f>
        <v>OUT-Y007_520</v>
      </c>
      <c r="B520" t="s">
        <v>358</v>
      </c>
      <c r="C520" t="s">
        <v>657</v>
      </c>
      <c r="D520" s="5" t="s">
        <v>366</v>
      </c>
      <c r="E520">
        <v>3</v>
      </c>
      <c r="F520" t="s">
        <v>366</v>
      </c>
      <c r="G520" t="s">
        <v>367</v>
      </c>
      <c r="H520" s="13">
        <v>15603610</v>
      </c>
      <c r="I520" s="13" t="s">
        <v>658</v>
      </c>
      <c r="J520" s="13" t="s">
        <v>364</v>
      </c>
      <c r="K520" s="9" t="s">
        <v>271</v>
      </c>
      <c r="L520" s="78">
        <v>45946</v>
      </c>
      <c r="N520" s="78">
        <v>45946</v>
      </c>
      <c r="O520" s="31"/>
      <c r="P520" s="9"/>
      <c r="Q520" s="9">
        <f>COUNTIF(Tabela4[[#All],[Cenário]],Tabela4[[#This Row],[Cenário]])</f>
        <v>8</v>
      </c>
      <c r="R520">
        <f>COUNTIFS(Tabela4[[#All],[Cenário]],Tabela4[[#This Row],[Cenário]],Tabela4[[#All],[Status]],"Keyuser - Concluído ")</f>
        <v>7</v>
      </c>
      <c r="S520" t="str">
        <f>IF(Tabela4[[#This Row],[Tarefas por Cenário]]-Tabela4[[#This Row],[Tarefas Concluídas]]&gt;0,"Não","Sim")</f>
        <v>Não</v>
      </c>
      <c r="T520">
        <f>COUNTIFS(Tabela4[[#All],[Cenário]],Tabela4[[#This Row],[Cenário]],Tabela4[[#All],[Status]],Tabela4[[#Headers],[Elo - Em correção ]])</f>
        <v>0</v>
      </c>
      <c r="U520">
        <f>COUNTIFS(Tabela4[[#All],[Cenário]],Tabela4[[#This Row],[Cenário]],Tabela4[[#All],[Status]],Tabela4[[#Headers],[Keyuser - Aguardando tarefa precedente]])</f>
        <v>0</v>
      </c>
      <c r="V520">
        <f>COUNTIFS(Tabela4[[#All],[Cenário]],Tabela4[[#This Row],[Cenário]],Tabela4[[#All],[Status]],Tabela4[[#Headers],[Não liberado  para testes]])</f>
        <v>1</v>
      </c>
      <c r="W520" t="str">
        <f>IF(Tabela4[[#This Row],[Elo - Em correção ]]&gt;0,"Sim","Não")</f>
        <v>Não</v>
      </c>
      <c r="X520" t="str">
        <f>IF(Tabela4[[#This Row],[Keyuser - Aguardando tarefa precedente]]&gt;0,"Sim","Não")</f>
        <v>Não</v>
      </c>
      <c r="Y520" t="str">
        <f>IF(Tabela4[[#This Row],[Não liberado  para testes]]&gt;0,"Sim","Não")</f>
        <v>Sim</v>
      </c>
      <c r="Z520" t="str">
        <f ca="1">IF(Tabela4[[#This Row],[Status]]="Keyuser - Pendente",NETWORKDAYS(Tabela4[[#This Row],[Dt Inicial]],TODAY()),"")</f>
        <v/>
      </c>
      <c r="AA520" t="b">
        <f>AND(Tabela4[[#This Row],[Status]]="Keyuser - Aguardando tarefa precedente",K519="Keyuser - Concluído ")</f>
        <v>0</v>
      </c>
    </row>
    <row r="521" spans="1:27" x14ac:dyDescent="0.25">
      <c r="A521" t="str">
        <f>"OUT-"&amp;IFERROR(MID(Tabela4[[#This Row],[Cenário]],SEARCH("(",Tabela4[[#This Row],[Cenário]])+1,SEARCH(")",Tabela4[[#This Row],[Cenário]])-SEARCH("(",Tabela4[[#This Row],[Cenário]])-1),"")&amp;"_"&amp;ROW()</f>
        <v>OUT-Y007_521</v>
      </c>
      <c r="B521" t="s">
        <v>358</v>
      </c>
      <c r="C521" t="s">
        <v>657</v>
      </c>
      <c r="D521" s="5" t="s">
        <v>368</v>
      </c>
      <c r="E521">
        <v>4</v>
      </c>
      <c r="F521" t="s">
        <v>368</v>
      </c>
      <c r="G521" t="s">
        <v>377</v>
      </c>
      <c r="H521" s="13" t="s">
        <v>659</v>
      </c>
      <c r="I521" s="13"/>
      <c r="J521" s="13"/>
      <c r="K521" s="9" t="s">
        <v>271</v>
      </c>
      <c r="L521" s="78">
        <v>45947</v>
      </c>
      <c r="N521" s="78">
        <v>45947</v>
      </c>
      <c r="O521" s="31" t="s">
        <v>660</v>
      </c>
      <c r="P521" s="9"/>
      <c r="Q521" s="9">
        <f>COUNTIF(Tabela4[[#All],[Cenário]],Tabela4[[#This Row],[Cenário]])</f>
        <v>8</v>
      </c>
      <c r="R521">
        <f>COUNTIFS(Tabela4[[#All],[Cenário]],Tabela4[[#This Row],[Cenário]],Tabela4[[#All],[Status]],"Keyuser - Concluído ")</f>
        <v>7</v>
      </c>
      <c r="S521" t="str">
        <f>IF(Tabela4[[#This Row],[Tarefas por Cenário]]-Tabela4[[#This Row],[Tarefas Concluídas]]&gt;0,"Não","Sim")</f>
        <v>Não</v>
      </c>
      <c r="T521">
        <f>COUNTIFS(Tabela4[[#All],[Cenário]],Tabela4[[#This Row],[Cenário]],Tabela4[[#All],[Status]],Tabela4[[#Headers],[Elo - Em correção ]])</f>
        <v>0</v>
      </c>
      <c r="U521">
        <f>COUNTIFS(Tabela4[[#All],[Cenário]],Tabela4[[#This Row],[Cenário]],Tabela4[[#All],[Status]],Tabela4[[#Headers],[Keyuser - Aguardando tarefa precedente]])</f>
        <v>0</v>
      </c>
      <c r="V521">
        <f>COUNTIFS(Tabela4[[#All],[Cenário]],Tabela4[[#This Row],[Cenário]],Tabela4[[#All],[Status]],Tabela4[[#Headers],[Não liberado  para testes]])</f>
        <v>1</v>
      </c>
      <c r="W521" t="str">
        <f>IF(Tabela4[[#This Row],[Elo - Em correção ]]&gt;0,"Sim","Não")</f>
        <v>Não</v>
      </c>
      <c r="X521" t="str">
        <f>IF(Tabela4[[#This Row],[Keyuser - Aguardando tarefa precedente]]&gt;0,"Sim","Não")</f>
        <v>Não</v>
      </c>
      <c r="Y521" t="str">
        <f>IF(Tabela4[[#This Row],[Não liberado  para testes]]&gt;0,"Sim","Não")</f>
        <v>Sim</v>
      </c>
      <c r="Z521" t="str">
        <f ca="1">IF(Tabela4[[#This Row],[Status]]="Keyuser - Pendente",NETWORKDAYS(Tabela4[[#This Row],[Dt Inicial]],TODAY()),"")</f>
        <v/>
      </c>
      <c r="AA521" t="b">
        <f>AND(Tabela4[[#This Row],[Status]]="Keyuser - Aguardando tarefa precedente",K520="Keyuser - Concluído ")</f>
        <v>0</v>
      </c>
    </row>
    <row r="522" spans="1:27" x14ac:dyDescent="0.25">
      <c r="A522" t="str">
        <f>"OUT-"&amp;IFERROR(MID(Tabela4[[#This Row],[Cenário]],SEARCH("(",Tabela4[[#This Row],[Cenário]])+1,SEARCH(")",Tabela4[[#This Row],[Cenário]])-SEARCH("(",Tabela4[[#This Row],[Cenário]])-1),"")&amp;"_"&amp;ROW()</f>
        <v>OUT-Y007_522</v>
      </c>
      <c r="B522" t="s">
        <v>358</v>
      </c>
      <c r="C522" t="s">
        <v>657</v>
      </c>
      <c r="D522" s="5" t="s">
        <v>371</v>
      </c>
      <c r="E522">
        <v>5</v>
      </c>
      <c r="F522" t="s">
        <v>435</v>
      </c>
      <c r="G522" t="s">
        <v>287</v>
      </c>
      <c r="H522" s="13" t="s">
        <v>659</v>
      </c>
      <c r="I522" s="13"/>
      <c r="J522" s="13"/>
      <c r="K522" s="9" t="s">
        <v>271</v>
      </c>
      <c r="L522" s="78">
        <v>45947</v>
      </c>
      <c r="N522" s="78">
        <v>45947</v>
      </c>
      <c r="O522" s="31"/>
      <c r="P522" s="9"/>
      <c r="Q522" s="9">
        <f>COUNTIF(Tabela4[[#All],[Cenário]],Tabela4[[#This Row],[Cenário]])</f>
        <v>8</v>
      </c>
      <c r="R522">
        <f>COUNTIFS(Tabela4[[#All],[Cenário]],Tabela4[[#This Row],[Cenário]],Tabela4[[#All],[Status]],"Keyuser - Concluído ")</f>
        <v>7</v>
      </c>
      <c r="S522" t="str">
        <f>IF(Tabela4[[#This Row],[Tarefas por Cenário]]-Tabela4[[#This Row],[Tarefas Concluídas]]&gt;0,"Não","Sim")</f>
        <v>Não</v>
      </c>
      <c r="T522">
        <f>COUNTIFS(Tabela4[[#All],[Cenário]],Tabela4[[#This Row],[Cenário]],Tabela4[[#All],[Status]],Tabela4[[#Headers],[Elo - Em correção ]])</f>
        <v>0</v>
      </c>
      <c r="U522">
        <f>COUNTIFS(Tabela4[[#All],[Cenário]],Tabela4[[#This Row],[Cenário]],Tabela4[[#All],[Status]],Tabela4[[#Headers],[Keyuser - Aguardando tarefa precedente]])</f>
        <v>0</v>
      </c>
      <c r="V522">
        <f>COUNTIFS(Tabela4[[#All],[Cenário]],Tabela4[[#This Row],[Cenário]],Tabela4[[#All],[Status]],Tabela4[[#Headers],[Não liberado  para testes]])</f>
        <v>1</v>
      </c>
      <c r="W522" t="str">
        <f>IF(Tabela4[[#This Row],[Elo - Em correção ]]&gt;0,"Sim","Não")</f>
        <v>Não</v>
      </c>
      <c r="X522" t="str">
        <f>IF(Tabela4[[#This Row],[Keyuser - Aguardando tarefa precedente]]&gt;0,"Sim","Não")</f>
        <v>Não</v>
      </c>
      <c r="Y522" t="str">
        <f>IF(Tabela4[[#This Row],[Não liberado  para testes]]&gt;0,"Sim","Não")</f>
        <v>Sim</v>
      </c>
      <c r="Z522" t="str">
        <f ca="1">IF(Tabela4[[#This Row],[Status]]="Keyuser - Pendente",NETWORKDAYS(Tabela4[[#This Row],[Dt Inicial]],TODAY()),"")</f>
        <v/>
      </c>
      <c r="AA522" t="b">
        <f>AND(Tabela4[[#This Row],[Status]]="Keyuser - Aguardando tarefa precedente",K521="Keyuser - Concluído ")</f>
        <v>0</v>
      </c>
    </row>
    <row r="523" spans="1:27" x14ac:dyDescent="0.25">
      <c r="A523" t="str">
        <f>"OUT-"&amp;IFERROR(MID(Tabela4[[#This Row],[Cenário]],SEARCH("(",Tabela4[[#This Row],[Cenário]])+1,SEARCH(")",Tabela4[[#This Row],[Cenário]])-SEARCH("(",Tabela4[[#This Row],[Cenário]])-1),"")&amp;"_"&amp;ROW()</f>
        <v>OUT-Y007_523</v>
      </c>
      <c r="B523" t="s">
        <v>358</v>
      </c>
      <c r="C523" t="s">
        <v>657</v>
      </c>
      <c r="D523" s="5" t="s">
        <v>373</v>
      </c>
      <c r="E523">
        <v>6</v>
      </c>
      <c r="F523" t="s">
        <v>373</v>
      </c>
      <c r="G523" t="s">
        <v>283</v>
      </c>
      <c r="H523" s="13" t="s">
        <v>659</v>
      </c>
      <c r="I523" s="13"/>
      <c r="J523" s="13"/>
      <c r="K523" s="9" t="s">
        <v>271</v>
      </c>
      <c r="L523" s="78" t="s">
        <v>598</v>
      </c>
      <c r="N523" s="78">
        <v>45950</v>
      </c>
      <c r="O523" s="31"/>
      <c r="P523" s="9"/>
      <c r="Q523" s="9">
        <f>COUNTIF(Tabela4[[#All],[Cenário]],Tabela4[[#This Row],[Cenário]])</f>
        <v>8</v>
      </c>
      <c r="R523">
        <f>COUNTIFS(Tabela4[[#All],[Cenário]],Tabela4[[#This Row],[Cenário]],Tabela4[[#All],[Status]],"Keyuser - Concluído ")</f>
        <v>7</v>
      </c>
      <c r="S523" t="str">
        <f>IF(Tabela4[[#This Row],[Tarefas por Cenário]]-Tabela4[[#This Row],[Tarefas Concluídas]]&gt;0,"Não","Sim")</f>
        <v>Não</v>
      </c>
      <c r="T523">
        <f>COUNTIFS(Tabela4[[#All],[Cenário]],Tabela4[[#This Row],[Cenário]],Tabela4[[#All],[Status]],Tabela4[[#Headers],[Elo - Em correção ]])</f>
        <v>0</v>
      </c>
      <c r="U523">
        <f>COUNTIFS(Tabela4[[#All],[Cenário]],Tabela4[[#This Row],[Cenário]],Tabela4[[#All],[Status]],Tabela4[[#Headers],[Keyuser - Aguardando tarefa precedente]])</f>
        <v>0</v>
      </c>
      <c r="V523">
        <f>COUNTIFS(Tabela4[[#All],[Cenário]],Tabela4[[#This Row],[Cenário]],Tabela4[[#All],[Status]],Tabela4[[#Headers],[Não liberado  para testes]])</f>
        <v>1</v>
      </c>
      <c r="W523" t="str">
        <f>IF(Tabela4[[#This Row],[Elo - Em correção ]]&gt;0,"Sim","Não")</f>
        <v>Não</v>
      </c>
      <c r="X523" t="str">
        <f>IF(Tabela4[[#This Row],[Keyuser - Aguardando tarefa precedente]]&gt;0,"Sim","Não")</f>
        <v>Não</v>
      </c>
      <c r="Y523" t="str">
        <f>IF(Tabela4[[#This Row],[Não liberado  para testes]]&gt;0,"Sim","Não")</f>
        <v>Sim</v>
      </c>
      <c r="Z523" t="str">
        <f ca="1">IF(Tabela4[[#This Row],[Status]]="Keyuser - Pendente",NETWORKDAYS(Tabela4[[#This Row],[Dt Inicial]],TODAY()),"")</f>
        <v/>
      </c>
      <c r="AA523" t="b">
        <f>AND(Tabela4[[#This Row],[Status]]="Keyuser - Aguardando tarefa precedente",K522="Keyuser - Concluído ")</f>
        <v>0</v>
      </c>
    </row>
    <row r="524" spans="1:27" x14ac:dyDescent="0.25">
      <c r="A524" t="str">
        <f>"OUT-"&amp;IFERROR(MID(Tabela4[[#This Row],[Cenário]],SEARCH("(",Tabela4[[#This Row],[Cenário]])+1,SEARCH(")",Tabela4[[#This Row],[Cenário]])-SEARCH("(",Tabela4[[#This Row],[Cenário]])-1),"")&amp;"_"&amp;ROW()</f>
        <v>OUT-Y007_524</v>
      </c>
      <c r="B524" t="s">
        <v>374</v>
      </c>
      <c r="C524" t="s">
        <v>657</v>
      </c>
      <c r="D524" s="5" t="s">
        <v>286</v>
      </c>
      <c r="E524">
        <v>7</v>
      </c>
      <c r="F524" t="s">
        <v>286</v>
      </c>
      <c r="G524" t="s">
        <v>287</v>
      </c>
      <c r="H524" s="13"/>
      <c r="I524" s="13"/>
      <c r="J524" s="13"/>
      <c r="K524" s="9" t="s">
        <v>262</v>
      </c>
      <c r="N524" s="78"/>
      <c r="O524" s="31"/>
      <c r="P524" s="9"/>
      <c r="Q524" s="9">
        <f>COUNTIF(Tabela4[[#All],[Cenário]],Tabela4[[#This Row],[Cenário]])</f>
        <v>8</v>
      </c>
      <c r="R524">
        <f>COUNTIFS(Tabela4[[#All],[Cenário]],Tabela4[[#This Row],[Cenário]],Tabela4[[#All],[Status]],"Keyuser - Concluído ")</f>
        <v>7</v>
      </c>
      <c r="S524" t="str">
        <f>IF(Tabela4[[#This Row],[Tarefas por Cenário]]-Tabela4[[#This Row],[Tarefas Concluídas]]&gt;0,"Não","Sim")</f>
        <v>Não</v>
      </c>
      <c r="T524">
        <f>COUNTIFS(Tabela4[[#All],[Cenário]],Tabela4[[#This Row],[Cenário]],Tabela4[[#All],[Status]],Tabela4[[#Headers],[Elo - Em correção ]])</f>
        <v>0</v>
      </c>
      <c r="U524">
        <f>COUNTIFS(Tabela4[[#All],[Cenário]],Tabela4[[#This Row],[Cenário]],Tabela4[[#All],[Status]],Tabela4[[#Headers],[Keyuser - Aguardando tarefa precedente]])</f>
        <v>0</v>
      </c>
      <c r="V524">
        <f>COUNTIFS(Tabela4[[#All],[Cenário]],Tabela4[[#This Row],[Cenário]],Tabela4[[#All],[Status]],Tabela4[[#Headers],[Não liberado  para testes]])</f>
        <v>1</v>
      </c>
      <c r="W524" t="str">
        <f>IF(Tabela4[[#This Row],[Elo - Em correção ]]&gt;0,"Sim","Não")</f>
        <v>Não</v>
      </c>
      <c r="X524" t="str">
        <f>IF(Tabela4[[#This Row],[Keyuser - Aguardando tarefa precedente]]&gt;0,"Sim","Não")</f>
        <v>Não</v>
      </c>
      <c r="Y524" t="str">
        <f>IF(Tabela4[[#This Row],[Não liberado  para testes]]&gt;0,"Sim","Não")</f>
        <v>Sim</v>
      </c>
      <c r="Z524" t="str">
        <f ca="1">IF(Tabela4[[#This Row],[Status]]="Keyuser - Pendente",NETWORKDAYS(Tabela4[[#This Row],[Dt Inicial]],TODAY()),"")</f>
        <v/>
      </c>
      <c r="AA524" t="b">
        <f>AND(Tabela4[[#This Row],[Status]]="Keyuser - Aguardando tarefa precedente",K523="Keyuser - Concluído ")</f>
        <v>0</v>
      </c>
    </row>
    <row r="525" spans="1:27" x14ac:dyDescent="0.25">
      <c r="A525" t="str">
        <f>"OUT-"&amp;IFERROR(MID(Tabela4[[#This Row],[Cenário]],SEARCH("(",Tabela4[[#This Row],[Cenário]])+1,SEARCH(")",Tabela4[[#This Row],[Cenário]])-SEARCH("(",Tabela4[[#This Row],[Cenário]])-1),"")&amp;"_"&amp;ROW()</f>
        <v>OUT-Y007_525</v>
      </c>
      <c r="B525" t="s">
        <v>358</v>
      </c>
      <c r="C525" t="s">
        <v>657</v>
      </c>
      <c r="D525" s="5" t="s">
        <v>375</v>
      </c>
      <c r="E525">
        <v>8</v>
      </c>
      <c r="F525" t="s">
        <v>375</v>
      </c>
      <c r="G525" t="s">
        <v>367</v>
      </c>
      <c r="H525" s="13">
        <v>15603610</v>
      </c>
      <c r="I525" s="13" t="s">
        <v>658</v>
      </c>
      <c r="J525" s="13" t="s">
        <v>364</v>
      </c>
      <c r="K525" s="9" t="s">
        <v>271</v>
      </c>
      <c r="L525" s="78">
        <v>45950</v>
      </c>
      <c r="N525" s="78">
        <v>45950</v>
      </c>
      <c r="O525" s="31"/>
      <c r="P525" s="9"/>
      <c r="Q525" s="9">
        <f>COUNTIF(Tabela4[[#All],[Cenário]],Tabela4[[#This Row],[Cenário]])</f>
        <v>8</v>
      </c>
      <c r="R525">
        <f>COUNTIFS(Tabela4[[#All],[Cenário]],Tabela4[[#This Row],[Cenário]],Tabela4[[#All],[Status]],"Keyuser - Concluído ")</f>
        <v>7</v>
      </c>
      <c r="S525" t="str">
        <f>IF(Tabela4[[#This Row],[Tarefas por Cenário]]-Tabela4[[#This Row],[Tarefas Concluídas]]&gt;0,"Não","Sim")</f>
        <v>Não</v>
      </c>
      <c r="T525">
        <f>COUNTIFS(Tabela4[[#All],[Cenário]],Tabela4[[#This Row],[Cenário]],Tabela4[[#All],[Status]],Tabela4[[#Headers],[Elo - Em correção ]])</f>
        <v>0</v>
      </c>
      <c r="U525">
        <f>COUNTIFS(Tabela4[[#All],[Cenário]],Tabela4[[#This Row],[Cenário]],Tabela4[[#All],[Status]],Tabela4[[#Headers],[Keyuser - Aguardando tarefa precedente]])</f>
        <v>0</v>
      </c>
      <c r="V525">
        <f>COUNTIFS(Tabela4[[#All],[Cenário]],Tabela4[[#This Row],[Cenário]],Tabela4[[#All],[Status]],Tabela4[[#Headers],[Não liberado  para testes]])</f>
        <v>1</v>
      </c>
      <c r="W525" t="str">
        <f>IF(Tabela4[[#This Row],[Elo - Em correção ]]&gt;0,"Sim","Não")</f>
        <v>Não</v>
      </c>
      <c r="X525" t="str">
        <f>IF(Tabela4[[#This Row],[Keyuser - Aguardando tarefa precedente]]&gt;0,"Sim","Não")</f>
        <v>Não</v>
      </c>
      <c r="Y525" t="str">
        <f>IF(Tabela4[[#This Row],[Não liberado  para testes]]&gt;0,"Sim","Não")</f>
        <v>Sim</v>
      </c>
      <c r="Z525" t="str">
        <f ca="1">IF(Tabela4[[#This Row],[Status]]="Keyuser - Pendente",NETWORKDAYS(Tabela4[[#This Row],[Dt Inicial]],TODAY()),"")</f>
        <v/>
      </c>
      <c r="AA525" t="b">
        <f>AND(Tabela4[[#This Row],[Status]]="Keyuser - Aguardando tarefa precedente",K524="Keyuser - Concluído ")</f>
        <v>0</v>
      </c>
    </row>
    <row r="526" spans="1:27" x14ac:dyDescent="0.25">
      <c r="A526" t="str">
        <f>"OUT-"&amp;IFERROR(MID(Tabela4[[#This Row],[Cenário]],SEARCH("(",Tabela4[[#This Row],[Cenário]])+1,SEARCH(")",Tabela4[[#This Row],[Cenário]])-SEARCH("(",Tabela4[[#This Row],[Cenário]])-1),"")&amp;"_"&amp;ROW()</f>
        <v>OUT-Y017_526</v>
      </c>
      <c r="B526" t="s">
        <v>358</v>
      </c>
      <c r="C526" t="s">
        <v>661</v>
      </c>
      <c r="D526" s="5" t="s">
        <v>360</v>
      </c>
      <c r="E526">
        <v>1</v>
      </c>
      <c r="F526" t="s">
        <v>360</v>
      </c>
      <c r="G526" t="s">
        <v>643</v>
      </c>
      <c r="H526" s="13">
        <v>15603716</v>
      </c>
      <c r="I526" s="13" t="s">
        <v>662</v>
      </c>
      <c r="J526" s="13" t="s">
        <v>364</v>
      </c>
      <c r="K526" s="9" t="s">
        <v>271</v>
      </c>
      <c r="L526" s="78">
        <v>45986</v>
      </c>
      <c r="N526" s="78">
        <v>45986</v>
      </c>
      <c r="O526" s="31"/>
      <c r="P526" s="9"/>
      <c r="Q526" s="9">
        <f>COUNTIF(Tabela4[[#All],[Cenário]],Tabela4[[#This Row],[Cenário]])</f>
        <v>8</v>
      </c>
      <c r="R526">
        <f>COUNTIFS(Tabela4[[#All],[Cenário]],Tabela4[[#This Row],[Cenário]],Tabela4[[#All],[Status]],"Keyuser - Concluído ")</f>
        <v>7</v>
      </c>
      <c r="S526" t="str">
        <f>IF(Tabela4[[#This Row],[Tarefas por Cenário]]-Tabela4[[#This Row],[Tarefas Concluídas]]&gt;0,"Não","Sim")</f>
        <v>Não</v>
      </c>
      <c r="T526">
        <f>COUNTIFS(Tabela4[[#All],[Cenário]],Tabela4[[#This Row],[Cenário]],Tabela4[[#All],[Status]],Tabela4[[#Headers],[Elo - Em correção ]])</f>
        <v>0</v>
      </c>
      <c r="U526">
        <f>COUNTIFS(Tabela4[[#All],[Cenário]],Tabela4[[#This Row],[Cenário]],Tabela4[[#All],[Status]],Tabela4[[#Headers],[Keyuser - Aguardando tarefa precedente]])</f>
        <v>0</v>
      </c>
      <c r="V526">
        <f>COUNTIFS(Tabela4[[#All],[Cenário]],Tabela4[[#This Row],[Cenário]],Tabela4[[#All],[Status]],Tabela4[[#Headers],[Não liberado  para testes]])</f>
        <v>1</v>
      </c>
      <c r="W526" t="str">
        <f>IF(Tabela4[[#This Row],[Elo - Em correção ]]&gt;0,"Sim","Não")</f>
        <v>Não</v>
      </c>
      <c r="X526" t="str">
        <f>IF(Tabela4[[#This Row],[Keyuser - Aguardando tarefa precedente]]&gt;0,"Sim","Não")</f>
        <v>Não</v>
      </c>
      <c r="Y526" t="str">
        <f>IF(Tabela4[[#This Row],[Não liberado  para testes]]&gt;0,"Sim","Não")</f>
        <v>Sim</v>
      </c>
      <c r="Z526" t="str">
        <f ca="1">IF(Tabela4[[#This Row],[Status]]="Keyuser - Pendente",NETWORKDAYS(Tabela4[[#This Row],[Dt Inicial]],TODAY()),"")</f>
        <v/>
      </c>
      <c r="AA526" t="b">
        <f>AND(Tabela4[[#This Row],[Status]]="Keyuser - Aguardando tarefa precedente",K525="Keyuser - Concluído ")</f>
        <v>0</v>
      </c>
    </row>
    <row r="527" spans="1:27" x14ac:dyDescent="0.25">
      <c r="A527" t="str">
        <f>"OUT-"&amp;IFERROR(MID(Tabela4[[#This Row],[Cenário]],SEARCH("(",Tabela4[[#This Row],[Cenário]])+1,SEARCH(")",Tabela4[[#This Row],[Cenário]])-SEARCH("(",Tabela4[[#This Row],[Cenário]])-1),"")&amp;"_"&amp;ROW()</f>
        <v>OUT-Y017_527</v>
      </c>
      <c r="B527" t="s">
        <v>358</v>
      </c>
      <c r="C527" t="s">
        <v>661</v>
      </c>
      <c r="D527" s="5" t="s">
        <v>365</v>
      </c>
      <c r="E527">
        <v>2</v>
      </c>
      <c r="F527" t="s">
        <v>365</v>
      </c>
      <c r="G527" t="s">
        <v>310</v>
      </c>
      <c r="H527" s="13">
        <v>15603716</v>
      </c>
      <c r="I527" s="13" t="s">
        <v>662</v>
      </c>
      <c r="J527" s="13" t="s">
        <v>364</v>
      </c>
      <c r="K527" s="9" t="s">
        <v>271</v>
      </c>
      <c r="L527" s="78">
        <v>45986</v>
      </c>
      <c r="N527" s="78">
        <v>45986</v>
      </c>
      <c r="O527" s="31"/>
      <c r="P527" s="9"/>
      <c r="Q527" s="9">
        <f>COUNTIF(Tabela4[[#All],[Cenário]],Tabela4[[#This Row],[Cenário]])</f>
        <v>8</v>
      </c>
      <c r="R527">
        <f>COUNTIFS(Tabela4[[#All],[Cenário]],Tabela4[[#This Row],[Cenário]],Tabela4[[#All],[Status]],"Keyuser - Concluído ")</f>
        <v>7</v>
      </c>
      <c r="S527" t="str">
        <f>IF(Tabela4[[#This Row],[Tarefas por Cenário]]-Tabela4[[#This Row],[Tarefas Concluídas]]&gt;0,"Não","Sim")</f>
        <v>Não</v>
      </c>
      <c r="T527">
        <f>COUNTIFS(Tabela4[[#All],[Cenário]],Tabela4[[#This Row],[Cenário]],Tabela4[[#All],[Status]],Tabela4[[#Headers],[Elo - Em correção ]])</f>
        <v>0</v>
      </c>
      <c r="U527">
        <f>COUNTIFS(Tabela4[[#All],[Cenário]],Tabela4[[#This Row],[Cenário]],Tabela4[[#All],[Status]],Tabela4[[#Headers],[Keyuser - Aguardando tarefa precedente]])</f>
        <v>0</v>
      </c>
      <c r="V527">
        <f>COUNTIFS(Tabela4[[#All],[Cenário]],Tabela4[[#This Row],[Cenário]],Tabela4[[#All],[Status]],Tabela4[[#Headers],[Não liberado  para testes]])</f>
        <v>1</v>
      </c>
      <c r="W527" t="str">
        <f>IF(Tabela4[[#This Row],[Elo - Em correção ]]&gt;0,"Sim","Não")</f>
        <v>Não</v>
      </c>
      <c r="X527" t="str">
        <f>IF(Tabela4[[#This Row],[Keyuser - Aguardando tarefa precedente]]&gt;0,"Sim","Não")</f>
        <v>Não</v>
      </c>
      <c r="Y527" t="str">
        <f>IF(Tabela4[[#This Row],[Não liberado  para testes]]&gt;0,"Sim","Não")</f>
        <v>Sim</v>
      </c>
      <c r="Z527" t="str">
        <f ca="1">IF(Tabela4[[#This Row],[Status]]="Keyuser - Pendente",NETWORKDAYS(Tabela4[[#This Row],[Dt Inicial]],TODAY()),"")</f>
        <v/>
      </c>
      <c r="AA527" t="b">
        <f>AND(Tabela4[[#This Row],[Status]]="Keyuser - Aguardando tarefa precedente",K526="Keyuser - Concluído ")</f>
        <v>0</v>
      </c>
    </row>
    <row r="528" spans="1:27" x14ac:dyDescent="0.25">
      <c r="A528" t="str">
        <f>"OUT-"&amp;IFERROR(MID(Tabela4[[#This Row],[Cenário]],SEARCH("(",Tabela4[[#This Row],[Cenário]])+1,SEARCH(")",Tabela4[[#This Row],[Cenário]])-SEARCH("(",Tabela4[[#This Row],[Cenário]])-1),"")&amp;"_"&amp;ROW()</f>
        <v>OUT-Y017_528</v>
      </c>
      <c r="B528" t="s">
        <v>358</v>
      </c>
      <c r="C528" t="s">
        <v>661</v>
      </c>
      <c r="D528" s="5" t="s">
        <v>366</v>
      </c>
      <c r="E528">
        <v>3</v>
      </c>
      <c r="F528" t="s">
        <v>366</v>
      </c>
      <c r="G528" t="s">
        <v>367</v>
      </c>
      <c r="H528" s="13">
        <v>15603716</v>
      </c>
      <c r="I528" s="13" t="s">
        <v>662</v>
      </c>
      <c r="J528" s="13" t="s">
        <v>364</v>
      </c>
      <c r="K528" s="9" t="s">
        <v>271</v>
      </c>
      <c r="L528" s="78">
        <v>45986</v>
      </c>
      <c r="N528" s="78">
        <v>45986</v>
      </c>
      <c r="O528" s="31"/>
      <c r="P528" s="9"/>
      <c r="Q528" s="9">
        <f>COUNTIF(Tabela4[[#All],[Cenário]],Tabela4[[#This Row],[Cenário]])</f>
        <v>8</v>
      </c>
      <c r="R528">
        <f>COUNTIFS(Tabela4[[#All],[Cenário]],Tabela4[[#This Row],[Cenário]],Tabela4[[#All],[Status]],"Keyuser - Concluído ")</f>
        <v>7</v>
      </c>
      <c r="S528" t="str">
        <f>IF(Tabela4[[#This Row],[Tarefas por Cenário]]-Tabela4[[#This Row],[Tarefas Concluídas]]&gt;0,"Não","Sim")</f>
        <v>Não</v>
      </c>
      <c r="T528">
        <f>COUNTIFS(Tabela4[[#All],[Cenário]],Tabela4[[#This Row],[Cenário]],Tabela4[[#All],[Status]],Tabela4[[#Headers],[Elo - Em correção ]])</f>
        <v>0</v>
      </c>
      <c r="U528">
        <f>COUNTIFS(Tabela4[[#All],[Cenário]],Tabela4[[#This Row],[Cenário]],Tabela4[[#All],[Status]],Tabela4[[#Headers],[Keyuser - Aguardando tarefa precedente]])</f>
        <v>0</v>
      </c>
      <c r="V528">
        <f>COUNTIFS(Tabela4[[#All],[Cenário]],Tabela4[[#This Row],[Cenário]],Tabela4[[#All],[Status]],Tabela4[[#Headers],[Não liberado  para testes]])</f>
        <v>1</v>
      </c>
      <c r="W528" t="str">
        <f>IF(Tabela4[[#This Row],[Elo - Em correção ]]&gt;0,"Sim","Não")</f>
        <v>Não</v>
      </c>
      <c r="X528" t="str">
        <f>IF(Tabela4[[#This Row],[Keyuser - Aguardando tarefa precedente]]&gt;0,"Sim","Não")</f>
        <v>Não</v>
      </c>
      <c r="Y528" t="str">
        <f>IF(Tabela4[[#This Row],[Não liberado  para testes]]&gt;0,"Sim","Não")</f>
        <v>Sim</v>
      </c>
      <c r="Z528" t="str">
        <f ca="1">IF(Tabela4[[#This Row],[Status]]="Keyuser - Pendente",NETWORKDAYS(Tabela4[[#This Row],[Dt Inicial]],TODAY()),"")</f>
        <v/>
      </c>
      <c r="AA528" t="b">
        <f>AND(Tabela4[[#This Row],[Status]]="Keyuser - Aguardando tarefa precedente",K527="Keyuser - Concluído ")</f>
        <v>0</v>
      </c>
    </row>
    <row r="529" spans="1:27" x14ac:dyDescent="0.25">
      <c r="A529" t="str">
        <f>"OUT-"&amp;IFERROR(MID(Tabela4[[#This Row],[Cenário]],SEARCH("(",Tabela4[[#This Row],[Cenário]])+1,SEARCH(")",Tabela4[[#This Row],[Cenário]])-SEARCH("(",Tabela4[[#This Row],[Cenário]])-1),"")&amp;"_"&amp;ROW()</f>
        <v>OUT-Y017_529</v>
      </c>
      <c r="B529" t="s">
        <v>358</v>
      </c>
      <c r="C529" t="s">
        <v>661</v>
      </c>
      <c r="D529" s="5" t="s">
        <v>368</v>
      </c>
      <c r="E529">
        <v>4</v>
      </c>
      <c r="F529" t="s">
        <v>368</v>
      </c>
      <c r="G529" t="s">
        <v>377</v>
      </c>
      <c r="H529" s="13" t="s">
        <v>663</v>
      </c>
      <c r="I529" s="13"/>
      <c r="J529" s="13"/>
      <c r="K529" s="9" t="s">
        <v>271</v>
      </c>
      <c r="L529" s="78">
        <v>45986</v>
      </c>
      <c r="N529" s="78">
        <v>45986</v>
      </c>
      <c r="O529" s="31" t="s">
        <v>664</v>
      </c>
      <c r="P529" s="9"/>
      <c r="Q529" s="9">
        <f>COUNTIF(Tabela4[[#All],[Cenário]],Tabela4[[#This Row],[Cenário]])</f>
        <v>8</v>
      </c>
      <c r="R529">
        <f>COUNTIFS(Tabela4[[#All],[Cenário]],Tabela4[[#This Row],[Cenário]],Tabela4[[#All],[Status]],"Keyuser - Concluído ")</f>
        <v>7</v>
      </c>
      <c r="S529" t="str">
        <f>IF(Tabela4[[#This Row],[Tarefas por Cenário]]-Tabela4[[#This Row],[Tarefas Concluídas]]&gt;0,"Não","Sim")</f>
        <v>Não</v>
      </c>
      <c r="T529">
        <f>COUNTIFS(Tabela4[[#All],[Cenário]],Tabela4[[#This Row],[Cenário]],Tabela4[[#All],[Status]],Tabela4[[#Headers],[Elo - Em correção ]])</f>
        <v>0</v>
      </c>
      <c r="U529">
        <f>COUNTIFS(Tabela4[[#All],[Cenário]],Tabela4[[#This Row],[Cenário]],Tabela4[[#All],[Status]],Tabela4[[#Headers],[Keyuser - Aguardando tarefa precedente]])</f>
        <v>0</v>
      </c>
      <c r="V529">
        <f>COUNTIFS(Tabela4[[#All],[Cenário]],Tabela4[[#This Row],[Cenário]],Tabela4[[#All],[Status]],Tabela4[[#Headers],[Não liberado  para testes]])</f>
        <v>1</v>
      </c>
      <c r="W529" t="str">
        <f>IF(Tabela4[[#This Row],[Elo - Em correção ]]&gt;0,"Sim","Não")</f>
        <v>Não</v>
      </c>
      <c r="X529" t="str">
        <f>IF(Tabela4[[#This Row],[Keyuser - Aguardando tarefa precedente]]&gt;0,"Sim","Não")</f>
        <v>Não</v>
      </c>
      <c r="Y529" t="str">
        <f>IF(Tabela4[[#This Row],[Não liberado  para testes]]&gt;0,"Sim","Não")</f>
        <v>Sim</v>
      </c>
      <c r="Z529" t="str">
        <f ca="1">IF(Tabela4[[#This Row],[Status]]="Keyuser - Pendente",NETWORKDAYS(Tabela4[[#This Row],[Dt Inicial]],TODAY()),"")</f>
        <v/>
      </c>
      <c r="AA529" t="b">
        <f>AND(Tabela4[[#This Row],[Status]]="Keyuser - Aguardando tarefa precedente",K528="Keyuser - Concluído ")</f>
        <v>0</v>
      </c>
    </row>
    <row r="530" spans="1:27" x14ac:dyDescent="0.25">
      <c r="A530" t="str">
        <f>"OUT-"&amp;IFERROR(MID(Tabela4[[#This Row],[Cenário]],SEARCH("(",Tabela4[[#This Row],[Cenário]])+1,SEARCH(")",Tabela4[[#This Row],[Cenário]])-SEARCH("(",Tabela4[[#This Row],[Cenário]])-1),"")&amp;"_"&amp;ROW()</f>
        <v>OUT-Y017_530</v>
      </c>
      <c r="B530" t="s">
        <v>358</v>
      </c>
      <c r="C530" t="s">
        <v>661</v>
      </c>
      <c r="D530" s="5" t="s">
        <v>371</v>
      </c>
      <c r="E530">
        <v>5</v>
      </c>
      <c r="F530" t="s">
        <v>435</v>
      </c>
      <c r="G530" t="s">
        <v>287</v>
      </c>
      <c r="H530" s="13" t="s">
        <v>663</v>
      </c>
      <c r="I530" s="13"/>
      <c r="J530" s="13"/>
      <c r="K530" s="9" t="s">
        <v>271</v>
      </c>
      <c r="L530" s="78" t="s">
        <v>567</v>
      </c>
      <c r="N530" s="78">
        <v>45988</v>
      </c>
      <c r="O530" s="31"/>
      <c r="P530" s="9"/>
      <c r="Q530" s="9">
        <f>COUNTIF(Tabela4[[#All],[Cenário]],Tabela4[[#This Row],[Cenário]])</f>
        <v>8</v>
      </c>
      <c r="R530">
        <f>COUNTIFS(Tabela4[[#All],[Cenário]],Tabela4[[#This Row],[Cenário]],Tabela4[[#All],[Status]],"Keyuser - Concluído ")</f>
        <v>7</v>
      </c>
      <c r="S530" t="str">
        <f>IF(Tabela4[[#This Row],[Tarefas por Cenário]]-Tabela4[[#This Row],[Tarefas Concluídas]]&gt;0,"Não","Sim")</f>
        <v>Não</v>
      </c>
      <c r="T530">
        <f>COUNTIFS(Tabela4[[#All],[Cenário]],Tabela4[[#This Row],[Cenário]],Tabela4[[#All],[Status]],Tabela4[[#Headers],[Elo - Em correção ]])</f>
        <v>0</v>
      </c>
      <c r="U530">
        <f>COUNTIFS(Tabela4[[#All],[Cenário]],Tabela4[[#This Row],[Cenário]],Tabela4[[#All],[Status]],Tabela4[[#Headers],[Keyuser - Aguardando tarefa precedente]])</f>
        <v>0</v>
      </c>
      <c r="V530">
        <f>COUNTIFS(Tabela4[[#All],[Cenário]],Tabela4[[#This Row],[Cenário]],Tabela4[[#All],[Status]],Tabela4[[#Headers],[Não liberado  para testes]])</f>
        <v>1</v>
      </c>
      <c r="W530" t="str">
        <f>IF(Tabela4[[#This Row],[Elo - Em correção ]]&gt;0,"Sim","Não")</f>
        <v>Não</v>
      </c>
      <c r="X530" t="str">
        <f>IF(Tabela4[[#This Row],[Keyuser - Aguardando tarefa precedente]]&gt;0,"Sim","Não")</f>
        <v>Não</v>
      </c>
      <c r="Y530" t="str">
        <f>IF(Tabela4[[#This Row],[Não liberado  para testes]]&gt;0,"Sim","Não")</f>
        <v>Sim</v>
      </c>
      <c r="Z530" t="str">
        <f ca="1">IF(Tabela4[[#This Row],[Status]]="Keyuser - Pendente",NETWORKDAYS(Tabela4[[#This Row],[Dt Inicial]],TODAY()),"")</f>
        <v/>
      </c>
      <c r="AA530" t="b">
        <f>AND(Tabela4[[#This Row],[Status]]="Keyuser - Aguardando tarefa precedente",K529="Keyuser - Concluído ")</f>
        <v>0</v>
      </c>
    </row>
    <row r="531" spans="1:27" x14ac:dyDescent="0.25">
      <c r="A531" t="str">
        <f>"OUT-"&amp;IFERROR(MID(Tabela4[[#This Row],[Cenário]],SEARCH("(",Tabela4[[#This Row],[Cenário]])+1,SEARCH(")",Tabela4[[#This Row],[Cenário]])-SEARCH("(",Tabela4[[#This Row],[Cenário]])-1),"")&amp;"_"&amp;ROW()</f>
        <v>OUT-Y017_531</v>
      </c>
      <c r="B531" t="s">
        <v>358</v>
      </c>
      <c r="C531" t="s">
        <v>661</v>
      </c>
      <c r="D531" s="5" t="s">
        <v>373</v>
      </c>
      <c r="E531">
        <v>6</v>
      </c>
      <c r="F531" t="s">
        <v>373</v>
      </c>
      <c r="G531" t="s">
        <v>283</v>
      </c>
      <c r="H531" s="13" t="s">
        <v>663</v>
      </c>
      <c r="I531" s="13"/>
      <c r="J531" s="13"/>
      <c r="K531" s="9" t="s">
        <v>271</v>
      </c>
      <c r="L531" s="78" t="s">
        <v>567</v>
      </c>
      <c r="N531" s="78">
        <v>45988</v>
      </c>
      <c r="O531" s="31"/>
      <c r="P531" s="9"/>
      <c r="Q531" s="9">
        <f>COUNTIF(Tabela4[[#All],[Cenário]],Tabela4[[#This Row],[Cenário]])</f>
        <v>8</v>
      </c>
      <c r="R531">
        <f>COUNTIFS(Tabela4[[#All],[Cenário]],Tabela4[[#This Row],[Cenário]],Tabela4[[#All],[Status]],"Keyuser - Concluído ")</f>
        <v>7</v>
      </c>
      <c r="S531" t="str">
        <f>IF(Tabela4[[#This Row],[Tarefas por Cenário]]-Tabela4[[#This Row],[Tarefas Concluídas]]&gt;0,"Não","Sim")</f>
        <v>Não</v>
      </c>
      <c r="T531">
        <f>COUNTIFS(Tabela4[[#All],[Cenário]],Tabela4[[#This Row],[Cenário]],Tabela4[[#All],[Status]],Tabela4[[#Headers],[Elo - Em correção ]])</f>
        <v>0</v>
      </c>
      <c r="U531">
        <f>COUNTIFS(Tabela4[[#All],[Cenário]],Tabela4[[#This Row],[Cenário]],Tabela4[[#All],[Status]],Tabela4[[#Headers],[Keyuser - Aguardando tarefa precedente]])</f>
        <v>0</v>
      </c>
      <c r="V531">
        <f>COUNTIFS(Tabela4[[#All],[Cenário]],Tabela4[[#This Row],[Cenário]],Tabela4[[#All],[Status]],Tabela4[[#Headers],[Não liberado  para testes]])</f>
        <v>1</v>
      </c>
      <c r="W531" t="str">
        <f>IF(Tabela4[[#This Row],[Elo - Em correção ]]&gt;0,"Sim","Não")</f>
        <v>Não</v>
      </c>
      <c r="X531" t="str">
        <f>IF(Tabela4[[#This Row],[Keyuser - Aguardando tarefa precedente]]&gt;0,"Sim","Não")</f>
        <v>Não</v>
      </c>
      <c r="Y531" t="str">
        <f>IF(Tabela4[[#This Row],[Não liberado  para testes]]&gt;0,"Sim","Não")</f>
        <v>Sim</v>
      </c>
      <c r="Z531" t="str">
        <f ca="1">IF(Tabela4[[#This Row],[Status]]="Keyuser - Pendente",NETWORKDAYS(Tabela4[[#This Row],[Dt Inicial]],TODAY()),"")</f>
        <v/>
      </c>
      <c r="AA531" t="b">
        <f>AND(Tabela4[[#This Row],[Status]]="Keyuser - Aguardando tarefa precedente",K530="Keyuser - Concluído ")</f>
        <v>0</v>
      </c>
    </row>
    <row r="532" spans="1:27" x14ac:dyDescent="0.25">
      <c r="A532" t="str">
        <f>"OUT-"&amp;IFERROR(MID(Tabela4[[#This Row],[Cenário]],SEARCH("(",Tabela4[[#This Row],[Cenário]])+1,SEARCH(")",Tabela4[[#This Row],[Cenário]])-SEARCH("(",Tabela4[[#This Row],[Cenário]])-1),"")&amp;"_"&amp;ROW()</f>
        <v>OUT-Y017_532</v>
      </c>
      <c r="B532" t="s">
        <v>374</v>
      </c>
      <c r="C532" t="s">
        <v>661</v>
      </c>
      <c r="D532" s="5" t="s">
        <v>286</v>
      </c>
      <c r="E532">
        <v>7</v>
      </c>
      <c r="F532" t="s">
        <v>286</v>
      </c>
      <c r="G532" t="s">
        <v>287</v>
      </c>
      <c r="H532" s="13"/>
      <c r="I532" s="13"/>
      <c r="J532" s="13"/>
      <c r="K532" s="9" t="s">
        <v>262</v>
      </c>
      <c r="N532" s="78"/>
      <c r="O532" s="31"/>
      <c r="P532" s="9"/>
      <c r="Q532" s="9">
        <f>COUNTIF(Tabela4[[#All],[Cenário]],Tabela4[[#This Row],[Cenário]])</f>
        <v>8</v>
      </c>
      <c r="R532">
        <f>COUNTIFS(Tabela4[[#All],[Cenário]],Tabela4[[#This Row],[Cenário]],Tabela4[[#All],[Status]],"Keyuser - Concluído ")</f>
        <v>7</v>
      </c>
      <c r="S532" t="str">
        <f>IF(Tabela4[[#This Row],[Tarefas por Cenário]]-Tabela4[[#This Row],[Tarefas Concluídas]]&gt;0,"Não","Sim")</f>
        <v>Não</v>
      </c>
      <c r="T532">
        <f>COUNTIFS(Tabela4[[#All],[Cenário]],Tabela4[[#This Row],[Cenário]],Tabela4[[#All],[Status]],Tabela4[[#Headers],[Elo - Em correção ]])</f>
        <v>0</v>
      </c>
      <c r="U532">
        <f>COUNTIFS(Tabela4[[#All],[Cenário]],Tabela4[[#This Row],[Cenário]],Tabela4[[#All],[Status]],Tabela4[[#Headers],[Keyuser - Aguardando tarefa precedente]])</f>
        <v>0</v>
      </c>
      <c r="V532">
        <f>COUNTIFS(Tabela4[[#All],[Cenário]],Tabela4[[#This Row],[Cenário]],Tabela4[[#All],[Status]],Tabela4[[#Headers],[Não liberado  para testes]])</f>
        <v>1</v>
      </c>
      <c r="W532" t="str">
        <f>IF(Tabela4[[#This Row],[Elo - Em correção ]]&gt;0,"Sim","Não")</f>
        <v>Não</v>
      </c>
      <c r="X532" t="str">
        <f>IF(Tabela4[[#This Row],[Keyuser - Aguardando tarefa precedente]]&gt;0,"Sim","Não")</f>
        <v>Não</v>
      </c>
      <c r="Y532" t="str">
        <f>IF(Tabela4[[#This Row],[Não liberado  para testes]]&gt;0,"Sim","Não")</f>
        <v>Sim</v>
      </c>
      <c r="Z532" t="str">
        <f ca="1">IF(Tabela4[[#This Row],[Status]]="Keyuser - Pendente",NETWORKDAYS(Tabela4[[#This Row],[Dt Inicial]],TODAY()),"")</f>
        <v/>
      </c>
      <c r="AA532" t="b">
        <f>AND(Tabela4[[#This Row],[Status]]="Keyuser - Aguardando tarefa precedente",K531="Keyuser - Concluído ")</f>
        <v>0</v>
      </c>
    </row>
    <row r="533" spans="1:27" x14ac:dyDescent="0.25">
      <c r="A533" t="str">
        <f>"OUT-"&amp;IFERROR(MID(Tabela4[[#This Row],[Cenário]],SEARCH("(",Tabela4[[#This Row],[Cenário]])+1,SEARCH(")",Tabela4[[#This Row],[Cenário]])-SEARCH("(",Tabela4[[#This Row],[Cenário]])-1),"")&amp;"_"&amp;ROW()</f>
        <v>OUT-Y017_533</v>
      </c>
      <c r="B533" t="s">
        <v>358</v>
      </c>
      <c r="C533" t="s">
        <v>661</v>
      </c>
      <c r="D533" s="5" t="s">
        <v>375</v>
      </c>
      <c r="E533">
        <v>8</v>
      </c>
      <c r="F533" t="s">
        <v>375</v>
      </c>
      <c r="G533" t="s">
        <v>367</v>
      </c>
      <c r="H533" s="13">
        <v>15603716</v>
      </c>
      <c r="I533" s="13" t="s">
        <v>662</v>
      </c>
      <c r="J533" s="13"/>
      <c r="K533" s="9" t="s">
        <v>271</v>
      </c>
      <c r="L533" s="78">
        <v>45994</v>
      </c>
      <c r="N533" s="78">
        <v>45994</v>
      </c>
      <c r="O533" s="31"/>
      <c r="P533" s="9"/>
      <c r="Q533" s="9">
        <f>COUNTIF(Tabela4[[#All],[Cenário]],Tabela4[[#This Row],[Cenário]])</f>
        <v>8</v>
      </c>
      <c r="R533">
        <f>COUNTIFS(Tabela4[[#All],[Cenário]],Tabela4[[#This Row],[Cenário]],Tabela4[[#All],[Status]],"Keyuser - Concluído ")</f>
        <v>7</v>
      </c>
      <c r="S533" t="str">
        <f>IF(Tabela4[[#This Row],[Tarefas por Cenário]]-Tabela4[[#This Row],[Tarefas Concluídas]]&gt;0,"Não","Sim")</f>
        <v>Não</v>
      </c>
      <c r="T533">
        <f>COUNTIFS(Tabela4[[#All],[Cenário]],Tabela4[[#This Row],[Cenário]],Tabela4[[#All],[Status]],Tabela4[[#Headers],[Elo - Em correção ]])</f>
        <v>0</v>
      </c>
      <c r="U533">
        <f>COUNTIFS(Tabela4[[#All],[Cenário]],Tabela4[[#This Row],[Cenário]],Tabela4[[#All],[Status]],Tabela4[[#Headers],[Keyuser - Aguardando tarefa precedente]])</f>
        <v>0</v>
      </c>
      <c r="V533">
        <f>COUNTIFS(Tabela4[[#All],[Cenário]],Tabela4[[#This Row],[Cenário]],Tabela4[[#All],[Status]],Tabela4[[#Headers],[Não liberado  para testes]])</f>
        <v>1</v>
      </c>
      <c r="W533" t="str">
        <f>IF(Tabela4[[#This Row],[Elo - Em correção ]]&gt;0,"Sim","Não")</f>
        <v>Não</v>
      </c>
      <c r="X533" t="str">
        <f>IF(Tabela4[[#This Row],[Keyuser - Aguardando tarefa precedente]]&gt;0,"Sim","Não")</f>
        <v>Não</v>
      </c>
      <c r="Y533" t="str">
        <f>IF(Tabela4[[#This Row],[Não liberado  para testes]]&gt;0,"Sim","Não")</f>
        <v>Sim</v>
      </c>
      <c r="Z533" t="str">
        <f ca="1">IF(Tabela4[[#This Row],[Status]]="Keyuser - Pendente",NETWORKDAYS(Tabela4[[#This Row],[Dt Inicial]],TODAY()),"")</f>
        <v/>
      </c>
      <c r="AA533" t="b">
        <f>AND(Tabela4[[#This Row],[Status]]="Keyuser - Aguardando tarefa precedente",K532="Keyuser - Concluído ")</f>
        <v>0</v>
      </c>
    </row>
    <row r="534" spans="1:27" x14ac:dyDescent="0.25">
      <c r="A534" t="str">
        <f>"OUT-"&amp;IFERROR(MID(Tabela4[[#This Row],[Cenário]],SEARCH("(",Tabela4[[#This Row],[Cenário]])+1,SEARCH(")",Tabela4[[#This Row],[Cenário]])-SEARCH("(",Tabela4[[#This Row],[Cenário]])-1),"")&amp;"_"&amp;ROW()</f>
        <v>OUT-Y066_534</v>
      </c>
      <c r="B534" t="s">
        <v>358</v>
      </c>
      <c r="C534" t="s">
        <v>665</v>
      </c>
      <c r="D534" t="s">
        <v>360</v>
      </c>
      <c r="E534">
        <v>1</v>
      </c>
      <c r="F534" t="s">
        <v>360</v>
      </c>
      <c r="G534" t="s">
        <v>310</v>
      </c>
      <c r="H534" s="13">
        <v>15603631</v>
      </c>
      <c r="I534" s="13" t="s">
        <v>666</v>
      </c>
      <c r="J534" s="13" t="s">
        <v>364</v>
      </c>
      <c r="K534" s="9" t="s">
        <v>271</v>
      </c>
      <c r="L534" s="78">
        <v>45951</v>
      </c>
      <c r="N534" s="78">
        <v>45951</v>
      </c>
      <c r="O534" s="31"/>
      <c r="P534" s="9"/>
      <c r="Q534" s="9">
        <f>COUNTIF(Tabela4[[#All],[Cenário]],Tabela4[[#This Row],[Cenário]])</f>
        <v>5</v>
      </c>
      <c r="R534">
        <f>COUNTIFS(Tabela4[[#All],[Cenário]],Tabela4[[#This Row],[Cenário]],Tabela4[[#All],[Status]],"Keyuser - Concluído ")</f>
        <v>5</v>
      </c>
      <c r="S534" t="str">
        <f>IF(Tabela4[[#This Row],[Tarefas por Cenário]]-Tabela4[[#This Row],[Tarefas Concluídas]]&gt;0,"Não","Sim")</f>
        <v>Sim</v>
      </c>
      <c r="T534">
        <f>COUNTIFS(Tabela4[[#All],[Cenário]],Tabela4[[#This Row],[Cenário]],Tabela4[[#All],[Status]],Tabela4[[#Headers],[Elo - Em correção ]])</f>
        <v>0</v>
      </c>
      <c r="U534">
        <f>COUNTIFS(Tabela4[[#All],[Cenário]],Tabela4[[#This Row],[Cenário]],Tabela4[[#All],[Status]],Tabela4[[#Headers],[Keyuser - Aguardando tarefa precedente]])</f>
        <v>0</v>
      </c>
      <c r="V534">
        <f>COUNTIFS(Tabela4[[#All],[Cenário]],Tabela4[[#This Row],[Cenário]],Tabela4[[#All],[Status]],Tabela4[[#Headers],[Não liberado  para testes]])</f>
        <v>0</v>
      </c>
      <c r="W534" t="str">
        <f>IF(Tabela4[[#This Row],[Elo - Em correção ]]&gt;0,"Sim","Não")</f>
        <v>Não</v>
      </c>
      <c r="X534" t="str">
        <f>IF(Tabela4[[#This Row],[Keyuser - Aguardando tarefa precedente]]&gt;0,"Sim","Não")</f>
        <v>Não</v>
      </c>
      <c r="Y534" t="str">
        <f>IF(Tabela4[[#This Row],[Não liberado  para testes]]&gt;0,"Sim","Não")</f>
        <v>Não</v>
      </c>
      <c r="Z534" t="str">
        <f ca="1">IF(Tabela4[[#This Row],[Status]]="Keyuser - Pendente",NETWORKDAYS(Tabela4[[#This Row],[Dt Inicial]],TODAY()),"")</f>
        <v/>
      </c>
      <c r="AA534" t="b">
        <f>AND(Tabela4[[#This Row],[Status]]="Keyuser - Aguardando tarefa precedente",K533="Keyuser - Concluído ")</f>
        <v>0</v>
      </c>
    </row>
    <row r="535" spans="1:27" x14ac:dyDescent="0.25">
      <c r="A535" t="str">
        <f>"OUT-"&amp;IFERROR(MID(Tabela4[[#This Row],[Cenário]],SEARCH("(",Tabela4[[#This Row],[Cenário]])+1,SEARCH(")",Tabela4[[#This Row],[Cenário]])-SEARCH("(",Tabela4[[#This Row],[Cenário]])-1),"")&amp;"_"&amp;ROW()</f>
        <v>OUT-Y066_535</v>
      </c>
      <c r="B535" t="s">
        <v>358</v>
      </c>
      <c r="C535" t="s">
        <v>665</v>
      </c>
      <c r="D535" t="s">
        <v>365</v>
      </c>
      <c r="E535">
        <v>2</v>
      </c>
      <c r="F535" t="s">
        <v>365</v>
      </c>
      <c r="G535" t="s">
        <v>310</v>
      </c>
      <c r="H535" s="13">
        <v>15603631</v>
      </c>
      <c r="I535" s="13" t="s">
        <v>666</v>
      </c>
      <c r="J535" s="13" t="s">
        <v>364</v>
      </c>
      <c r="K535" s="9" t="s">
        <v>271</v>
      </c>
      <c r="L535" s="78">
        <v>45951</v>
      </c>
      <c r="N535" s="78">
        <v>45951</v>
      </c>
      <c r="O535" s="31"/>
      <c r="P535" s="9"/>
      <c r="Q535" s="9">
        <f>COUNTIF(Tabela4[[#All],[Cenário]],Tabela4[[#This Row],[Cenário]])</f>
        <v>5</v>
      </c>
      <c r="R535">
        <f>COUNTIFS(Tabela4[[#All],[Cenário]],Tabela4[[#This Row],[Cenário]],Tabela4[[#All],[Status]],"Keyuser - Concluído ")</f>
        <v>5</v>
      </c>
      <c r="S535" t="str">
        <f>IF(Tabela4[[#This Row],[Tarefas por Cenário]]-Tabela4[[#This Row],[Tarefas Concluídas]]&gt;0,"Não","Sim")</f>
        <v>Sim</v>
      </c>
      <c r="T535">
        <f>COUNTIFS(Tabela4[[#All],[Cenário]],Tabela4[[#This Row],[Cenário]],Tabela4[[#All],[Status]],Tabela4[[#Headers],[Elo - Em correção ]])</f>
        <v>0</v>
      </c>
      <c r="U535">
        <f>COUNTIFS(Tabela4[[#All],[Cenário]],Tabela4[[#This Row],[Cenário]],Tabela4[[#All],[Status]],Tabela4[[#Headers],[Keyuser - Aguardando tarefa precedente]])</f>
        <v>0</v>
      </c>
      <c r="V535">
        <f>COUNTIFS(Tabela4[[#All],[Cenário]],Tabela4[[#This Row],[Cenário]],Tabela4[[#All],[Status]],Tabela4[[#Headers],[Não liberado  para testes]])</f>
        <v>0</v>
      </c>
      <c r="W535" t="str">
        <f>IF(Tabela4[[#This Row],[Elo - Em correção ]]&gt;0,"Sim","Não")</f>
        <v>Não</v>
      </c>
      <c r="X535" t="str">
        <f>IF(Tabela4[[#This Row],[Keyuser - Aguardando tarefa precedente]]&gt;0,"Sim","Não")</f>
        <v>Não</v>
      </c>
      <c r="Y535" t="str">
        <f>IF(Tabela4[[#This Row],[Não liberado  para testes]]&gt;0,"Sim","Não")</f>
        <v>Não</v>
      </c>
      <c r="Z535" t="str">
        <f ca="1">IF(Tabela4[[#This Row],[Status]]="Keyuser - Pendente",NETWORKDAYS(Tabela4[[#This Row],[Dt Inicial]],TODAY()),"")</f>
        <v/>
      </c>
      <c r="AA535" t="b">
        <f>AND(Tabela4[[#This Row],[Status]]="Keyuser - Aguardando tarefa precedente",K534="Keyuser - Concluído ")</f>
        <v>0</v>
      </c>
    </row>
    <row r="536" spans="1:27" x14ac:dyDescent="0.25">
      <c r="A536" t="str">
        <f>"OUT-"&amp;IFERROR(MID(Tabela4[[#This Row],[Cenário]],SEARCH("(",Tabela4[[#This Row],[Cenário]])+1,SEARCH(")",Tabela4[[#This Row],[Cenário]])-SEARCH("(",Tabela4[[#This Row],[Cenário]])-1),"")&amp;"_"&amp;ROW()</f>
        <v>OUT-Y066_536</v>
      </c>
      <c r="B536" t="s">
        <v>358</v>
      </c>
      <c r="C536" t="s">
        <v>665</v>
      </c>
      <c r="D536" t="s">
        <v>366</v>
      </c>
      <c r="E536">
        <v>3</v>
      </c>
      <c r="F536" t="s">
        <v>366</v>
      </c>
      <c r="G536" t="s">
        <v>367</v>
      </c>
      <c r="H536" s="13">
        <v>15603631</v>
      </c>
      <c r="I536" s="13" t="s">
        <v>666</v>
      </c>
      <c r="J536" s="13" t="s">
        <v>364</v>
      </c>
      <c r="K536" s="9" t="s">
        <v>271</v>
      </c>
      <c r="L536" s="78">
        <v>45951</v>
      </c>
      <c r="N536" s="78">
        <v>45951</v>
      </c>
      <c r="O536" s="31"/>
      <c r="P536" s="9"/>
      <c r="Q536" s="9">
        <f>COUNTIF(Tabela4[[#All],[Cenário]],Tabela4[[#This Row],[Cenário]])</f>
        <v>5</v>
      </c>
      <c r="R536">
        <f>COUNTIFS(Tabela4[[#All],[Cenário]],Tabela4[[#This Row],[Cenário]],Tabela4[[#All],[Status]],"Keyuser - Concluído ")</f>
        <v>5</v>
      </c>
      <c r="S536" t="str">
        <f>IF(Tabela4[[#This Row],[Tarefas por Cenário]]-Tabela4[[#This Row],[Tarefas Concluídas]]&gt;0,"Não","Sim")</f>
        <v>Sim</v>
      </c>
      <c r="T536">
        <f>COUNTIFS(Tabela4[[#All],[Cenário]],Tabela4[[#This Row],[Cenário]],Tabela4[[#All],[Status]],Tabela4[[#Headers],[Elo - Em correção ]])</f>
        <v>0</v>
      </c>
      <c r="U536">
        <f>COUNTIFS(Tabela4[[#All],[Cenário]],Tabela4[[#This Row],[Cenário]],Tabela4[[#All],[Status]],Tabela4[[#Headers],[Keyuser - Aguardando tarefa precedente]])</f>
        <v>0</v>
      </c>
      <c r="V536">
        <f>COUNTIFS(Tabela4[[#All],[Cenário]],Tabela4[[#This Row],[Cenário]],Tabela4[[#All],[Status]],Tabela4[[#Headers],[Não liberado  para testes]])</f>
        <v>0</v>
      </c>
      <c r="W536" t="str">
        <f>IF(Tabela4[[#This Row],[Elo - Em correção ]]&gt;0,"Sim","Não")</f>
        <v>Não</v>
      </c>
      <c r="X536" t="str">
        <f>IF(Tabela4[[#This Row],[Keyuser - Aguardando tarefa precedente]]&gt;0,"Sim","Não")</f>
        <v>Não</v>
      </c>
      <c r="Y536" t="str">
        <f>IF(Tabela4[[#This Row],[Não liberado  para testes]]&gt;0,"Sim","Não")</f>
        <v>Não</v>
      </c>
      <c r="Z536" t="str">
        <f ca="1">IF(Tabela4[[#This Row],[Status]]="Keyuser - Pendente",NETWORKDAYS(Tabela4[[#This Row],[Dt Inicial]],TODAY()),"")</f>
        <v/>
      </c>
      <c r="AA536" t="b">
        <f>AND(Tabela4[[#This Row],[Status]]="Keyuser - Aguardando tarefa precedente",K535="Keyuser - Concluído ")</f>
        <v>0</v>
      </c>
    </row>
    <row r="537" spans="1:27" x14ac:dyDescent="0.25">
      <c r="A537" t="str">
        <f>"OUT-"&amp;IFERROR(MID(Tabela4[[#This Row],[Cenário]],SEARCH("(",Tabela4[[#This Row],[Cenário]])+1,SEARCH(")",Tabela4[[#This Row],[Cenário]])-SEARCH("(",Tabela4[[#This Row],[Cenário]])-1),"")&amp;"_"&amp;ROW()</f>
        <v>OUT-Y066_537</v>
      </c>
      <c r="B537" t="s">
        <v>358</v>
      </c>
      <c r="C537" t="s">
        <v>665</v>
      </c>
      <c r="D537" t="s">
        <v>368</v>
      </c>
      <c r="E537">
        <v>4</v>
      </c>
      <c r="F537" t="s">
        <v>368</v>
      </c>
      <c r="G537" t="s">
        <v>377</v>
      </c>
      <c r="H537" s="13" t="s">
        <v>667</v>
      </c>
      <c r="I537" s="13"/>
      <c r="J537" s="13"/>
      <c r="K537" s="9" t="s">
        <v>271</v>
      </c>
      <c r="L537" s="78">
        <v>45952</v>
      </c>
      <c r="N537" s="78">
        <v>45952</v>
      </c>
      <c r="O537" s="31" t="s">
        <v>668</v>
      </c>
      <c r="P537" s="9"/>
      <c r="Q537" s="9">
        <f>COUNTIF(Tabela4[[#All],[Cenário]],Tabela4[[#This Row],[Cenário]])</f>
        <v>5</v>
      </c>
      <c r="R537">
        <f>COUNTIFS(Tabela4[[#All],[Cenário]],Tabela4[[#This Row],[Cenário]],Tabela4[[#All],[Status]],"Keyuser - Concluído ")</f>
        <v>5</v>
      </c>
      <c r="S537" t="str">
        <f>IF(Tabela4[[#This Row],[Tarefas por Cenário]]-Tabela4[[#This Row],[Tarefas Concluídas]]&gt;0,"Não","Sim")</f>
        <v>Sim</v>
      </c>
      <c r="T537">
        <f>COUNTIFS(Tabela4[[#All],[Cenário]],Tabela4[[#This Row],[Cenário]],Tabela4[[#All],[Status]],Tabela4[[#Headers],[Elo - Em correção ]])</f>
        <v>0</v>
      </c>
      <c r="U537">
        <f>COUNTIFS(Tabela4[[#All],[Cenário]],Tabela4[[#This Row],[Cenário]],Tabela4[[#All],[Status]],Tabela4[[#Headers],[Keyuser - Aguardando tarefa precedente]])</f>
        <v>0</v>
      </c>
      <c r="V537">
        <f>COUNTIFS(Tabela4[[#All],[Cenário]],Tabela4[[#This Row],[Cenário]],Tabela4[[#All],[Status]],Tabela4[[#Headers],[Não liberado  para testes]])</f>
        <v>0</v>
      </c>
      <c r="W537" t="str">
        <f>IF(Tabela4[[#This Row],[Elo - Em correção ]]&gt;0,"Sim","Não")</f>
        <v>Não</v>
      </c>
      <c r="X537" t="str">
        <f>IF(Tabela4[[#This Row],[Keyuser - Aguardando tarefa precedente]]&gt;0,"Sim","Não")</f>
        <v>Não</v>
      </c>
      <c r="Y537" t="str">
        <f>IF(Tabela4[[#This Row],[Não liberado  para testes]]&gt;0,"Sim","Não")</f>
        <v>Não</v>
      </c>
      <c r="Z537" t="str">
        <f ca="1">IF(Tabela4[[#This Row],[Status]]="Keyuser - Pendente",NETWORKDAYS(Tabela4[[#This Row],[Dt Inicial]],TODAY()),"")</f>
        <v/>
      </c>
      <c r="AA537" t="b">
        <f>AND(Tabela4[[#This Row],[Status]]="Keyuser - Aguardando tarefa precedente",K536="Keyuser - Concluído ")</f>
        <v>0</v>
      </c>
    </row>
    <row r="538" spans="1:27" x14ac:dyDescent="0.25">
      <c r="A538" t="str">
        <f>"OUT-"&amp;IFERROR(MID(Tabela4[[#This Row],[Cenário]],SEARCH("(",Tabela4[[#This Row],[Cenário]])+1,SEARCH(")",Tabela4[[#This Row],[Cenário]])-SEARCH("(",Tabela4[[#This Row],[Cenário]])-1),"")&amp;"_"&amp;ROW()</f>
        <v>OUT-Y066_538</v>
      </c>
      <c r="B538" t="s">
        <v>358</v>
      </c>
      <c r="C538" t="s">
        <v>665</v>
      </c>
      <c r="D538" t="s">
        <v>434</v>
      </c>
      <c r="E538">
        <v>5</v>
      </c>
      <c r="F538" t="s">
        <v>435</v>
      </c>
      <c r="G538" t="s">
        <v>287</v>
      </c>
      <c r="H538" s="13" t="s">
        <v>667</v>
      </c>
      <c r="I538" s="13"/>
      <c r="J538" s="13"/>
      <c r="K538" s="9" t="s">
        <v>271</v>
      </c>
      <c r="L538" s="78" t="s">
        <v>669</v>
      </c>
      <c r="N538" s="78">
        <v>45954</v>
      </c>
      <c r="O538" s="31"/>
      <c r="P538" s="9"/>
      <c r="Q538" s="9">
        <f>COUNTIF(Tabela4[[#All],[Cenário]],Tabela4[[#This Row],[Cenário]])</f>
        <v>5</v>
      </c>
      <c r="R538">
        <f>COUNTIFS(Tabela4[[#All],[Cenário]],Tabela4[[#This Row],[Cenário]],Tabela4[[#All],[Status]],"Keyuser - Concluído ")</f>
        <v>5</v>
      </c>
      <c r="S538" t="str">
        <f>IF(Tabela4[[#This Row],[Tarefas por Cenário]]-Tabela4[[#This Row],[Tarefas Concluídas]]&gt;0,"Não","Sim")</f>
        <v>Sim</v>
      </c>
      <c r="T538">
        <f>COUNTIFS(Tabela4[[#All],[Cenário]],Tabela4[[#This Row],[Cenário]],Tabela4[[#All],[Status]],Tabela4[[#Headers],[Elo - Em correção ]])</f>
        <v>0</v>
      </c>
      <c r="U538">
        <f>COUNTIFS(Tabela4[[#All],[Cenário]],Tabela4[[#This Row],[Cenário]],Tabela4[[#All],[Status]],Tabela4[[#Headers],[Keyuser - Aguardando tarefa precedente]])</f>
        <v>0</v>
      </c>
      <c r="V538">
        <f>COUNTIFS(Tabela4[[#All],[Cenário]],Tabela4[[#This Row],[Cenário]],Tabela4[[#All],[Status]],Tabela4[[#Headers],[Não liberado  para testes]])</f>
        <v>0</v>
      </c>
      <c r="W538" t="str">
        <f>IF(Tabela4[[#This Row],[Elo - Em correção ]]&gt;0,"Sim","Não")</f>
        <v>Não</v>
      </c>
      <c r="X538" t="str">
        <f>IF(Tabela4[[#This Row],[Keyuser - Aguardando tarefa precedente]]&gt;0,"Sim","Não")</f>
        <v>Não</v>
      </c>
      <c r="Y538" t="str">
        <f>IF(Tabela4[[#This Row],[Não liberado  para testes]]&gt;0,"Sim","Não")</f>
        <v>Não</v>
      </c>
      <c r="Z538" t="str">
        <f ca="1">IF(Tabela4[[#This Row],[Status]]="Keyuser - Pendente",NETWORKDAYS(Tabela4[[#This Row],[Dt Inicial]],TODAY()),"")</f>
        <v/>
      </c>
      <c r="AA538" t="b">
        <f>AND(Tabela4[[#This Row],[Status]]="Keyuser - Aguardando tarefa precedente",K537="Keyuser - Concluído ")</f>
        <v>0</v>
      </c>
    </row>
    <row r="539" spans="1:27" x14ac:dyDescent="0.25">
      <c r="A539" t="str">
        <f>"OUT-"&amp;IFERROR(MID(Tabela4[[#This Row],[Cenário]],SEARCH("(",Tabela4[[#This Row],[Cenário]])+1,SEARCH(")",Tabela4[[#This Row],[Cenário]])-SEARCH("(",Tabela4[[#This Row],[Cenário]])-1),"")&amp;"_"&amp;ROW()</f>
        <v>OUT-YSCO_539</v>
      </c>
      <c r="B539" t="s">
        <v>358</v>
      </c>
      <c r="C539" t="s">
        <v>670</v>
      </c>
      <c r="D539" t="s">
        <v>360</v>
      </c>
      <c r="E539">
        <v>1</v>
      </c>
      <c r="F539" t="s">
        <v>360</v>
      </c>
      <c r="G539" t="s">
        <v>643</v>
      </c>
      <c r="H539" s="13">
        <v>15603611</v>
      </c>
      <c r="I539" s="13" t="s">
        <v>671</v>
      </c>
      <c r="J539" s="13" t="s">
        <v>364</v>
      </c>
      <c r="K539" s="9" t="s">
        <v>271</v>
      </c>
      <c r="L539" s="78">
        <v>45946</v>
      </c>
      <c r="N539" s="78">
        <v>45946</v>
      </c>
      <c r="O539" s="31"/>
      <c r="P539" s="9"/>
      <c r="Q539" s="9">
        <f>COUNTIF(Tabela4[[#All],[Cenário]],Tabela4[[#This Row],[Cenário]])</f>
        <v>5</v>
      </c>
      <c r="R539">
        <f>COUNTIFS(Tabela4[[#All],[Cenário]],Tabela4[[#This Row],[Cenário]],Tabela4[[#All],[Status]],"Keyuser - Concluído ")</f>
        <v>5</v>
      </c>
      <c r="S539" t="str">
        <f>IF(Tabela4[[#This Row],[Tarefas por Cenário]]-Tabela4[[#This Row],[Tarefas Concluídas]]&gt;0,"Não","Sim")</f>
        <v>Sim</v>
      </c>
      <c r="T539">
        <f>COUNTIFS(Tabela4[[#All],[Cenário]],Tabela4[[#This Row],[Cenário]],Tabela4[[#All],[Status]],Tabela4[[#Headers],[Elo - Em correção ]])</f>
        <v>0</v>
      </c>
      <c r="U539">
        <f>COUNTIFS(Tabela4[[#All],[Cenário]],Tabela4[[#This Row],[Cenário]],Tabela4[[#All],[Status]],Tabela4[[#Headers],[Keyuser - Aguardando tarefa precedente]])</f>
        <v>0</v>
      </c>
      <c r="V539">
        <f>COUNTIFS(Tabela4[[#All],[Cenário]],Tabela4[[#This Row],[Cenário]],Tabela4[[#All],[Status]],Tabela4[[#Headers],[Não liberado  para testes]])</f>
        <v>0</v>
      </c>
      <c r="W539" t="str">
        <f>IF(Tabela4[[#This Row],[Elo - Em correção ]]&gt;0,"Sim","Não")</f>
        <v>Não</v>
      </c>
      <c r="X539" t="str">
        <f>IF(Tabela4[[#This Row],[Keyuser - Aguardando tarefa precedente]]&gt;0,"Sim","Não")</f>
        <v>Não</v>
      </c>
      <c r="Y539" t="str">
        <f>IF(Tabela4[[#This Row],[Não liberado  para testes]]&gt;0,"Sim","Não")</f>
        <v>Não</v>
      </c>
      <c r="Z539" t="str">
        <f ca="1">IF(Tabela4[[#This Row],[Status]]="Keyuser - Pendente",NETWORKDAYS(Tabela4[[#This Row],[Dt Inicial]],TODAY()),"")</f>
        <v/>
      </c>
      <c r="AA539" t="b">
        <f>AND(Tabela4[[#This Row],[Status]]="Keyuser - Aguardando tarefa precedente",K538="Keyuser - Concluído ")</f>
        <v>0</v>
      </c>
    </row>
    <row r="540" spans="1:27" x14ac:dyDescent="0.25">
      <c r="A540" t="str">
        <f>"OUT-"&amp;IFERROR(MID(Tabela4[[#This Row],[Cenário]],SEARCH("(",Tabela4[[#This Row],[Cenário]])+1,SEARCH(")",Tabela4[[#This Row],[Cenário]])-SEARCH("(",Tabela4[[#This Row],[Cenário]])-1),"")&amp;"_"&amp;ROW()</f>
        <v>OUT-YSCO_540</v>
      </c>
      <c r="B540" t="s">
        <v>358</v>
      </c>
      <c r="C540" t="s">
        <v>670</v>
      </c>
      <c r="D540" t="s">
        <v>365</v>
      </c>
      <c r="E540">
        <v>2</v>
      </c>
      <c r="F540" t="s">
        <v>365</v>
      </c>
      <c r="G540" t="s">
        <v>310</v>
      </c>
      <c r="H540" s="13">
        <v>15603611</v>
      </c>
      <c r="I540" s="13" t="s">
        <v>671</v>
      </c>
      <c r="J540" s="13" t="s">
        <v>364</v>
      </c>
      <c r="K540" s="9" t="s">
        <v>271</v>
      </c>
      <c r="L540" s="78">
        <v>45946</v>
      </c>
      <c r="N540" s="78">
        <v>45946</v>
      </c>
      <c r="O540" s="31"/>
      <c r="P540" s="9"/>
      <c r="Q540" s="9">
        <f>COUNTIF(Tabela4[[#All],[Cenário]],Tabela4[[#This Row],[Cenário]])</f>
        <v>5</v>
      </c>
      <c r="R540">
        <f>COUNTIFS(Tabela4[[#All],[Cenário]],Tabela4[[#This Row],[Cenário]],Tabela4[[#All],[Status]],"Keyuser - Concluído ")</f>
        <v>5</v>
      </c>
      <c r="S540" t="str">
        <f>IF(Tabela4[[#This Row],[Tarefas por Cenário]]-Tabela4[[#This Row],[Tarefas Concluídas]]&gt;0,"Não","Sim")</f>
        <v>Sim</v>
      </c>
      <c r="T540">
        <f>COUNTIFS(Tabela4[[#All],[Cenário]],Tabela4[[#This Row],[Cenário]],Tabela4[[#All],[Status]],Tabela4[[#Headers],[Elo - Em correção ]])</f>
        <v>0</v>
      </c>
      <c r="U540">
        <f>COUNTIFS(Tabela4[[#All],[Cenário]],Tabela4[[#This Row],[Cenário]],Tabela4[[#All],[Status]],Tabela4[[#Headers],[Keyuser - Aguardando tarefa precedente]])</f>
        <v>0</v>
      </c>
      <c r="V540">
        <f>COUNTIFS(Tabela4[[#All],[Cenário]],Tabela4[[#This Row],[Cenário]],Tabela4[[#All],[Status]],Tabela4[[#Headers],[Não liberado  para testes]])</f>
        <v>0</v>
      </c>
      <c r="W540" t="str">
        <f>IF(Tabela4[[#This Row],[Elo - Em correção ]]&gt;0,"Sim","Não")</f>
        <v>Não</v>
      </c>
      <c r="X540" t="str">
        <f>IF(Tabela4[[#This Row],[Keyuser - Aguardando tarefa precedente]]&gt;0,"Sim","Não")</f>
        <v>Não</v>
      </c>
      <c r="Y540" t="str">
        <f>IF(Tabela4[[#This Row],[Não liberado  para testes]]&gt;0,"Sim","Não")</f>
        <v>Não</v>
      </c>
      <c r="Z540" t="str">
        <f ca="1">IF(Tabela4[[#This Row],[Status]]="Keyuser - Pendente",NETWORKDAYS(Tabela4[[#This Row],[Dt Inicial]],TODAY()),"")</f>
        <v/>
      </c>
      <c r="AA540" t="b">
        <f>AND(Tabela4[[#This Row],[Status]]="Keyuser - Aguardando tarefa precedente",K539="Keyuser - Concluído ")</f>
        <v>0</v>
      </c>
    </row>
    <row r="541" spans="1:27" x14ac:dyDescent="0.25">
      <c r="A541" t="str">
        <f>"OUT-"&amp;IFERROR(MID(Tabela4[[#This Row],[Cenário]],SEARCH("(",Tabela4[[#This Row],[Cenário]])+1,SEARCH(")",Tabela4[[#This Row],[Cenário]])-SEARCH("(",Tabela4[[#This Row],[Cenário]])-1),"")&amp;"_"&amp;ROW()</f>
        <v>OUT-YSCO_541</v>
      </c>
      <c r="B541" t="s">
        <v>358</v>
      </c>
      <c r="C541" t="s">
        <v>670</v>
      </c>
      <c r="D541" t="s">
        <v>366</v>
      </c>
      <c r="E541">
        <v>3</v>
      </c>
      <c r="F541" t="s">
        <v>366</v>
      </c>
      <c r="G541" t="s">
        <v>367</v>
      </c>
      <c r="H541" s="13">
        <v>15603611</v>
      </c>
      <c r="I541" s="13" t="s">
        <v>671</v>
      </c>
      <c r="J541" s="13" t="s">
        <v>364</v>
      </c>
      <c r="K541" s="9" t="s">
        <v>271</v>
      </c>
      <c r="L541" s="78">
        <v>45946</v>
      </c>
      <c r="N541" s="78">
        <v>45946</v>
      </c>
      <c r="O541" s="31"/>
      <c r="P541" s="9"/>
      <c r="Q541" s="9">
        <f>COUNTIF(Tabela4[[#All],[Cenário]],Tabela4[[#This Row],[Cenário]])</f>
        <v>5</v>
      </c>
      <c r="R541">
        <f>COUNTIFS(Tabela4[[#All],[Cenário]],Tabela4[[#This Row],[Cenário]],Tabela4[[#All],[Status]],"Keyuser - Concluído ")</f>
        <v>5</v>
      </c>
      <c r="S541" t="str">
        <f>IF(Tabela4[[#This Row],[Tarefas por Cenário]]-Tabela4[[#This Row],[Tarefas Concluídas]]&gt;0,"Não","Sim")</f>
        <v>Sim</v>
      </c>
      <c r="T541">
        <f>COUNTIFS(Tabela4[[#All],[Cenário]],Tabela4[[#This Row],[Cenário]],Tabela4[[#All],[Status]],Tabela4[[#Headers],[Elo - Em correção ]])</f>
        <v>0</v>
      </c>
      <c r="U541">
        <f>COUNTIFS(Tabela4[[#All],[Cenário]],Tabela4[[#This Row],[Cenário]],Tabela4[[#All],[Status]],Tabela4[[#Headers],[Keyuser - Aguardando tarefa precedente]])</f>
        <v>0</v>
      </c>
      <c r="V541">
        <f>COUNTIFS(Tabela4[[#All],[Cenário]],Tabela4[[#This Row],[Cenário]],Tabela4[[#All],[Status]],Tabela4[[#Headers],[Não liberado  para testes]])</f>
        <v>0</v>
      </c>
      <c r="W541" t="str">
        <f>IF(Tabela4[[#This Row],[Elo - Em correção ]]&gt;0,"Sim","Não")</f>
        <v>Não</v>
      </c>
      <c r="X541" t="str">
        <f>IF(Tabela4[[#This Row],[Keyuser - Aguardando tarefa precedente]]&gt;0,"Sim","Não")</f>
        <v>Não</v>
      </c>
      <c r="Y541" t="str">
        <f>IF(Tabela4[[#This Row],[Não liberado  para testes]]&gt;0,"Sim","Não")</f>
        <v>Não</v>
      </c>
      <c r="Z541" t="str">
        <f ca="1">IF(Tabela4[[#This Row],[Status]]="Keyuser - Pendente",NETWORKDAYS(Tabela4[[#This Row],[Dt Inicial]],TODAY()),"")</f>
        <v/>
      </c>
      <c r="AA541" t="b">
        <f>AND(Tabela4[[#This Row],[Status]]="Keyuser - Aguardando tarefa precedente",K540="Keyuser - Concluído ")</f>
        <v>0</v>
      </c>
    </row>
    <row r="542" spans="1:27" x14ac:dyDescent="0.25">
      <c r="A542" t="str">
        <f>"OUT-"&amp;IFERROR(MID(Tabela4[[#This Row],[Cenário]],SEARCH("(",Tabela4[[#This Row],[Cenário]])+1,SEARCH(")",Tabela4[[#This Row],[Cenário]])-SEARCH("(",Tabela4[[#This Row],[Cenário]])-1),"")&amp;"_"&amp;ROW()</f>
        <v>OUT-YSCO_542</v>
      </c>
      <c r="B542" t="s">
        <v>358</v>
      </c>
      <c r="C542" t="s">
        <v>670</v>
      </c>
      <c r="D542" t="s">
        <v>368</v>
      </c>
      <c r="E542">
        <v>4</v>
      </c>
      <c r="F542" t="s">
        <v>368</v>
      </c>
      <c r="G542" t="s">
        <v>377</v>
      </c>
      <c r="H542" s="13" t="s">
        <v>672</v>
      </c>
      <c r="I542" s="13"/>
      <c r="J542" s="13"/>
      <c r="K542" s="9" t="s">
        <v>271</v>
      </c>
      <c r="L542" s="78">
        <v>45947</v>
      </c>
      <c r="N542" s="78">
        <v>45947</v>
      </c>
      <c r="O542" s="31" t="s">
        <v>673</v>
      </c>
      <c r="P542" s="9"/>
      <c r="Q542" s="9">
        <f>COUNTIF(Tabela4[[#All],[Cenário]],Tabela4[[#This Row],[Cenário]])</f>
        <v>5</v>
      </c>
      <c r="R542">
        <f>COUNTIFS(Tabela4[[#All],[Cenário]],Tabela4[[#This Row],[Cenário]],Tabela4[[#All],[Status]],"Keyuser - Concluído ")</f>
        <v>5</v>
      </c>
      <c r="S542" t="str">
        <f>IF(Tabela4[[#This Row],[Tarefas por Cenário]]-Tabela4[[#This Row],[Tarefas Concluídas]]&gt;0,"Não","Sim")</f>
        <v>Sim</v>
      </c>
      <c r="T542">
        <f>COUNTIFS(Tabela4[[#All],[Cenário]],Tabela4[[#This Row],[Cenário]],Tabela4[[#All],[Status]],Tabela4[[#Headers],[Elo - Em correção ]])</f>
        <v>0</v>
      </c>
      <c r="U542">
        <f>COUNTIFS(Tabela4[[#All],[Cenário]],Tabela4[[#This Row],[Cenário]],Tabela4[[#All],[Status]],Tabela4[[#Headers],[Keyuser - Aguardando tarefa precedente]])</f>
        <v>0</v>
      </c>
      <c r="V542">
        <f>COUNTIFS(Tabela4[[#All],[Cenário]],Tabela4[[#This Row],[Cenário]],Tabela4[[#All],[Status]],Tabela4[[#Headers],[Não liberado  para testes]])</f>
        <v>0</v>
      </c>
      <c r="W542" t="str">
        <f>IF(Tabela4[[#This Row],[Elo - Em correção ]]&gt;0,"Sim","Não")</f>
        <v>Não</v>
      </c>
      <c r="X542" t="str">
        <f>IF(Tabela4[[#This Row],[Keyuser - Aguardando tarefa precedente]]&gt;0,"Sim","Não")</f>
        <v>Não</v>
      </c>
      <c r="Y542" t="str">
        <f>IF(Tabela4[[#This Row],[Não liberado  para testes]]&gt;0,"Sim","Não")</f>
        <v>Não</v>
      </c>
      <c r="Z542" t="str">
        <f ca="1">IF(Tabela4[[#This Row],[Status]]="Keyuser - Pendente",NETWORKDAYS(Tabela4[[#This Row],[Dt Inicial]],TODAY()),"")</f>
        <v/>
      </c>
      <c r="AA542" t="b">
        <f>AND(Tabela4[[#This Row],[Status]]="Keyuser - Aguardando tarefa precedente",K541="Keyuser - Concluído ")</f>
        <v>0</v>
      </c>
    </row>
    <row r="543" spans="1:27" x14ac:dyDescent="0.25">
      <c r="A543" t="str">
        <f>"OUT-"&amp;IFERROR(MID(Tabela4[[#This Row],[Cenário]],SEARCH("(",Tabela4[[#This Row],[Cenário]])+1,SEARCH(")",Tabela4[[#This Row],[Cenário]])-SEARCH("(",Tabela4[[#This Row],[Cenário]])-1),"")&amp;"_"&amp;ROW()</f>
        <v>OUT-YSCO_543</v>
      </c>
      <c r="B543" t="s">
        <v>358</v>
      </c>
      <c r="C543" t="s">
        <v>670</v>
      </c>
      <c r="D543" t="s">
        <v>434</v>
      </c>
      <c r="E543">
        <v>5</v>
      </c>
      <c r="F543" t="s">
        <v>435</v>
      </c>
      <c r="G543" t="s">
        <v>287</v>
      </c>
      <c r="H543" s="13" t="s">
        <v>672</v>
      </c>
      <c r="I543" s="13"/>
      <c r="J543" s="13"/>
      <c r="K543" s="9" t="s">
        <v>271</v>
      </c>
      <c r="L543" s="78">
        <v>45947</v>
      </c>
      <c r="N543" s="78">
        <v>45947</v>
      </c>
      <c r="O543" s="31"/>
      <c r="P543" s="9"/>
      <c r="Q543" s="9">
        <f>COUNTIF(Tabela4[[#All],[Cenário]],Tabela4[[#This Row],[Cenário]])</f>
        <v>5</v>
      </c>
      <c r="R543">
        <f>COUNTIFS(Tabela4[[#All],[Cenário]],Tabela4[[#This Row],[Cenário]],Tabela4[[#All],[Status]],"Keyuser - Concluído ")</f>
        <v>5</v>
      </c>
      <c r="S543" t="str">
        <f>IF(Tabela4[[#This Row],[Tarefas por Cenário]]-Tabela4[[#This Row],[Tarefas Concluídas]]&gt;0,"Não","Sim")</f>
        <v>Sim</v>
      </c>
      <c r="T543">
        <f>COUNTIFS(Tabela4[[#All],[Cenário]],Tabela4[[#This Row],[Cenário]],Tabela4[[#All],[Status]],Tabela4[[#Headers],[Elo - Em correção ]])</f>
        <v>0</v>
      </c>
      <c r="U543">
        <f>COUNTIFS(Tabela4[[#All],[Cenário]],Tabela4[[#This Row],[Cenário]],Tabela4[[#All],[Status]],Tabela4[[#Headers],[Keyuser - Aguardando tarefa precedente]])</f>
        <v>0</v>
      </c>
      <c r="V543">
        <f>COUNTIFS(Tabela4[[#All],[Cenário]],Tabela4[[#This Row],[Cenário]],Tabela4[[#All],[Status]],Tabela4[[#Headers],[Não liberado  para testes]])</f>
        <v>0</v>
      </c>
      <c r="W543" t="str">
        <f>IF(Tabela4[[#This Row],[Elo - Em correção ]]&gt;0,"Sim","Não")</f>
        <v>Não</v>
      </c>
      <c r="X543" t="str">
        <f>IF(Tabela4[[#This Row],[Keyuser - Aguardando tarefa precedente]]&gt;0,"Sim","Não")</f>
        <v>Não</v>
      </c>
      <c r="Y543" t="str">
        <f>IF(Tabela4[[#This Row],[Não liberado  para testes]]&gt;0,"Sim","Não")</f>
        <v>Não</v>
      </c>
      <c r="Z543" t="str">
        <f ca="1">IF(Tabela4[[#This Row],[Status]]="Keyuser - Pendente",NETWORKDAYS(Tabela4[[#This Row],[Dt Inicial]],TODAY()),"")</f>
        <v/>
      </c>
      <c r="AA543" t="b">
        <f>AND(Tabela4[[#This Row],[Status]]="Keyuser - Aguardando tarefa precedente",K542="Keyuser - Concluído ")</f>
        <v>0</v>
      </c>
    </row>
    <row r="544" spans="1:27" x14ac:dyDescent="0.25">
      <c r="A544" t="str">
        <f>"OUT-"&amp;IFERROR(MID(Tabela4[[#This Row],[Cenário]],SEARCH("(",Tabela4[[#This Row],[Cenário]])+1,SEARCH(")",Tabela4[[#This Row],[Cenário]])-SEARCH("(",Tabela4[[#This Row],[Cenário]])-1),"")&amp;"_"&amp;ROW()</f>
        <v>OUT-YRCO_544</v>
      </c>
      <c r="B544" t="s">
        <v>358</v>
      </c>
      <c r="C544" t="s">
        <v>674</v>
      </c>
      <c r="D544" t="s">
        <v>360</v>
      </c>
      <c r="E544">
        <v>1</v>
      </c>
      <c r="F544" t="s">
        <v>360</v>
      </c>
      <c r="G544" t="s">
        <v>643</v>
      </c>
      <c r="H544" s="13">
        <v>60668324</v>
      </c>
      <c r="I544" s="13"/>
      <c r="J544" s="13" t="s">
        <v>364</v>
      </c>
      <c r="K544" s="9" t="s">
        <v>271</v>
      </c>
      <c r="L544" s="78">
        <v>45954</v>
      </c>
      <c r="N544" s="78">
        <v>45954</v>
      </c>
      <c r="O544" s="31"/>
      <c r="P544" s="9"/>
      <c r="Q544" s="9">
        <f>COUNTIF(Tabela4[[#All],[Cenário]],Tabela4[[#This Row],[Cenário]])</f>
        <v>5</v>
      </c>
      <c r="R544">
        <f>COUNTIFS(Tabela4[[#All],[Cenário]],Tabela4[[#This Row],[Cenário]],Tabela4[[#All],[Status]],"Keyuser - Concluído ")</f>
        <v>5</v>
      </c>
      <c r="S544" t="str">
        <f>IF(Tabela4[[#This Row],[Tarefas por Cenário]]-Tabela4[[#This Row],[Tarefas Concluídas]]&gt;0,"Não","Sim")</f>
        <v>Sim</v>
      </c>
      <c r="T544">
        <f>COUNTIFS(Tabela4[[#All],[Cenário]],Tabela4[[#This Row],[Cenário]],Tabela4[[#All],[Status]],Tabela4[[#Headers],[Elo - Em correção ]])</f>
        <v>0</v>
      </c>
      <c r="U544">
        <f>COUNTIFS(Tabela4[[#All],[Cenário]],Tabela4[[#This Row],[Cenário]],Tabela4[[#All],[Status]],Tabela4[[#Headers],[Keyuser - Aguardando tarefa precedente]])</f>
        <v>0</v>
      </c>
      <c r="V544">
        <f>COUNTIFS(Tabela4[[#All],[Cenário]],Tabela4[[#This Row],[Cenário]],Tabela4[[#All],[Status]],Tabela4[[#Headers],[Não liberado  para testes]])</f>
        <v>0</v>
      </c>
      <c r="W544" t="str">
        <f>IF(Tabela4[[#This Row],[Elo - Em correção ]]&gt;0,"Sim","Não")</f>
        <v>Não</v>
      </c>
      <c r="X544" t="str">
        <f>IF(Tabela4[[#This Row],[Keyuser - Aguardando tarefa precedente]]&gt;0,"Sim","Não")</f>
        <v>Não</v>
      </c>
      <c r="Y544" t="str">
        <f>IF(Tabela4[[#This Row],[Não liberado  para testes]]&gt;0,"Sim","Não")</f>
        <v>Não</v>
      </c>
      <c r="Z544" t="str">
        <f ca="1">IF(Tabela4[[#This Row],[Status]]="Keyuser - Pendente",NETWORKDAYS(Tabela4[[#This Row],[Dt Inicial]],TODAY()),"")</f>
        <v/>
      </c>
      <c r="AA544" t="b">
        <f>AND(Tabela4[[#This Row],[Status]]="Keyuser - Aguardando tarefa precedente",K543="Keyuser - Concluído ")</f>
        <v>0</v>
      </c>
    </row>
    <row r="545" spans="1:27" x14ac:dyDescent="0.25">
      <c r="A545" t="str">
        <f>"OUT-"&amp;IFERROR(MID(Tabela4[[#This Row],[Cenário]],SEARCH("(",Tabela4[[#This Row],[Cenário]])+1,SEARCH(")",Tabela4[[#This Row],[Cenário]])-SEARCH("(",Tabela4[[#This Row],[Cenário]])-1),"")&amp;"_"&amp;ROW()</f>
        <v>OUT-YRCO_545</v>
      </c>
      <c r="B545" t="s">
        <v>358</v>
      </c>
      <c r="C545" t="s">
        <v>674</v>
      </c>
      <c r="D545" t="s">
        <v>365</v>
      </c>
      <c r="E545">
        <v>2</v>
      </c>
      <c r="F545" t="s">
        <v>365</v>
      </c>
      <c r="G545" t="s">
        <v>310</v>
      </c>
      <c r="H545" s="13">
        <v>60668324</v>
      </c>
      <c r="I545" s="13"/>
      <c r="J545" s="13" t="s">
        <v>364</v>
      </c>
      <c r="K545" s="9" t="s">
        <v>271</v>
      </c>
      <c r="L545" s="78">
        <v>45954</v>
      </c>
      <c r="N545" s="78">
        <v>45954</v>
      </c>
      <c r="O545" s="31"/>
      <c r="P545" s="9"/>
      <c r="Q545" s="9">
        <f>COUNTIF(Tabela4[[#All],[Cenário]],Tabela4[[#This Row],[Cenário]])</f>
        <v>5</v>
      </c>
      <c r="R545">
        <f>COUNTIFS(Tabela4[[#All],[Cenário]],Tabela4[[#This Row],[Cenário]],Tabela4[[#All],[Status]],"Keyuser - Concluído ")</f>
        <v>5</v>
      </c>
      <c r="S545" t="str">
        <f>IF(Tabela4[[#This Row],[Tarefas por Cenário]]-Tabela4[[#This Row],[Tarefas Concluídas]]&gt;0,"Não","Sim")</f>
        <v>Sim</v>
      </c>
      <c r="T545">
        <f>COUNTIFS(Tabela4[[#All],[Cenário]],Tabela4[[#This Row],[Cenário]],Tabela4[[#All],[Status]],Tabela4[[#Headers],[Elo - Em correção ]])</f>
        <v>0</v>
      </c>
      <c r="U545">
        <f>COUNTIFS(Tabela4[[#All],[Cenário]],Tabela4[[#This Row],[Cenário]],Tabela4[[#All],[Status]],Tabela4[[#Headers],[Keyuser - Aguardando tarefa precedente]])</f>
        <v>0</v>
      </c>
      <c r="V545">
        <f>COUNTIFS(Tabela4[[#All],[Cenário]],Tabela4[[#This Row],[Cenário]],Tabela4[[#All],[Status]],Tabela4[[#Headers],[Não liberado  para testes]])</f>
        <v>0</v>
      </c>
      <c r="W545" t="str">
        <f>IF(Tabela4[[#This Row],[Elo - Em correção ]]&gt;0,"Sim","Não")</f>
        <v>Não</v>
      </c>
      <c r="X545" t="str">
        <f>IF(Tabela4[[#This Row],[Keyuser - Aguardando tarefa precedente]]&gt;0,"Sim","Não")</f>
        <v>Não</v>
      </c>
      <c r="Y545" t="str">
        <f>IF(Tabela4[[#This Row],[Não liberado  para testes]]&gt;0,"Sim","Não")</f>
        <v>Não</v>
      </c>
      <c r="Z545" t="str">
        <f ca="1">IF(Tabela4[[#This Row],[Status]]="Keyuser - Pendente",NETWORKDAYS(Tabela4[[#This Row],[Dt Inicial]],TODAY()),"")</f>
        <v/>
      </c>
      <c r="AA545" t="b">
        <f>AND(Tabela4[[#This Row],[Status]]="Keyuser - Aguardando tarefa precedente",K544="Keyuser - Concluído ")</f>
        <v>0</v>
      </c>
    </row>
    <row r="546" spans="1:27" x14ac:dyDescent="0.25">
      <c r="A546" t="str">
        <f>"OUT-"&amp;IFERROR(MID(Tabela4[[#This Row],[Cenário]],SEARCH("(",Tabela4[[#This Row],[Cenário]])+1,SEARCH(")",Tabela4[[#This Row],[Cenário]])-SEARCH("(",Tabela4[[#This Row],[Cenário]])-1),"")&amp;"_"&amp;ROW()</f>
        <v>OUT-YRCO_546</v>
      </c>
      <c r="B546" t="s">
        <v>358</v>
      </c>
      <c r="C546" t="s">
        <v>674</v>
      </c>
      <c r="D546" t="s">
        <v>366</v>
      </c>
      <c r="E546">
        <v>3</v>
      </c>
      <c r="F546" t="s">
        <v>366</v>
      </c>
      <c r="G546" t="s">
        <v>367</v>
      </c>
      <c r="H546" s="13">
        <v>60668324</v>
      </c>
      <c r="I546" s="13"/>
      <c r="J546" s="13" t="s">
        <v>364</v>
      </c>
      <c r="K546" s="9" t="s">
        <v>271</v>
      </c>
      <c r="L546" s="78">
        <v>45957</v>
      </c>
      <c r="N546" s="78">
        <v>45957</v>
      </c>
      <c r="O546" s="31"/>
      <c r="P546" s="9"/>
      <c r="Q546" s="9">
        <f>COUNTIF(Tabela4[[#All],[Cenário]],Tabela4[[#This Row],[Cenário]])</f>
        <v>5</v>
      </c>
      <c r="R546">
        <f>COUNTIFS(Tabela4[[#All],[Cenário]],Tabela4[[#This Row],[Cenário]],Tabela4[[#All],[Status]],"Keyuser - Concluído ")</f>
        <v>5</v>
      </c>
      <c r="S546" t="str">
        <f>IF(Tabela4[[#This Row],[Tarefas por Cenário]]-Tabela4[[#This Row],[Tarefas Concluídas]]&gt;0,"Não","Sim")</f>
        <v>Sim</v>
      </c>
      <c r="T546">
        <f>COUNTIFS(Tabela4[[#All],[Cenário]],Tabela4[[#This Row],[Cenário]],Tabela4[[#All],[Status]],Tabela4[[#Headers],[Elo - Em correção ]])</f>
        <v>0</v>
      </c>
      <c r="U546">
        <f>COUNTIFS(Tabela4[[#All],[Cenário]],Tabela4[[#This Row],[Cenário]],Tabela4[[#All],[Status]],Tabela4[[#Headers],[Keyuser - Aguardando tarefa precedente]])</f>
        <v>0</v>
      </c>
      <c r="V546">
        <f>COUNTIFS(Tabela4[[#All],[Cenário]],Tabela4[[#This Row],[Cenário]],Tabela4[[#All],[Status]],Tabela4[[#Headers],[Não liberado  para testes]])</f>
        <v>0</v>
      </c>
      <c r="W546" t="str">
        <f>IF(Tabela4[[#This Row],[Elo - Em correção ]]&gt;0,"Sim","Não")</f>
        <v>Não</v>
      </c>
      <c r="X546" t="str">
        <f>IF(Tabela4[[#This Row],[Keyuser - Aguardando tarefa precedente]]&gt;0,"Sim","Não")</f>
        <v>Não</v>
      </c>
      <c r="Y546" t="str">
        <f>IF(Tabela4[[#This Row],[Não liberado  para testes]]&gt;0,"Sim","Não")</f>
        <v>Não</v>
      </c>
      <c r="Z546" t="str">
        <f ca="1">IF(Tabela4[[#This Row],[Status]]="Keyuser - Pendente",NETWORKDAYS(Tabela4[[#This Row],[Dt Inicial]],TODAY()),"")</f>
        <v/>
      </c>
      <c r="AA546" t="b">
        <f>AND(Tabela4[[#This Row],[Status]]="Keyuser - Aguardando tarefa precedente",K545="Keyuser - Concluído ")</f>
        <v>0</v>
      </c>
    </row>
    <row r="547" spans="1:27" x14ac:dyDescent="0.25">
      <c r="A547" t="str">
        <f>"OUT-"&amp;IFERROR(MID(Tabela4[[#This Row],[Cenário]],SEARCH("(",Tabela4[[#This Row],[Cenário]])+1,SEARCH(")",Tabela4[[#This Row],[Cenário]])-SEARCH("(",Tabela4[[#This Row],[Cenário]])-1),"")&amp;"_"&amp;ROW()</f>
        <v>OUT-YRCO_547</v>
      </c>
      <c r="B547" t="s">
        <v>358</v>
      </c>
      <c r="C547" t="s">
        <v>674</v>
      </c>
      <c r="D547" t="s">
        <v>368</v>
      </c>
      <c r="E547">
        <v>4</v>
      </c>
      <c r="F547" t="s">
        <v>368</v>
      </c>
      <c r="G547" t="s">
        <v>377</v>
      </c>
      <c r="H547" s="13" t="s">
        <v>675</v>
      </c>
      <c r="I547" s="13"/>
      <c r="J547" s="13" t="s">
        <v>364</v>
      </c>
      <c r="K547" s="9" t="s">
        <v>271</v>
      </c>
      <c r="L547" s="78">
        <v>45957</v>
      </c>
      <c r="N547" s="78">
        <v>45957</v>
      </c>
      <c r="O547" s="31"/>
      <c r="P547" s="9"/>
      <c r="Q547" s="9">
        <f>COUNTIF(Tabela4[[#All],[Cenário]],Tabela4[[#This Row],[Cenário]])</f>
        <v>5</v>
      </c>
      <c r="R547">
        <f>COUNTIFS(Tabela4[[#All],[Cenário]],Tabela4[[#This Row],[Cenário]],Tabela4[[#All],[Status]],"Keyuser - Concluído ")</f>
        <v>5</v>
      </c>
      <c r="S547" t="str">
        <f>IF(Tabela4[[#This Row],[Tarefas por Cenário]]-Tabela4[[#This Row],[Tarefas Concluídas]]&gt;0,"Não","Sim")</f>
        <v>Sim</v>
      </c>
      <c r="T547">
        <f>COUNTIFS(Tabela4[[#All],[Cenário]],Tabela4[[#This Row],[Cenário]],Tabela4[[#All],[Status]],Tabela4[[#Headers],[Elo - Em correção ]])</f>
        <v>0</v>
      </c>
      <c r="U547">
        <f>COUNTIFS(Tabela4[[#All],[Cenário]],Tabela4[[#This Row],[Cenário]],Tabela4[[#All],[Status]],Tabela4[[#Headers],[Keyuser - Aguardando tarefa precedente]])</f>
        <v>0</v>
      </c>
      <c r="V547">
        <f>COUNTIFS(Tabela4[[#All],[Cenário]],Tabela4[[#This Row],[Cenário]],Tabela4[[#All],[Status]],Tabela4[[#Headers],[Não liberado  para testes]])</f>
        <v>0</v>
      </c>
      <c r="W547" t="str">
        <f>IF(Tabela4[[#This Row],[Elo - Em correção ]]&gt;0,"Sim","Não")</f>
        <v>Não</v>
      </c>
      <c r="X547" t="str">
        <f>IF(Tabela4[[#This Row],[Keyuser - Aguardando tarefa precedente]]&gt;0,"Sim","Não")</f>
        <v>Não</v>
      </c>
      <c r="Y547" t="str">
        <f>IF(Tabela4[[#This Row],[Não liberado  para testes]]&gt;0,"Sim","Não")</f>
        <v>Não</v>
      </c>
      <c r="Z547" t="str">
        <f ca="1">IF(Tabela4[[#This Row],[Status]]="Keyuser - Pendente",NETWORKDAYS(Tabela4[[#This Row],[Dt Inicial]],TODAY()),"")</f>
        <v/>
      </c>
      <c r="AA547" t="b">
        <f>AND(Tabela4[[#This Row],[Status]]="Keyuser - Aguardando tarefa precedente",K546="Keyuser - Concluído ")</f>
        <v>0</v>
      </c>
    </row>
    <row r="548" spans="1:27" x14ac:dyDescent="0.25">
      <c r="A548" t="str">
        <f>"OUT-"&amp;IFERROR(MID(Tabela4[[#This Row],[Cenário]],SEARCH("(",Tabela4[[#This Row],[Cenário]])+1,SEARCH(")",Tabela4[[#This Row],[Cenário]])-SEARCH("(",Tabela4[[#This Row],[Cenário]])-1),"")&amp;"_"&amp;ROW()</f>
        <v>OUT-YRCO_548</v>
      </c>
      <c r="B548" t="s">
        <v>358</v>
      </c>
      <c r="C548" t="s">
        <v>674</v>
      </c>
      <c r="D548" t="s">
        <v>434</v>
      </c>
      <c r="E548">
        <v>5</v>
      </c>
      <c r="F548" t="s">
        <v>435</v>
      </c>
      <c r="G548" t="s">
        <v>287</v>
      </c>
      <c r="H548" s="13" t="s">
        <v>675</v>
      </c>
      <c r="I548" s="13"/>
      <c r="J548" s="13"/>
      <c r="K548" s="9" t="s">
        <v>271</v>
      </c>
      <c r="L548" s="78" t="s">
        <v>611</v>
      </c>
      <c r="N548" s="78">
        <v>45958</v>
      </c>
      <c r="O548" s="31"/>
      <c r="P548" s="9"/>
      <c r="Q548" s="9">
        <f>COUNTIF(Tabela4[[#All],[Cenário]],Tabela4[[#This Row],[Cenário]])</f>
        <v>5</v>
      </c>
      <c r="R548">
        <f>COUNTIFS(Tabela4[[#All],[Cenário]],Tabela4[[#This Row],[Cenário]],Tabela4[[#All],[Status]],"Keyuser - Concluído ")</f>
        <v>5</v>
      </c>
      <c r="S548" t="str">
        <f>IF(Tabela4[[#This Row],[Tarefas por Cenário]]-Tabela4[[#This Row],[Tarefas Concluídas]]&gt;0,"Não","Sim")</f>
        <v>Sim</v>
      </c>
      <c r="T548">
        <f>COUNTIFS(Tabela4[[#All],[Cenário]],Tabela4[[#This Row],[Cenário]],Tabela4[[#All],[Status]],Tabela4[[#Headers],[Elo - Em correção ]])</f>
        <v>0</v>
      </c>
      <c r="U548">
        <f>COUNTIFS(Tabela4[[#All],[Cenário]],Tabela4[[#This Row],[Cenário]],Tabela4[[#All],[Status]],Tabela4[[#Headers],[Keyuser - Aguardando tarefa precedente]])</f>
        <v>0</v>
      </c>
      <c r="V548">
        <f>COUNTIFS(Tabela4[[#All],[Cenário]],Tabela4[[#This Row],[Cenário]],Tabela4[[#All],[Status]],Tabela4[[#Headers],[Não liberado  para testes]])</f>
        <v>0</v>
      </c>
      <c r="W548" t="str">
        <f>IF(Tabela4[[#This Row],[Elo - Em correção ]]&gt;0,"Sim","Não")</f>
        <v>Não</v>
      </c>
      <c r="X548" t="str">
        <f>IF(Tabela4[[#This Row],[Keyuser - Aguardando tarefa precedente]]&gt;0,"Sim","Não")</f>
        <v>Não</v>
      </c>
      <c r="Y548" t="str">
        <f>IF(Tabela4[[#This Row],[Não liberado  para testes]]&gt;0,"Sim","Não")</f>
        <v>Não</v>
      </c>
      <c r="Z548" t="str">
        <f ca="1">IF(Tabela4[[#This Row],[Status]]="Keyuser - Pendente",NETWORKDAYS(Tabela4[[#This Row],[Dt Inicial]],TODAY()),"")</f>
        <v/>
      </c>
      <c r="AA548" t="b">
        <f>AND(Tabela4[[#This Row],[Status]]="Keyuser - Aguardando tarefa precedente",K547="Keyuser - Concluído ")</f>
        <v>0</v>
      </c>
    </row>
    <row r="549" spans="1:27" x14ac:dyDescent="0.25">
      <c r="A549" t="str">
        <f>"OUT-"&amp;IFERROR(MID(Tabela4[[#This Row],[Cenário]],SEARCH("(",Tabela4[[#This Row],[Cenário]])+1,SEARCH(")",Tabela4[[#This Row],[Cenário]])-SEARCH("(",Tabela4[[#This Row],[Cenário]])-1),"")&amp;"_"&amp;ROW()</f>
        <v>OUT-Y601_549</v>
      </c>
      <c r="B549" t="s">
        <v>358</v>
      </c>
      <c r="C549" t="s">
        <v>676</v>
      </c>
      <c r="D549" s="5" t="s">
        <v>360</v>
      </c>
      <c r="E549">
        <v>1</v>
      </c>
      <c r="F549" t="s">
        <v>360</v>
      </c>
      <c r="G549" t="s">
        <v>643</v>
      </c>
      <c r="H549" s="13">
        <v>15603678</v>
      </c>
      <c r="I549" s="15" t="s">
        <v>677</v>
      </c>
      <c r="J549" s="15" t="s">
        <v>364</v>
      </c>
      <c r="K549" s="9" t="s">
        <v>271</v>
      </c>
      <c r="L549" s="78">
        <v>45966</v>
      </c>
      <c r="N549" s="78">
        <v>45966</v>
      </c>
      <c r="O549" s="31"/>
      <c r="P549" s="9"/>
      <c r="Q549" s="9">
        <f>COUNTIF(Tabela4[[#All],[Cenário]],Tabela4[[#This Row],[Cenário]])</f>
        <v>8</v>
      </c>
      <c r="R549">
        <f>COUNTIFS(Tabela4[[#All],[Cenário]],Tabela4[[#This Row],[Cenário]],Tabela4[[#All],[Status]],"Keyuser - Concluído ")</f>
        <v>7</v>
      </c>
      <c r="S549" t="str">
        <f>IF(Tabela4[[#This Row],[Tarefas por Cenário]]-Tabela4[[#This Row],[Tarefas Concluídas]]&gt;0,"Não","Sim")</f>
        <v>Não</v>
      </c>
      <c r="T549">
        <f>COUNTIFS(Tabela4[[#All],[Cenário]],Tabela4[[#This Row],[Cenário]],Tabela4[[#All],[Status]],Tabela4[[#Headers],[Elo - Em correção ]])</f>
        <v>0</v>
      </c>
      <c r="U549">
        <f>COUNTIFS(Tabela4[[#All],[Cenário]],Tabela4[[#This Row],[Cenário]],Tabela4[[#All],[Status]],Tabela4[[#Headers],[Keyuser - Aguardando tarefa precedente]])</f>
        <v>0</v>
      </c>
      <c r="V549">
        <f>COUNTIFS(Tabela4[[#All],[Cenário]],Tabela4[[#This Row],[Cenário]],Tabela4[[#All],[Status]],Tabela4[[#Headers],[Não liberado  para testes]])</f>
        <v>1</v>
      </c>
      <c r="W549" t="str">
        <f>IF(Tabela4[[#This Row],[Elo - Em correção ]]&gt;0,"Sim","Não")</f>
        <v>Não</v>
      </c>
      <c r="X549" t="str">
        <f>IF(Tabela4[[#This Row],[Keyuser - Aguardando tarefa precedente]]&gt;0,"Sim","Não")</f>
        <v>Não</v>
      </c>
      <c r="Y549" t="str">
        <f>IF(Tabela4[[#This Row],[Não liberado  para testes]]&gt;0,"Sim","Não")</f>
        <v>Sim</v>
      </c>
      <c r="Z549" t="str">
        <f ca="1">IF(Tabela4[[#This Row],[Status]]="Keyuser - Pendente",NETWORKDAYS(Tabela4[[#This Row],[Dt Inicial]],TODAY()),"")</f>
        <v/>
      </c>
      <c r="AA549" t="b">
        <f>AND(Tabela4[[#This Row],[Status]]="Keyuser - Aguardando tarefa precedente",K548="Keyuser - Concluído ")</f>
        <v>0</v>
      </c>
    </row>
    <row r="550" spans="1:27" x14ac:dyDescent="0.25">
      <c r="A550" t="str">
        <f>"OUT-"&amp;IFERROR(MID(Tabela4[[#This Row],[Cenário]],SEARCH("(",Tabela4[[#This Row],[Cenário]])+1,SEARCH(")",Tabela4[[#This Row],[Cenário]])-SEARCH("(",Tabela4[[#This Row],[Cenário]])-1),"")&amp;"_"&amp;ROW()</f>
        <v>OUT-Y601_550</v>
      </c>
      <c r="B550" t="s">
        <v>358</v>
      </c>
      <c r="C550" t="s">
        <v>676</v>
      </c>
      <c r="D550" s="5" t="s">
        <v>365</v>
      </c>
      <c r="E550">
        <v>2</v>
      </c>
      <c r="F550" t="s">
        <v>365</v>
      </c>
      <c r="G550" t="s">
        <v>310</v>
      </c>
      <c r="H550" s="13">
        <v>15603678</v>
      </c>
      <c r="I550" s="15" t="s">
        <v>677</v>
      </c>
      <c r="J550" s="15" t="s">
        <v>364</v>
      </c>
      <c r="K550" s="9" t="s">
        <v>271</v>
      </c>
      <c r="L550" s="78">
        <v>45966</v>
      </c>
      <c r="N550" s="78">
        <v>45966</v>
      </c>
      <c r="O550" s="31"/>
      <c r="P550" s="9"/>
      <c r="Q550" s="9">
        <f>COUNTIF(Tabela4[[#All],[Cenário]],Tabela4[[#This Row],[Cenário]])</f>
        <v>8</v>
      </c>
      <c r="R550">
        <f>COUNTIFS(Tabela4[[#All],[Cenário]],Tabela4[[#This Row],[Cenário]],Tabela4[[#All],[Status]],"Keyuser - Concluído ")</f>
        <v>7</v>
      </c>
      <c r="S550" t="str">
        <f>IF(Tabela4[[#This Row],[Tarefas por Cenário]]-Tabela4[[#This Row],[Tarefas Concluídas]]&gt;0,"Não","Sim")</f>
        <v>Não</v>
      </c>
      <c r="T550">
        <f>COUNTIFS(Tabela4[[#All],[Cenário]],Tabela4[[#This Row],[Cenário]],Tabela4[[#All],[Status]],Tabela4[[#Headers],[Elo - Em correção ]])</f>
        <v>0</v>
      </c>
      <c r="U550">
        <f>COUNTIFS(Tabela4[[#All],[Cenário]],Tabela4[[#This Row],[Cenário]],Tabela4[[#All],[Status]],Tabela4[[#Headers],[Keyuser - Aguardando tarefa precedente]])</f>
        <v>0</v>
      </c>
      <c r="V550">
        <f>COUNTIFS(Tabela4[[#All],[Cenário]],Tabela4[[#This Row],[Cenário]],Tabela4[[#All],[Status]],Tabela4[[#Headers],[Não liberado  para testes]])</f>
        <v>1</v>
      </c>
      <c r="W550" t="str">
        <f>IF(Tabela4[[#This Row],[Elo - Em correção ]]&gt;0,"Sim","Não")</f>
        <v>Não</v>
      </c>
      <c r="X550" t="str">
        <f>IF(Tabela4[[#This Row],[Keyuser - Aguardando tarefa precedente]]&gt;0,"Sim","Não")</f>
        <v>Não</v>
      </c>
      <c r="Y550" t="str">
        <f>IF(Tabela4[[#This Row],[Não liberado  para testes]]&gt;0,"Sim","Não")</f>
        <v>Sim</v>
      </c>
      <c r="Z550" t="str">
        <f ca="1">IF(Tabela4[[#This Row],[Status]]="Keyuser - Pendente",NETWORKDAYS(Tabela4[[#This Row],[Dt Inicial]],TODAY()),"")</f>
        <v/>
      </c>
      <c r="AA550" t="b">
        <f>AND(Tabela4[[#This Row],[Status]]="Keyuser - Aguardando tarefa precedente",K549="Keyuser - Concluído ")</f>
        <v>0</v>
      </c>
    </row>
    <row r="551" spans="1:27" x14ac:dyDescent="0.25">
      <c r="A551" t="str">
        <f>"OUT-"&amp;IFERROR(MID(Tabela4[[#This Row],[Cenário]],SEARCH("(",Tabela4[[#This Row],[Cenário]])+1,SEARCH(")",Tabela4[[#This Row],[Cenário]])-SEARCH("(",Tabela4[[#This Row],[Cenário]])-1),"")&amp;"_"&amp;ROW()</f>
        <v>OUT-Y601_551</v>
      </c>
      <c r="B551" t="s">
        <v>358</v>
      </c>
      <c r="C551" t="s">
        <v>676</v>
      </c>
      <c r="D551" s="5" t="s">
        <v>366</v>
      </c>
      <c r="E551">
        <v>3</v>
      </c>
      <c r="F551" t="s">
        <v>366</v>
      </c>
      <c r="G551" t="s">
        <v>367</v>
      </c>
      <c r="H551" s="13">
        <v>15603678</v>
      </c>
      <c r="I551" s="15" t="s">
        <v>677</v>
      </c>
      <c r="J551" s="15" t="s">
        <v>364</v>
      </c>
      <c r="K551" s="9" t="s">
        <v>271</v>
      </c>
      <c r="L551" s="78">
        <v>45967</v>
      </c>
      <c r="N551" s="78">
        <v>45967</v>
      </c>
      <c r="O551" s="31"/>
      <c r="P551" s="9"/>
      <c r="Q551" s="9">
        <f>COUNTIF(Tabela4[[#All],[Cenário]],Tabela4[[#This Row],[Cenário]])</f>
        <v>8</v>
      </c>
      <c r="R551">
        <f>COUNTIFS(Tabela4[[#All],[Cenário]],Tabela4[[#This Row],[Cenário]],Tabela4[[#All],[Status]],"Keyuser - Concluído ")</f>
        <v>7</v>
      </c>
      <c r="S551" t="str">
        <f>IF(Tabela4[[#This Row],[Tarefas por Cenário]]-Tabela4[[#This Row],[Tarefas Concluídas]]&gt;0,"Não","Sim")</f>
        <v>Não</v>
      </c>
      <c r="T551">
        <f>COUNTIFS(Tabela4[[#All],[Cenário]],Tabela4[[#This Row],[Cenário]],Tabela4[[#All],[Status]],Tabela4[[#Headers],[Elo - Em correção ]])</f>
        <v>0</v>
      </c>
      <c r="U551">
        <f>COUNTIFS(Tabela4[[#All],[Cenário]],Tabela4[[#This Row],[Cenário]],Tabela4[[#All],[Status]],Tabela4[[#Headers],[Keyuser - Aguardando tarefa precedente]])</f>
        <v>0</v>
      </c>
      <c r="V551">
        <f>COUNTIFS(Tabela4[[#All],[Cenário]],Tabela4[[#This Row],[Cenário]],Tabela4[[#All],[Status]],Tabela4[[#Headers],[Não liberado  para testes]])</f>
        <v>1</v>
      </c>
      <c r="W551" t="str">
        <f>IF(Tabela4[[#This Row],[Elo - Em correção ]]&gt;0,"Sim","Não")</f>
        <v>Não</v>
      </c>
      <c r="X551" t="str">
        <f>IF(Tabela4[[#This Row],[Keyuser - Aguardando tarefa precedente]]&gt;0,"Sim","Não")</f>
        <v>Não</v>
      </c>
      <c r="Y551" t="str">
        <f>IF(Tabela4[[#This Row],[Não liberado  para testes]]&gt;0,"Sim","Não")</f>
        <v>Sim</v>
      </c>
      <c r="Z551" t="str">
        <f ca="1">IF(Tabela4[[#This Row],[Status]]="Keyuser - Pendente",NETWORKDAYS(Tabela4[[#This Row],[Dt Inicial]],TODAY()),"")</f>
        <v/>
      </c>
      <c r="AA551" t="b">
        <f>AND(Tabela4[[#This Row],[Status]]="Keyuser - Aguardando tarefa precedente",K550="Keyuser - Concluído ")</f>
        <v>0</v>
      </c>
    </row>
    <row r="552" spans="1:27" x14ac:dyDescent="0.25">
      <c r="A552" t="str">
        <f>"OUT-"&amp;IFERROR(MID(Tabela4[[#This Row],[Cenário]],SEARCH("(",Tabela4[[#This Row],[Cenário]])+1,SEARCH(")",Tabela4[[#This Row],[Cenário]])-SEARCH("(",Tabela4[[#This Row],[Cenário]])-1),"")&amp;"_"&amp;ROW()</f>
        <v>OUT-Y601_552</v>
      </c>
      <c r="B552" t="s">
        <v>358</v>
      </c>
      <c r="C552" t="s">
        <v>676</v>
      </c>
      <c r="D552" s="5" t="s">
        <v>368</v>
      </c>
      <c r="E552">
        <v>4</v>
      </c>
      <c r="F552" t="s">
        <v>368</v>
      </c>
      <c r="G552" t="s">
        <v>377</v>
      </c>
      <c r="H552" s="13" t="s">
        <v>678</v>
      </c>
      <c r="I552" s="13"/>
      <c r="J552" s="13"/>
      <c r="K552" s="9" t="s">
        <v>271</v>
      </c>
      <c r="L552" s="78">
        <v>45967</v>
      </c>
      <c r="N552" s="78">
        <v>45967</v>
      </c>
      <c r="O552" s="31" t="s">
        <v>679</v>
      </c>
      <c r="P552" s="9"/>
      <c r="Q552" s="9">
        <f>COUNTIF(Tabela4[[#All],[Cenário]],Tabela4[[#This Row],[Cenário]])</f>
        <v>8</v>
      </c>
      <c r="R552">
        <f>COUNTIFS(Tabela4[[#All],[Cenário]],Tabela4[[#This Row],[Cenário]],Tabela4[[#All],[Status]],"Keyuser - Concluído ")</f>
        <v>7</v>
      </c>
      <c r="S552" t="str">
        <f>IF(Tabela4[[#This Row],[Tarefas por Cenário]]-Tabela4[[#This Row],[Tarefas Concluídas]]&gt;0,"Não","Sim")</f>
        <v>Não</v>
      </c>
      <c r="T552">
        <f>COUNTIFS(Tabela4[[#All],[Cenário]],Tabela4[[#This Row],[Cenário]],Tabela4[[#All],[Status]],Tabela4[[#Headers],[Elo - Em correção ]])</f>
        <v>0</v>
      </c>
      <c r="U552">
        <f>COUNTIFS(Tabela4[[#All],[Cenário]],Tabela4[[#This Row],[Cenário]],Tabela4[[#All],[Status]],Tabela4[[#Headers],[Keyuser - Aguardando tarefa precedente]])</f>
        <v>0</v>
      </c>
      <c r="V552">
        <f>COUNTIFS(Tabela4[[#All],[Cenário]],Tabela4[[#This Row],[Cenário]],Tabela4[[#All],[Status]],Tabela4[[#Headers],[Não liberado  para testes]])</f>
        <v>1</v>
      </c>
      <c r="W552" t="str">
        <f>IF(Tabela4[[#This Row],[Elo - Em correção ]]&gt;0,"Sim","Não")</f>
        <v>Não</v>
      </c>
      <c r="X552" t="str">
        <f>IF(Tabela4[[#This Row],[Keyuser - Aguardando tarefa precedente]]&gt;0,"Sim","Não")</f>
        <v>Não</v>
      </c>
      <c r="Y552" t="str">
        <f>IF(Tabela4[[#This Row],[Não liberado  para testes]]&gt;0,"Sim","Não")</f>
        <v>Sim</v>
      </c>
      <c r="Z552" t="str">
        <f ca="1">IF(Tabela4[[#This Row],[Status]]="Keyuser - Pendente",NETWORKDAYS(Tabela4[[#This Row],[Dt Inicial]],TODAY()),"")</f>
        <v/>
      </c>
      <c r="AA552" t="b">
        <f>AND(Tabela4[[#This Row],[Status]]="Keyuser - Aguardando tarefa precedente",K551="Keyuser - Concluído ")</f>
        <v>0</v>
      </c>
    </row>
    <row r="553" spans="1:27" x14ac:dyDescent="0.25">
      <c r="A553" t="str">
        <f>"OUT-"&amp;IFERROR(MID(Tabela4[[#This Row],[Cenário]],SEARCH("(",Tabela4[[#This Row],[Cenário]])+1,SEARCH(")",Tabela4[[#This Row],[Cenário]])-SEARCH("(",Tabela4[[#This Row],[Cenário]])-1),"")&amp;"_"&amp;ROW()</f>
        <v>OUT-Y601_553</v>
      </c>
      <c r="B553" t="s">
        <v>358</v>
      </c>
      <c r="C553" t="s">
        <v>676</v>
      </c>
      <c r="D553" s="5" t="s">
        <v>371</v>
      </c>
      <c r="E553">
        <v>5</v>
      </c>
      <c r="F553" t="s">
        <v>435</v>
      </c>
      <c r="G553" t="s">
        <v>287</v>
      </c>
      <c r="H553" s="13" t="s">
        <v>678</v>
      </c>
      <c r="I553" s="13"/>
      <c r="J553" s="13"/>
      <c r="K553" s="9" t="s">
        <v>271</v>
      </c>
      <c r="L553" s="78">
        <v>45968</v>
      </c>
      <c r="N553" s="78">
        <v>45968</v>
      </c>
      <c r="O553" s="31"/>
      <c r="P553" s="9"/>
      <c r="Q553" s="9">
        <f>COUNTIF(Tabela4[[#All],[Cenário]],Tabela4[[#This Row],[Cenário]])</f>
        <v>8</v>
      </c>
      <c r="R553">
        <f>COUNTIFS(Tabela4[[#All],[Cenário]],Tabela4[[#This Row],[Cenário]],Tabela4[[#All],[Status]],"Keyuser - Concluído ")</f>
        <v>7</v>
      </c>
      <c r="S553" t="str">
        <f>IF(Tabela4[[#This Row],[Tarefas por Cenário]]-Tabela4[[#This Row],[Tarefas Concluídas]]&gt;0,"Não","Sim")</f>
        <v>Não</v>
      </c>
      <c r="T553">
        <f>COUNTIFS(Tabela4[[#All],[Cenário]],Tabela4[[#This Row],[Cenário]],Tabela4[[#All],[Status]],Tabela4[[#Headers],[Elo - Em correção ]])</f>
        <v>0</v>
      </c>
      <c r="U553">
        <f>COUNTIFS(Tabela4[[#All],[Cenário]],Tabela4[[#This Row],[Cenário]],Tabela4[[#All],[Status]],Tabela4[[#Headers],[Keyuser - Aguardando tarefa precedente]])</f>
        <v>0</v>
      </c>
      <c r="V553">
        <f>COUNTIFS(Tabela4[[#All],[Cenário]],Tabela4[[#This Row],[Cenário]],Tabela4[[#All],[Status]],Tabela4[[#Headers],[Não liberado  para testes]])</f>
        <v>1</v>
      </c>
      <c r="W553" t="str">
        <f>IF(Tabela4[[#This Row],[Elo - Em correção ]]&gt;0,"Sim","Não")</f>
        <v>Não</v>
      </c>
      <c r="X553" t="str">
        <f>IF(Tabela4[[#This Row],[Keyuser - Aguardando tarefa precedente]]&gt;0,"Sim","Não")</f>
        <v>Não</v>
      </c>
      <c r="Y553" t="str">
        <f>IF(Tabela4[[#This Row],[Não liberado  para testes]]&gt;0,"Sim","Não")</f>
        <v>Sim</v>
      </c>
      <c r="Z553" t="str">
        <f ca="1">IF(Tabela4[[#This Row],[Status]]="Keyuser - Pendente",NETWORKDAYS(Tabela4[[#This Row],[Dt Inicial]],TODAY()),"")</f>
        <v/>
      </c>
      <c r="AA553" t="b">
        <f>AND(Tabela4[[#This Row],[Status]]="Keyuser - Aguardando tarefa precedente",K552="Keyuser - Concluído ")</f>
        <v>0</v>
      </c>
    </row>
    <row r="554" spans="1:27" x14ac:dyDescent="0.25">
      <c r="A554" t="str">
        <f>"OUT-"&amp;IFERROR(MID(Tabela4[[#This Row],[Cenário]],SEARCH("(",Tabela4[[#This Row],[Cenário]])+1,SEARCH(")",Tabela4[[#This Row],[Cenário]])-SEARCH("(",Tabela4[[#This Row],[Cenário]])-1),"")&amp;"_"&amp;ROW()</f>
        <v>OUT-Y601_554</v>
      </c>
      <c r="B554" t="s">
        <v>358</v>
      </c>
      <c r="C554" t="s">
        <v>676</v>
      </c>
      <c r="D554" s="5" t="s">
        <v>373</v>
      </c>
      <c r="E554">
        <v>6</v>
      </c>
      <c r="F554" t="s">
        <v>373</v>
      </c>
      <c r="G554" t="s">
        <v>283</v>
      </c>
      <c r="H554" s="13" t="s">
        <v>678</v>
      </c>
      <c r="I554" s="15"/>
      <c r="J554" s="15"/>
      <c r="K554" s="9" t="s">
        <v>271</v>
      </c>
      <c r="L554" s="78">
        <v>45941</v>
      </c>
      <c r="N554" s="78">
        <v>45941</v>
      </c>
      <c r="O554" s="31"/>
      <c r="P554" s="9"/>
      <c r="Q554" s="9">
        <f>COUNTIF(Tabela4[[#All],[Cenário]],Tabela4[[#This Row],[Cenário]])</f>
        <v>8</v>
      </c>
      <c r="R554">
        <f>COUNTIFS(Tabela4[[#All],[Cenário]],Tabela4[[#This Row],[Cenário]],Tabela4[[#All],[Status]],"Keyuser - Concluído ")</f>
        <v>7</v>
      </c>
      <c r="S554" t="str">
        <f>IF(Tabela4[[#This Row],[Tarefas por Cenário]]-Tabela4[[#This Row],[Tarefas Concluídas]]&gt;0,"Não","Sim")</f>
        <v>Não</v>
      </c>
      <c r="T554">
        <f>COUNTIFS(Tabela4[[#All],[Cenário]],Tabela4[[#This Row],[Cenário]],Tabela4[[#All],[Status]],Tabela4[[#Headers],[Elo - Em correção ]])</f>
        <v>0</v>
      </c>
      <c r="U554">
        <f>COUNTIFS(Tabela4[[#All],[Cenário]],Tabela4[[#This Row],[Cenário]],Tabela4[[#All],[Status]],Tabela4[[#Headers],[Keyuser - Aguardando tarefa precedente]])</f>
        <v>0</v>
      </c>
      <c r="V554">
        <f>COUNTIFS(Tabela4[[#All],[Cenário]],Tabela4[[#This Row],[Cenário]],Tabela4[[#All],[Status]],Tabela4[[#Headers],[Não liberado  para testes]])</f>
        <v>1</v>
      </c>
      <c r="W554" t="str">
        <f>IF(Tabela4[[#This Row],[Elo - Em correção ]]&gt;0,"Sim","Não")</f>
        <v>Não</v>
      </c>
      <c r="X554" t="str">
        <f>IF(Tabela4[[#This Row],[Keyuser - Aguardando tarefa precedente]]&gt;0,"Sim","Não")</f>
        <v>Não</v>
      </c>
      <c r="Y554" t="str">
        <f>IF(Tabela4[[#This Row],[Não liberado  para testes]]&gt;0,"Sim","Não")</f>
        <v>Sim</v>
      </c>
      <c r="Z554" t="str">
        <f ca="1">IF(Tabela4[[#This Row],[Status]]="Keyuser - Pendente",NETWORKDAYS(Tabela4[[#This Row],[Dt Inicial]],TODAY()),"")</f>
        <v/>
      </c>
      <c r="AA554" t="b">
        <f>AND(Tabela4[[#This Row],[Status]]="Keyuser - Aguardando tarefa precedente",K553="Keyuser - Concluído ")</f>
        <v>0</v>
      </c>
    </row>
    <row r="555" spans="1:27" x14ac:dyDescent="0.25">
      <c r="A555" t="str">
        <f>"OUT-"&amp;IFERROR(MID(Tabela4[[#This Row],[Cenário]],SEARCH("(",Tabela4[[#This Row],[Cenário]])+1,SEARCH(")",Tabela4[[#This Row],[Cenário]])-SEARCH("(",Tabela4[[#This Row],[Cenário]])-1),"")&amp;"_"&amp;ROW()</f>
        <v>OUT-Y601_555</v>
      </c>
      <c r="B555" t="s">
        <v>374</v>
      </c>
      <c r="C555" t="s">
        <v>676</v>
      </c>
      <c r="D555" s="5" t="s">
        <v>286</v>
      </c>
      <c r="E555">
        <v>7</v>
      </c>
      <c r="F555" t="s">
        <v>286</v>
      </c>
      <c r="G555" t="s">
        <v>287</v>
      </c>
      <c r="H555" s="13"/>
      <c r="I555" s="13"/>
      <c r="J555" s="13"/>
      <c r="K555" s="9" t="s">
        <v>262</v>
      </c>
      <c r="N555" s="78"/>
      <c r="O555" s="31"/>
      <c r="P555" s="9"/>
      <c r="Q555" s="9">
        <f>COUNTIF(Tabela4[[#All],[Cenário]],Tabela4[[#This Row],[Cenário]])</f>
        <v>8</v>
      </c>
      <c r="R555">
        <f>COUNTIFS(Tabela4[[#All],[Cenário]],Tabela4[[#This Row],[Cenário]],Tabela4[[#All],[Status]],"Keyuser - Concluído ")</f>
        <v>7</v>
      </c>
      <c r="S555" t="str">
        <f>IF(Tabela4[[#This Row],[Tarefas por Cenário]]-Tabela4[[#This Row],[Tarefas Concluídas]]&gt;0,"Não","Sim")</f>
        <v>Não</v>
      </c>
      <c r="T555">
        <f>COUNTIFS(Tabela4[[#All],[Cenário]],Tabela4[[#This Row],[Cenário]],Tabela4[[#All],[Status]],Tabela4[[#Headers],[Elo - Em correção ]])</f>
        <v>0</v>
      </c>
      <c r="U555">
        <f>COUNTIFS(Tabela4[[#All],[Cenário]],Tabela4[[#This Row],[Cenário]],Tabela4[[#All],[Status]],Tabela4[[#Headers],[Keyuser - Aguardando tarefa precedente]])</f>
        <v>0</v>
      </c>
      <c r="V555">
        <f>COUNTIFS(Tabela4[[#All],[Cenário]],Tabela4[[#This Row],[Cenário]],Tabela4[[#All],[Status]],Tabela4[[#Headers],[Não liberado  para testes]])</f>
        <v>1</v>
      </c>
      <c r="W555" t="str">
        <f>IF(Tabela4[[#This Row],[Elo - Em correção ]]&gt;0,"Sim","Não")</f>
        <v>Não</v>
      </c>
      <c r="X555" t="str">
        <f>IF(Tabela4[[#This Row],[Keyuser - Aguardando tarefa precedente]]&gt;0,"Sim","Não")</f>
        <v>Não</v>
      </c>
      <c r="Y555" t="str">
        <f>IF(Tabela4[[#This Row],[Não liberado  para testes]]&gt;0,"Sim","Não")</f>
        <v>Sim</v>
      </c>
      <c r="Z555" t="str">
        <f ca="1">IF(Tabela4[[#This Row],[Status]]="Keyuser - Pendente",NETWORKDAYS(Tabela4[[#This Row],[Dt Inicial]],TODAY()),"")</f>
        <v/>
      </c>
      <c r="AA555" t="b">
        <f>AND(Tabela4[[#This Row],[Status]]="Keyuser - Aguardando tarefa precedente",K554="Keyuser - Concluído ")</f>
        <v>0</v>
      </c>
    </row>
    <row r="556" spans="1:27" x14ac:dyDescent="0.25">
      <c r="A556" t="str">
        <f>"OUT-"&amp;IFERROR(MID(Tabela4[[#This Row],[Cenário]],SEARCH("(",Tabela4[[#This Row],[Cenário]])+1,SEARCH(")",Tabela4[[#This Row],[Cenário]])-SEARCH("(",Tabela4[[#This Row],[Cenário]])-1),"")&amp;"_"&amp;ROW()</f>
        <v>OUT-Y601_556</v>
      </c>
      <c r="B556" t="s">
        <v>358</v>
      </c>
      <c r="C556" t="s">
        <v>676</v>
      </c>
      <c r="D556" s="5" t="s">
        <v>375</v>
      </c>
      <c r="E556">
        <v>8</v>
      </c>
      <c r="F556" t="s">
        <v>375</v>
      </c>
      <c r="G556" t="s">
        <v>367</v>
      </c>
      <c r="H556" s="13">
        <v>15603678</v>
      </c>
      <c r="I556" s="35" t="s">
        <v>677</v>
      </c>
      <c r="J556" s="13"/>
      <c r="K556" s="9" t="s">
        <v>271</v>
      </c>
      <c r="L556" s="78">
        <v>45973</v>
      </c>
      <c r="N556" s="78">
        <v>45973</v>
      </c>
      <c r="O556" s="31"/>
      <c r="P556" s="9"/>
      <c r="Q556" s="9">
        <f>COUNTIF(Tabela4[[#All],[Cenário]],Tabela4[[#This Row],[Cenário]])</f>
        <v>8</v>
      </c>
      <c r="R556">
        <f>COUNTIFS(Tabela4[[#All],[Cenário]],Tabela4[[#This Row],[Cenário]],Tabela4[[#All],[Status]],"Keyuser - Concluído ")</f>
        <v>7</v>
      </c>
      <c r="S556" t="str">
        <f>IF(Tabela4[[#This Row],[Tarefas por Cenário]]-Tabela4[[#This Row],[Tarefas Concluídas]]&gt;0,"Não","Sim")</f>
        <v>Não</v>
      </c>
      <c r="T556">
        <f>COUNTIFS(Tabela4[[#All],[Cenário]],Tabela4[[#This Row],[Cenário]],Tabela4[[#All],[Status]],Tabela4[[#Headers],[Elo - Em correção ]])</f>
        <v>0</v>
      </c>
      <c r="U556">
        <f>COUNTIFS(Tabela4[[#All],[Cenário]],Tabela4[[#This Row],[Cenário]],Tabela4[[#All],[Status]],Tabela4[[#Headers],[Keyuser - Aguardando tarefa precedente]])</f>
        <v>0</v>
      </c>
      <c r="V556">
        <f>COUNTIFS(Tabela4[[#All],[Cenário]],Tabela4[[#This Row],[Cenário]],Tabela4[[#All],[Status]],Tabela4[[#Headers],[Não liberado  para testes]])</f>
        <v>1</v>
      </c>
      <c r="W556" t="str">
        <f>IF(Tabela4[[#This Row],[Elo - Em correção ]]&gt;0,"Sim","Não")</f>
        <v>Não</v>
      </c>
      <c r="X556" t="str">
        <f>IF(Tabela4[[#This Row],[Keyuser - Aguardando tarefa precedente]]&gt;0,"Sim","Não")</f>
        <v>Não</v>
      </c>
      <c r="Y556" t="str">
        <f>IF(Tabela4[[#This Row],[Não liberado  para testes]]&gt;0,"Sim","Não")</f>
        <v>Sim</v>
      </c>
      <c r="Z556" t="str">
        <f ca="1">IF(Tabela4[[#This Row],[Status]]="Keyuser - Pendente",NETWORKDAYS(Tabela4[[#This Row],[Dt Inicial]],TODAY()),"")</f>
        <v/>
      </c>
      <c r="AA556" t="b">
        <f>AND(Tabela4[[#This Row],[Status]]="Keyuser - Aguardando tarefa precedente",K555="Keyuser - Concluído ")</f>
        <v>0</v>
      </c>
    </row>
    <row r="557" spans="1:27" x14ac:dyDescent="0.25">
      <c r="A557" t="str">
        <f>"OUT-"&amp;IFERROR(MID(Tabela4[[#This Row],[Cenário]],SEARCH("(",Tabela4[[#This Row],[Cenário]])+1,SEARCH(")",Tabela4[[#This Row],[Cenário]])-SEARCH("(",Tabela4[[#This Row],[Cenário]])-1),"")&amp;"_"&amp;ROW()</f>
        <v>OUT-Y602_557</v>
      </c>
      <c r="B557" t="s">
        <v>358</v>
      </c>
      <c r="C557" t="s">
        <v>680</v>
      </c>
      <c r="D557" s="5" t="s">
        <v>360</v>
      </c>
      <c r="E557">
        <v>1</v>
      </c>
      <c r="F557" t="s">
        <v>360</v>
      </c>
      <c r="G557" t="s">
        <v>643</v>
      </c>
      <c r="H557" s="13">
        <v>15603635</v>
      </c>
      <c r="I557" s="13" t="s">
        <v>681</v>
      </c>
      <c r="J557" s="35" t="s">
        <v>364</v>
      </c>
      <c r="K557" s="9" t="s">
        <v>271</v>
      </c>
      <c r="L557" s="78">
        <v>45952</v>
      </c>
      <c r="N557" s="78">
        <v>45952</v>
      </c>
      <c r="O557" s="31"/>
      <c r="P557" s="9"/>
      <c r="Q557" s="9">
        <f>COUNTIF(Tabela4[[#All],[Cenário]],Tabela4[[#This Row],[Cenário]])</f>
        <v>8</v>
      </c>
      <c r="R557">
        <f>COUNTIFS(Tabela4[[#All],[Cenário]],Tabela4[[#This Row],[Cenário]],Tabela4[[#All],[Status]],"Keyuser - Concluído ")</f>
        <v>7</v>
      </c>
      <c r="S557" t="str">
        <f>IF(Tabela4[[#This Row],[Tarefas por Cenário]]-Tabela4[[#This Row],[Tarefas Concluídas]]&gt;0,"Não","Sim")</f>
        <v>Não</v>
      </c>
      <c r="T557">
        <f>COUNTIFS(Tabela4[[#All],[Cenário]],Tabela4[[#This Row],[Cenário]],Tabela4[[#All],[Status]],Tabela4[[#Headers],[Elo - Em correção ]])</f>
        <v>0</v>
      </c>
      <c r="U557">
        <f>COUNTIFS(Tabela4[[#All],[Cenário]],Tabela4[[#This Row],[Cenário]],Tabela4[[#All],[Status]],Tabela4[[#Headers],[Keyuser - Aguardando tarefa precedente]])</f>
        <v>0</v>
      </c>
      <c r="V557">
        <f>COUNTIFS(Tabela4[[#All],[Cenário]],Tabela4[[#This Row],[Cenário]],Tabela4[[#All],[Status]],Tabela4[[#Headers],[Não liberado  para testes]])</f>
        <v>1</v>
      </c>
      <c r="W557" t="str">
        <f>IF(Tabela4[[#This Row],[Elo - Em correção ]]&gt;0,"Sim","Não")</f>
        <v>Não</v>
      </c>
      <c r="X557" t="str">
        <f>IF(Tabela4[[#This Row],[Keyuser - Aguardando tarefa precedente]]&gt;0,"Sim","Não")</f>
        <v>Não</v>
      </c>
      <c r="Y557" t="str">
        <f>IF(Tabela4[[#This Row],[Não liberado  para testes]]&gt;0,"Sim","Não")</f>
        <v>Sim</v>
      </c>
      <c r="Z557" t="str">
        <f ca="1">IF(Tabela4[[#This Row],[Status]]="Keyuser - Pendente",NETWORKDAYS(Tabela4[[#This Row],[Dt Inicial]],TODAY()),"")</f>
        <v/>
      </c>
      <c r="AA557" t="b">
        <f>AND(Tabela4[[#This Row],[Status]]="Keyuser - Aguardando tarefa precedente",K556="Keyuser - Concluído ")</f>
        <v>0</v>
      </c>
    </row>
    <row r="558" spans="1:27" x14ac:dyDescent="0.25">
      <c r="A558" t="str">
        <f>"OUT-"&amp;IFERROR(MID(Tabela4[[#This Row],[Cenário]],SEARCH("(",Tabela4[[#This Row],[Cenário]])+1,SEARCH(")",Tabela4[[#This Row],[Cenário]])-SEARCH("(",Tabela4[[#This Row],[Cenário]])-1),"")&amp;"_"&amp;ROW()</f>
        <v>OUT-Y602_558</v>
      </c>
      <c r="B558" t="s">
        <v>358</v>
      </c>
      <c r="C558" t="s">
        <v>680</v>
      </c>
      <c r="D558" s="5" t="s">
        <v>365</v>
      </c>
      <c r="E558">
        <v>2</v>
      </c>
      <c r="F558" t="s">
        <v>365</v>
      </c>
      <c r="G558" t="s">
        <v>310</v>
      </c>
      <c r="H558" s="13">
        <v>15603635</v>
      </c>
      <c r="I558" s="13" t="s">
        <v>681</v>
      </c>
      <c r="J558" s="35" t="s">
        <v>364</v>
      </c>
      <c r="K558" s="9" t="s">
        <v>271</v>
      </c>
      <c r="L558" s="78">
        <v>45952</v>
      </c>
      <c r="N558" s="78">
        <v>45952</v>
      </c>
      <c r="O558" s="31"/>
      <c r="P558" s="9"/>
      <c r="Q558" s="9">
        <f>COUNTIF(Tabela4[[#All],[Cenário]],Tabela4[[#This Row],[Cenário]])</f>
        <v>8</v>
      </c>
      <c r="R558">
        <f>COUNTIFS(Tabela4[[#All],[Cenário]],Tabela4[[#This Row],[Cenário]],Tabela4[[#All],[Status]],"Keyuser - Concluído ")</f>
        <v>7</v>
      </c>
      <c r="S558" t="str">
        <f>IF(Tabela4[[#This Row],[Tarefas por Cenário]]-Tabela4[[#This Row],[Tarefas Concluídas]]&gt;0,"Não","Sim")</f>
        <v>Não</v>
      </c>
      <c r="T558">
        <f>COUNTIFS(Tabela4[[#All],[Cenário]],Tabela4[[#This Row],[Cenário]],Tabela4[[#All],[Status]],Tabela4[[#Headers],[Elo - Em correção ]])</f>
        <v>0</v>
      </c>
      <c r="U558">
        <f>COUNTIFS(Tabela4[[#All],[Cenário]],Tabela4[[#This Row],[Cenário]],Tabela4[[#All],[Status]],Tabela4[[#Headers],[Keyuser - Aguardando tarefa precedente]])</f>
        <v>0</v>
      </c>
      <c r="V558">
        <f>COUNTIFS(Tabela4[[#All],[Cenário]],Tabela4[[#This Row],[Cenário]],Tabela4[[#All],[Status]],Tabela4[[#Headers],[Não liberado  para testes]])</f>
        <v>1</v>
      </c>
      <c r="W558" t="str">
        <f>IF(Tabela4[[#This Row],[Elo - Em correção ]]&gt;0,"Sim","Não")</f>
        <v>Não</v>
      </c>
      <c r="X558" t="str">
        <f>IF(Tabela4[[#This Row],[Keyuser - Aguardando tarefa precedente]]&gt;0,"Sim","Não")</f>
        <v>Não</v>
      </c>
      <c r="Y558" t="str">
        <f>IF(Tabela4[[#This Row],[Não liberado  para testes]]&gt;0,"Sim","Não")</f>
        <v>Sim</v>
      </c>
      <c r="Z558" t="str">
        <f ca="1">IF(Tabela4[[#This Row],[Status]]="Keyuser - Pendente",NETWORKDAYS(Tabela4[[#This Row],[Dt Inicial]],TODAY()),"")</f>
        <v/>
      </c>
      <c r="AA558" t="b">
        <f>AND(Tabela4[[#This Row],[Status]]="Keyuser - Aguardando tarefa precedente",K557="Keyuser - Concluído ")</f>
        <v>0</v>
      </c>
    </row>
    <row r="559" spans="1:27" x14ac:dyDescent="0.25">
      <c r="A559" t="str">
        <f>"OUT-"&amp;IFERROR(MID(Tabela4[[#This Row],[Cenário]],SEARCH("(",Tabela4[[#This Row],[Cenário]])+1,SEARCH(")",Tabela4[[#This Row],[Cenário]])-SEARCH("(",Tabela4[[#This Row],[Cenário]])-1),"")&amp;"_"&amp;ROW()</f>
        <v>OUT-Y602_559</v>
      </c>
      <c r="B559" t="s">
        <v>358</v>
      </c>
      <c r="C559" t="s">
        <v>680</v>
      </c>
      <c r="D559" s="5" t="s">
        <v>366</v>
      </c>
      <c r="E559">
        <v>3</v>
      </c>
      <c r="F559" t="s">
        <v>366</v>
      </c>
      <c r="G559" t="s">
        <v>367</v>
      </c>
      <c r="H559" s="13">
        <v>15603635</v>
      </c>
      <c r="I559" s="13" t="s">
        <v>681</v>
      </c>
      <c r="J559" s="35" t="s">
        <v>364</v>
      </c>
      <c r="K559" s="9" t="s">
        <v>271</v>
      </c>
      <c r="L559" s="78">
        <v>45952</v>
      </c>
      <c r="N559" s="78">
        <v>45952</v>
      </c>
      <c r="O559" s="31"/>
      <c r="P559" s="9"/>
      <c r="Q559" s="9">
        <f>COUNTIF(Tabela4[[#All],[Cenário]],Tabela4[[#This Row],[Cenário]])</f>
        <v>8</v>
      </c>
      <c r="R559">
        <f>COUNTIFS(Tabela4[[#All],[Cenário]],Tabela4[[#This Row],[Cenário]],Tabela4[[#All],[Status]],"Keyuser - Concluído ")</f>
        <v>7</v>
      </c>
      <c r="S559" t="str">
        <f>IF(Tabela4[[#This Row],[Tarefas por Cenário]]-Tabela4[[#This Row],[Tarefas Concluídas]]&gt;0,"Não","Sim")</f>
        <v>Não</v>
      </c>
      <c r="T559">
        <f>COUNTIFS(Tabela4[[#All],[Cenário]],Tabela4[[#This Row],[Cenário]],Tabela4[[#All],[Status]],Tabela4[[#Headers],[Elo - Em correção ]])</f>
        <v>0</v>
      </c>
      <c r="U559">
        <f>COUNTIFS(Tabela4[[#All],[Cenário]],Tabela4[[#This Row],[Cenário]],Tabela4[[#All],[Status]],Tabela4[[#Headers],[Keyuser - Aguardando tarefa precedente]])</f>
        <v>0</v>
      </c>
      <c r="V559">
        <f>COUNTIFS(Tabela4[[#All],[Cenário]],Tabela4[[#This Row],[Cenário]],Tabela4[[#All],[Status]],Tabela4[[#Headers],[Não liberado  para testes]])</f>
        <v>1</v>
      </c>
      <c r="W559" t="str">
        <f>IF(Tabela4[[#This Row],[Elo - Em correção ]]&gt;0,"Sim","Não")</f>
        <v>Não</v>
      </c>
      <c r="X559" t="str">
        <f>IF(Tabela4[[#This Row],[Keyuser - Aguardando tarefa precedente]]&gt;0,"Sim","Não")</f>
        <v>Não</v>
      </c>
      <c r="Y559" t="str">
        <f>IF(Tabela4[[#This Row],[Não liberado  para testes]]&gt;0,"Sim","Não")</f>
        <v>Sim</v>
      </c>
      <c r="Z559" t="str">
        <f ca="1">IF(Tabela4[[#This Row],[Status]]="Keyuser - Pendente",NETWORKDAYS(Tabela4[[#This Row],[Dt Inicial]],TODAY()),"")</f>
        <v/>
      </c>
      <c r="AA559" t="b">
        <f>AND(Tabela4[[#This Row],[Status]]="Keyuser - Aguardando tarefa precedente",K558="Keyuser - Concluído ")</f>
        <v>0</v>
      </c>
    </row>
    <row r="560" spans="1:27" x14ac:dyDescent="0.25">
      <c r="A560" t="str">
        <f>"OUT-"&amp;IFERROR(MID(Tabela4[[#This Row],[Cenário]],SEARCH("(",Tabela4[[#This Row],[Cenário]])+1,SEARCH(")",Tabela4[[#This Row],[Cenário]])-SEARCH("(",Tabela4[[#This Row],[Cenário]])-1),"")&amp;"_"&amp;ROW()</f>
        <v>OUT-Y602_560</v>
      </c>
      <c r="B560" t="s">
        <v>358</v>
      </c>
      <c r="C560" t="s">
        <v>680</v>
      </c>
      <c r="D560" s="5" t="s">
        <v>368</v>
      </c>
      <c r="E560">
        <v>4</v>
      </c>
      <c r="F560" t="s">
        <v>368</v>
      </c>
      <c r="G560" t="s">
        <v>377</v>
      </c>
      <c r="H560" s="15" t="s">
        <v>682</v>
      </c>
      <c r="I560" s="14"/>
      <c r="J560" s="14"/>
      <c r="K560" s="9" t="s">
        <v>271</v>
      </c>
      <c r="L560" s="78">
        <v>45952</v>
      </c>
      <c r="N560" s="78">
        <v>45952</v>
      </c>
      <c r="O560" s="31" t="s">
        <v>683</v>
      </c>
      <c r="P560" s="9"/>
      <c r="Q560" s="9">
        <f>COUNTIF(Tabela4[[#All],[Cenário]],Tabela4[[#This Row],[Cenário]])</f>
        <v>8</v>
      </c>
      <c r="R560">
        <f>COUNTIFS(Tabela4[[#All],[Cenário]],Tabela4[[#This Row],[Cenário]],Tabela4[[#All],[Status]],"Keyuser - Concluído ")</f>
        <v>7</v>
      </c>
      <c r="S560" t="str">
        <f>IF(Tabela4[[#This Row],[Tarefas por Cenário]]-Tabela4[[#This Row],[Tarefas Concluídas]]&gt;0,"Não","Sim")</f>
        <v>Não</v>
      </c>
      <c r="T560">
        <f>COUNTIFS(Tabela4[[#All],[Cenário]],Tabela4[[#This Row],[Cenário]],Tabela4[[#All],[Status]],Tabela4[[#Headers],[Elo - Em correção ]])</f>
        <v>0</v>
      </c>
      <c r="U560">
        <f>COUNTIFS(Tabela4[[#All],[Cenário]],Tabela4[[#This Row],[Cenário]],Tabela4[[#All],[Status]],Tabela4[[#Headers],[Keyuser - Aguardando tarefa precedente]])</f>
        <v>0</v>
      </c>
      <c r="V560">
        <f>COUNTIFS(Tabela4[[#All],[Cenário]],Tabela4[[#This Row],[Cenário]],Tabela4[[#All],[Status]],Tabela4[[#Headers],[Não liberado  para testes]])</f>
        <v>1</v>
      </c>
      <c r="W560" t="str">
        <f>IF(Tabela4[[#This Row],[Elo - Em correção ]]&gt;0,"Sim","Não")</f>
        <v>Não</v>
      </c>
      <c r="X560" t="str">
        <f>IF(Tabela4[[#This Row],[Keyuser - Aguardando tarefa precedente]]&gt;0,"Sim","Não")</f>
        <v>Não</v>
      </c>
      <c r="Y560" t="str">
        <f>IF(Tabela4[[#This Row],[Não liberado  para testes]]&gt;0,"Sim","Não")</f>
        <v>Sim</v>
      </c>
      <c r="Z560" t="str">
        <f ca="1">IF(Tabela4[[#This Row],[Status]]="Keyuser - Pendente",NETWORKDAYS(Tabela4[[#This Row],[Dt Inicial]],TODAY()),"")</f>
        <v/>
      </c>
      <c r="AA560" t="b">
        <f>AND(Tabela4[[#This Row],[Status]]="Keyuser - Aguardando tarefa precedente",K559="Keyuser - Concluído ")</f>
        <v>0</v>
      </c>
    </row>
    <row r="561" spans="1:27" x14ac:dyDescent="0.25">
      <c r="A561" t="str">
        <f>"OUT-"&amp;IFERROR(MID(Tabela4[[#This Row],[Cenário]],SEARCH("(",Tabela4[[#This Row],[Cenário]])+1,SEARCH(")",Tabela4[[#This Row],[Cenário]])-SEARCH("(",Tabela4[[#This Row],[Cenário]])-1),"")&amp;"_"&amp;ROW()</f>
        <v>OUT-Y602_561</v>
      </c>
      <c r="B561" t="s">
        <v>358</v>
      </c>
      <c r="C561" t="s">
        <v>680</v>
      </c>
      <c r="D561" s="5" t="s">
        <v>371</v>
      </c>
      <c r="E561">
        <v>5</v>
      </c>
      <c r="F561" t="s">
        <v>435</v>
      </c>
      <c r="G561" t="s">
        <v>287</v>
      </c>
      <c r="H561" s="35" t="s">
        <v>682</v>
      </c>
      <c r="I561" s="14"/>
      <c r="J561" s="14"/>
      <c r="K561" s="50" t="s">
        <v>271</v>
      </c>
      <c r="L561" s="78" t="s">
        <v>669</v>
      </c>
      <c r="N561" s="78">
        <v>45954</v>
      </c>
      <c r="O561" s="31"/>
      <c r="P561" s="9"/>
      <c r="Q561" s="9">
        <f>COUNTIF(Tabela4[[#All],[Cenário]],Tabela4[[#This Row],[Cenário]])</f>
        <v>8</v>
      </c>
      <c r="R561">
        <f>COUNTIFS(Tabela4[[#All],[Cenário]],Tabela4[[#This Row],[Cenário]],Tabela4[[#All],[Status]],"Keyuser - Concluído ")</f>
        <v>7</v>
      </c>
      <c r="S561" t="str">
        <f>IF(Tabela4[[#This Row],[Tarefas por Cenário]]-Tabela4[[#This Row],[Tarefas Concluídas]]&gt;0,"Não","Sim")</f>
        <v>Não</v>
      </c>
      <c r="T561">
        <f>COUNTIFS(Tabela4[[#All],[Cenário]],Tabela4[[#This Row],[Cenário]],Tabela4[[#All],[Status]],Tabela4[[#Headers],[Elo - Em correção ]])</f>
        <v>0</v>
      </c>
      <c r="U561">
        <f>COUNTIFS(Tabela4[[#All],[Cenário]],Tabela4[[#This Row],[Cenário]],Tabela4[[#All],[Status]],Tabela4[[#Headers],[Keyuser - Aguardando tarefa precedente]])</f>
        <v>0</v>
      </c>
      <c r="V561">
        <f>COUNTIFS(Tabela4[[#All],[Cenário]],Tabela4[[#This Row],[Cenário]],Tabela4[[#All],[Status]],Tabela4[[#Headers],[Não liberado  para testes]])</f>
        <v>1</v>
      </c>
      <c r="W561" t="str">
        <f>IF(Tabela4[[#This Row],[Elo - Em correção ]]&gt;0,"Sim","Não")</f>
        <v>Não</v>
      </c>
      <c r="X561" t="str">
        <f>IF(Tabela4[[#This Row],[Keyuser - Aguardando tarefa precedente]]&gt;0,"Sim","Não")</f>
        <v>Não</v>
      </c>
      <c r="Y561" t="str">
        <f>IF(Tabela4[[#This Row],[Não liberado  para testes]]&gt;0,"Sim","Não")</f>
        <v>Sim</v>
      </c>
      <c r="Z561" t="str">
        <f ca="1">IF(Tabela4[[#This Row],[Status]]="Keyuser - Pendente",NETWORKDAYS(Tabela4[[#This Row],[Dt Inicial]],TODAY()),"")</f>
        <v/>
      </c>
      <c r="AA561" t="b">
        <f>AND(Tabela4[[#This Row],[Status]]="Keyuser - Aguardando tarefa precedente",K560="Keyuser - Concluído ")</f>
        <v>0</v>
      </c>
    </row>
    <row r="562" spans="1:27" x14ac:dyDescent="0.25">
      <c r="A562" t="str">
        <f>"OUT-"&amp;IFERROR(MID(Tabela4[[#This Row],[Cenário]],SEARCH("(",Tabela4[[#This Row],[Cenário]])+1,SEARCH(")",Tabela4[[#This Row],[Cenário]])-SEARCH("(",Tabela4[[#This Row],[Cenário]])-1),"")&amp;"_"&amp;ROW()</f>
        <v>OUT-Y602_562</v>
      </c>
      <c r="B562" t="s">
        <v>358</v>
      </c>
      <c r="C562" t="s">
        <v>680</v>
      </c>
      <c r="D562" s="5" t="s">
        <v>373</v>
      </c>
      <c r="E562">
        <v>6</v>
      </c>
      <c r="F562" t="s">
        <v>373</v>
      </c>
      <c r="G562" t="s">
        <v>283</v>
      </c>
      <c r="H562" s="35" t="s">
        <v>682</v>
      </c>
      <c r="I562" s="13"/>
      <c r="J562" s="13"/>
      <c r="K562" s="9" t="s">
        <v>271</v>
      </c>
      <c r="L562" s="78" t="s">
        <v>617</v>
      </c>
      <c r="N562" s="78">
        <v>45957</v>
      </c>
      <c r="O562" s="31"/>
      <c r="P562" s="9"/>
      <c r="Q562" s="9">
        <f>COUNTIF(Tabela4[[#All],[Cenário]],Tabela4[[#This Row],[Cenário]])</f>
        <v>8</v>
      </c>
      <c r="R562">
        <f>COUNTIFS(Tabela4[[#All],[Cenário]],Tabela4[[#This Row],[Cenário]],Tabela4[[#All],[Status]],"Keyuser - Concluído ")</f>
        <v>7</v>
      </c>
      <c r="S562" t="str">
        <f>IF(Tabela4[[#This Row],[Tarefas por Cenário]]-Tabela4[[#This Row],[Tarefas Concluídas]]&gt;0,"Não","Sim")</f>
        <v>Não</v>
      </c>
      <c r="T562">
        <f>COUNTIFS(Tabela4[[#All],[Cenário]],Tabela4[[#This Row],[Cenário]],Tabela4[[#All],[Status]],Tabela4[[#Headers],[Elo - Em correção ]])</f>
        <v>0</v>
      </c>
      <c r="U562">
        <f>COUNTIFS(Tabela4[[#All],[Cenário]],Tabela4[[#This Row],[Cenário]],Tabela4[[#All],[Status]],Tabela4[[#Headers],[Keyuser - Aguardando tarefa precedente]])</f>
        <v>0</v>
      </c>
      <c r="V562">
        <f>COUNTIFS(Tabela4[[#All],[Cenário]],Tabela4[[#This Row],[Cenário]],Tabela4[[#All],[Status]],Tabela4[[#Headers],[Não liberado  para testes]])</f>
        <v>1</v>
      </c>
      <c r="W562" t="str">
        <f>IF(Tabela4[[#This Row],[Elo - Em correção ]]&gt;0,"Sim","Não")</f>
        <v>Não</v>
      </c>
      <c r="X562" t="str">
        <f>IF(Tabela4[[#This Row],[Keyuser - Aguardando tarefa precedente]]&gt;0,"Sim","Não")</f>
        <v>Não</v>
      </c>
      <c r="Y562" t="str">
        <f>IF(Tabela4[[#This Row],[Não liberado  para testes]]&gt;0,"Sim","Não")</f>
        <v>Sim</v>
      </c>
      <c r="Z562" t="str">
        <f ca="1">IF(Tabela4[[#This Row],[Status]]="Keyuser - Pendente",NETWORKDAYS(Tabela4[[#This Row],[Dt Inicial]],TODAY()),"")</f>
        <v/>
      </c>
      <c r="AA562" t="b">
        <f>AND(Tabela4[[#This Row],[Status]]="Keyuser - Aguardando tarefa precedente",K561="Keyuser - Concluído ")</f>
        <v>0</v>
      </c>
    </row>
    <row r="563" spans="1:27" x14ac:dyDescent="0.25">
      <c r="A563" t="str">
        <f>"OUT-"&amp;IFERROR(MID(Tabela4[[#This Row],[Cenário]],SEARCH("(",Tabela4[[#This Row],[Cenário]])+1,SEARCH(")",Tabela4[[#This Row],[Cenário]])-SEARCH("(",Tabela4[[#This Row],[Cenário]])-1),"")&amp;"_"&amp;ROW()</f>
        <v>OUT-Y602_563</v>
      </c>
      <c r="B563" t="s">
        <v>374</v>
      </c>
      <c r="C563" t="s">
        <v>680</v>
      </c>
      <c r="D563" s="5" t="s">
        <v>286</v>
      </c>
      <c r="E563">
        <v>7</v>
      </c>
      <c r="F563" t="s">
        <v>286</v>
      </c>
      <c r="G563" t="s">
        <v>287</v>
      </c>
      <c r="H563" s="13"/>
      <c r="I563" s="13"/>
      <c r="J563" s="13"/>
      <c r="K563" s="9" t="s">
        <v>262</v>
      </c>
      <c r="N563" s="78"/>
      <c r="O563" s="31"/>
      <c r="P563" s="9"/>
      <c r="Q563" s="9">
        <f>COUNTIF(Tabela4[[#All],[Cenário]],Tabela4[[#This Row],[Cenário]])</f>
        <v>8</v>
      </c>
      <c r="R563">
        <f>COUNTIFS(Tabela4[[#All],[Cenário]],Tabela4[[#This Row],[Cenário]],Tabela4[[#All],[Status]],"Keyuser - Concluído ")</f>
        <v>7</v>
      </c>
      <c r="S563" t="str">
        <f>IF(Tabela4[[#This Row],[Tarefas por Cenário]]-Tabela4[[#This Row],[Tarefas Concluídas]]&gt;0,"Não","Sim")</f>
        <v>Não</v>
      </c>
      <c r="T563">
        <f>COUNTIFS(Tabela4[[#All],[Cenário]],Tabela4[[#This Row],[Cenário]],Tabela4[[#All],[Status]],Tabela4[[#Headers],[Elo - Em correção ]])</f>
        <v>0</v>
      </c>
      <c r="U563">
        <f>COUNTIFS(Tabela4[[#All],[Cenário]],Tabela4[[#This Row],[Cenário]],Tabela4[[#All],[Status]],Tabela4[[#Headers],[Keyuser - Aguardando tarefa precedente]])</f>
        <v>0</v>
      </c>
      <c r="V563">
        <f>COUNTIFS(Tabela4[[#All],[Cenário]],Tabela4[[#This Row],[Cenário]],Tabela4[[#All],[Status]],Tabela4[[#Headers],[Não liberado  para testes]])</f>
        <v>1</v>
      </c>
      <c r="W563" t="str">
        <f>IF(Tabela4[[#This Row],[Elo - Em correção ]]&gt;0,"Sim","Não")</f>
        <v>Não</v>
      </c>
      <c r="X563" t="str">
        <f>IF(Tabela4[[#This Row],[Keyuser - Aguardando tarefa precedente]]&gt;0,"Sim","Não")</f>
        <v>Não</v>
      </c>
      <c r="Y563" t="str">
        <f>IF(Tabela4[[#This Row],[Não liberado  para testes]]&gt;0,"Sim","Não")</f>
        <v>Sim</v>
      </c>
      <c r="Z563" t="str">
        <f ca="1">IF(Tabela4[[#This Row],[Status]]="Keyuser - Pendente",NETWORKDAYS(Tabela4[[#This Row],[Dt Inicial]],TODAY()),"")</f>
        <v/>
      </c>
      <c r="AA563" t="b">
        <f>AND(Tabela4[[#This Row],[Status]]="Keyuser - Aguardando tarefa precedente",K562="Keyuser - Concluído ")</f>
        <v>0</v>
      </c>
    </row>
    <row r="564" spans="1:27" x14ac:dyDescent="0.25">
      <c r="A564" t="str">
        <f>"OUT-"&amp;IFERROR(MID(Tabela4[[#This Row],[Cenário]],SEARCH("(",Tabela4[[#This Row],[Cenário]])+1,SEARCH(")",Tabela4[[#This Row],[Cenário]])-SEARCH("(",Tabela4[[#This Row],[Cenário]])-1),"")&amp;"_"&amp;ROW()</f>
        <v>OUT-Y602_564</v>
      </c>
      <c r="B564" t="s">
        <v>358</v>
      </c>
      <c r="C564" t="s">
        <v>680</v>
      </c>
      <c r="D564" s="5" t="s">
        <v>375</v>
      </c>
      <c r="E564">
        <v>8</v>
      </c>
      <c r="F564" t="s">
        <v>375</v>
      </c>
      <c r="G564" t="s">
        <v>367</v>
      </c>
      <c r="H564" s="13">
        <v>15603635</v>
      </c>
      <c r="I564" s="13" t="s">
        <v>681</v>
      </c>
      <c r="J564" s="35" t="s">
        <v>364</v>
      </c>
      <c r="K564" s="9" t="s">
        <v>271</v>
      </c>
      <c r="L564" s="78">
        <v>45953</v>
      </c>
      <c r="N564" s="78">
        <v>45953</v>
      </c>
      <c r="O564" s="31"/>
      <c r="P564" s="9"/>
      <c r="Q564" s="9">
        <f>COUNTIF(Tabela4[[#All],[Cenário]],Tabela4[[#This Row],[Cenário]])</f>
        <v>8</v>
      </c>
      <c r="R564">
        <f>COUNTIFS(Tabela4[[#All],[Cenário]],Tabela4[[#This Row],[Cenário]],Tabela4[[#All],[Status]],"Keyuser - Concluído ")</f>
        <v>7</v>
      </c>
      <c r="S564" t="str">
        <f>IF(Tabela4[[#This Row],[Tarefas por Cenário]]-Tabela4[[#This Row],[Tarefas Concluídas]]&gt;0,"Não","Sim")</f>
        <v>Não</v>
      </c>
      <c r="T564">
        <f>COUNTIFS(Tabela4[[#All],[Cenário]],Tabela4[[#This Row],[Cenário]],Tabela4[[#All],[Status]],Tabela4[[#Headers],[Elo - Em correção ]])</f>
        <v>0</v>
      </c>
      <c r="U564">
        <f>COUNTIFS(Tabela4[[#All],[Cenário]],Tabela4[[#This Row],[Cenário]],Tabela4[[#All],[Status]],Tabela4[[#Headers],[Keyuser - Aguardando tarefa precedente]])</f>
        <v>0</v>
      </c>
      <c r="V564">
        <f>COUNTIFS(Tabela4[[#All],[Cenário]],Tabela4[[#This Row],[Cenário]],Tabela4[[#All],[Status]],Tabela4[[#Headers],[Não liberado  para testes]])</f>
        <v>1</v>
      </c>
      <c r="W564" t="str">
        <f>IF(Tabela4[[#This Row],[Elo - Em correção ]]&gt;0,"Sim","Não")</f>
        <v>Não</v>
      </c>
      <c r="X564" t="str">
        <f>IF(Tabela4[[#This Row],[Keyuser - Aguardando tarefa precedente]]&gt;0,"Sim","Não")</f>
        <v>Não</v>
      </c>
      <c r="Y564" t="str">
        <f>IF(Tabela4[[#This Row],[Não liberado  para testes]]&gt;0,"Sim","Não")</f>
        <v>Sim</v>
      </c>
      <c r="Z564" t="str">
        <f ca="1">IF(Tabela4[[#This Row],[Status]]="Keyuser - Pendente",NETWORKDAYS(Tabela4[[#This Row],[Dt Inicial]],TODAY()),"")</f>
        <v/>
      </c>
      <c r="AA564" t="b">
        <f>AND(Tabela4[[#This Row],[Status]]="Keyuser - Aguardando tarefa precedente",K563="Keyuser - Concluído ")</f>
        <v>0</v>
      </c>
    </row>
    <row r="565" spans="1:27" x14ac:dyDescent="0.25">
      <c r="A565" t="str">
        <f>"OUT-"&amp;IFERROR(MID(Tabela4[[#This Row],[Cenário]],SEARCH("(",Tabela4[[#This Row],[Cenário]])+1,SEARCH(")",Tabela4[[#This Row],[Cenário]])-SEARCH("(",Tabela4[[#This Row],[Cenário]])-1),"")&amp;"_"&amp;ROW()</f>
        <v>OUT-Y603_565</v>
      </c>
      <c r="B565" t="s">
        <v>358</v>
      </c>
      <c r="C565" t="s">
        <v>684</v>
      </c>
      <c r="D565" s="5" t="s">
        <v>360</v>
      </c>
      <c r="E565">
        <v>1</v>
      </c>
      <c r="F565" t="s">
        <v>360</v>
      </c>
      <c r="G565" t="s">
        <v>643</v>
      </c>
      <c r="H565" s="15">
        <v>15603643</v>
      </c>
      <c r="I565" s="15" t="s">
        <v>685</v>
      </c>
      <c r="J565" s="15" t="s">
        <v>364</v>
      </c>
      <c r="K565" s="9" t="s">
        <v>271</v>
      </c>
      <c r="L565" s="78">
        <v>45953</v>
      </c>
      <c r="N565" s="78">
        <v>45953</v>
      </c>
      <c r="O565" s="31"/>
      <c r="P565" s="9"/>
      <c r="Q565" s="9">
        <f>COUNTIF(Tabela4[[#All],[Cenário]],Tabela4[[#This Row],[Cenário]])</f>
        <v>8</v>
      </c>
      <c r="R565">
        <f>COUNTIFS(Tabela4[[#All],[Cenário]],Tabela4[[#This Row],[Cenário]],Tabela4[[#All],[Status]],"Keyuser - Concluído ")</f>
        <v>7</v>
      </c>
      <c r="S565" t="str">
        <f>IF(Tabela4[[#This Row],[Tarefas por Cenário]]-Tabela4[[#This Row],[Tarefas Concluídas]]&gt;0,"Não","Sim")</f>
        <v>Não</v>
      </c>
      <c r="T565">
        <f>COUNTIFS(Tabela4[[#All],[Cenário]],Tabela4[[#This Row],[Cenário]],Tabela4[[#All],[Status]],Tabela4[[#Headers],[Elo - Em correção ]])</f>
        <v>0</v>
      </c>
      <c r="U565">
        <f>COUNTIFS(Tabela4[[#All],[Cenário]],Tabela4[[#This Row],[Cenário]],Tabela4[[#All],[Status]],Tabela4[[#Headers],[Keyuser - Aguardando tarefa precedente]])</f>
        <v>0</v>
      </c>
      <c r="V565">
        <f>COUNTIFS(Tabela4[[#All],[Cenário]],Tabela4[[#This Row],[Cenário]],Tabela4[[#All],[Status]],Tabela4[[#Headers],[Não liberado  para testes]])</f>
        <v>1</v>
      </c>
      <c r="W565" t="str">
        <f>IF(Tabela4[[#This Row],[Elo - Em correção ]]&gt;0,"Sim","Não")</f>
        <v>Não</v>
      </c>
      <c r="X565" t="str">
        <f>IF(Tabela4[[#This Row],[Keyuser - Aguardando tarefa precedente]]&gt;0,"Sim","Não")</f>
        <v>Não</v>
      </c>
      <c r="Y565" t="str">
        <f>IF(Tabela4[[#This Row],[Não liberado  para testes]]&gt;0,"Sim","Não")</f>
        <v>Sim</v>
      </c>
      <c r="Z565" t="str">
        <f ca="1">IF(Tabela4[[#This Row],[Status]]="Keyuser - Pendente",NETWORKDAYS(Tabela4[[#This Row],[Dt Inicial]],TODAY()),"")</f>
        <v/>
      </c>
      <c r="AA565" t="b">
        <f>AND(Tabela4[[#This Row],[Status]]="Keyuser - Aguardando tarefa precedente",K564="Keyuser - Concluído ")</f>
        <v>0</v>
      </c>
    </row>
    <row r="566" spans="1:27" x14ac:dyDescent="0.25">
      <c r="A566" t="str">
        <f>"OUT-"&amp;IFERROR(MID(Tabela4[[#This Row],[Cenário]],SEARCH("(",Tabela4[[#This Row],[Cenário]])+1,SEARCH(")",Tabela4[[#This Row],[Cenário]])-SEARCH("(",Tabela4[[#This Row],[Cenário]])-1),"")&amp;"_"&amp;ROW()</f>
        <v>OUT-Y603_566</v>
      </c>
      <c r="B566" t="s">
        <v>358</v>
      </c>
      <c r="C566" t="s">
        <v>684</v>
      </c>
      <c r="D566" s="5" t="s">
        <v>365</v>
      </c>
      <c r="E566">
        <v>2</v>
      </c>
      <c r="F566" t="s">
        <v>365</v>
      </c>
      <c r="G566" t="s">
        <v>310</v>
      </c>
      <c r="H566" s="15">
        <v>15603643</v>
      </c>
      <c r="I566" s="15" t="s">
        <v>685</v>
      </c>
      <c r="J566" s="15" t="s">
        <v>364</v>
      </c>
      <c r="K566" s="9" t="s">
        <v>271</v>
      </c>
      <c r="L566" s="78">
        <v>45953</v>
      </c>
      <c r="N566" s="78">
        <v>45953</v>
      </c>
      <c r="O566" s="31"/>
      <c r="P566" s="9"/>
      <c r="Q566" s="9">
        <f>COUNTIF(Tabela4[[#All],[Cenário]],Tabela4[[#This Row],[Cenário]])</f>
        <v>8</v>
      </c>
      <c r="R566">
        <f>COUNTIFS(Tabela4[[#All],[Cenário]],Tabela4[[#This Row],[Cenário]],Tabela4[[#All],[Status]],"Keyuser - Concluído ")</f>
        <v>7</v>
      </c>
      <c r="S566" t="str">
        <f>IF(Tabela4[[#This Row],[Tarefas por Cenário]]-Tabela4[[#This Row],[Tarefas Concluídas]]&gt;0,"Não","Sim")</f>
        <v>Não</v>
      </c>
      <c r="T566">
        <f>COUNTIFS(Tabela4[[#All],[Cenário]],Tabela4[[#This Row],[Cenário]],Tabela4[[#All],[Status]],Tabela4[[#Headers],[Elo - Em correção ]])</f>
        <v>0</v>
      </c>
      <c r="U566">
        <f>COUNTIFS(Tabela4[[#All],[Cenário]],Tabela4[[#This Row],[Cenário]],Tabela4[[#All],[Status]],Tabela4[[#Headers],[Keyuser - Aguardando tarefa precedente]])</f>
        <v>0</v>
      </c>
      <c r="V566">
        <f>COUNTIFS(Tabela4[[#All],[Cenário]],Tabela4[[#This Row],[Cenário]],Tabela4[[#All],[Status]],Tabela4[[#Headers],[Não liberado  para testes]])</f>
        <v>1</v>
      </c>
      <c r="W566" t="str">
        <f>IF(Tabela4[[#This Row],[Elo - Em correção ]]&gt;0,"Sim","Não")</f>
        <v>Não</v>
      </c>
      <c r="X566" t="str">
        <f>IF(Tabela4[[#This Row],[Keyuser - Aguardando tarefa precedente]]&gt;0,"Sim","Não")</f>
        <v>Não</v>
      </c>
      <c r="Y566" t="str">
        <f>IF(Tabela4[[#This Row],[Não liberado  para testes]]&gt;0,"Sim","Não")</f>
        <v>Sim</v>
      </c>
      <c r="Z566" t="str">
        <f ca="1">IF(Tabela4[[#This Row],[Status]]="Keyuser - Pendente",NETWORKDAYS(Tabela4[[#This Row],[Dt Inicial]],TODAY()),"")</f>
        <v/>
      </c>
      <c r="AA566" t="b">
        <f>AND(Tabela4[[#This Row],[Status]]="Keyuser - Aguardando tarefa precedente",K565="Keyuser - Concluído ")</f>
        <v>0</v>
      </c>
    </row>
    <row r="567" spans="1:27" x14ac:dyDescent="0.25">
      <c r="A567" t="str">
        <f>"OUT-"&amp;IFERROR(MID(Tabela4[[#This Row],[Cenário]],SEARCH("(",Tabela4[[#This Row],[Cenário]])+1,SEARCH(")",Tabela4[[#This Row],[Cenário]])-SEARCH("(",Tabela4[[#This Row],[Cenário]])-1),"")&amp;"_"&amp;ROW()</f>
        <v>OUT-Y603_567</v>
      </c>
      <c r="B567" t="s">
        <v>358</v>
      </c>
      <c r="C567" t="s">
        <v>684</v>
      </c>
      <c r="D567" s="5" t="s">
        <v>366</v>
      </c>
      <c r="E567">
        <v>3</v>
      </c>
      <c r="F567" t="s">
        <v>366</v>
      </c>
      <c r="G567" t="s">
        <v>367</v>
      </c>
      <c r="H567" s="15">
        <v>15603643</v>
      </c>
      <c r="I567" s="15" t="s">
        <v>685</v>
      </c>
      <c r="J567" s="15" t="s">
        <v>364</v>
      </c>
      <c r="K567" s="9" t="s">
        <v>271</v>
      </c>
      <c r="L567" s="78">
        <v>45953</v>
      </c>
      <c r="N567" s="78">
        <v>45953</v>
      </c>
      <c r="O567" s="31"/>
      <c r="P567" s="9"/>
      <c r="Q567" s="9">
        <f>COUNTIF(Tabela4[[#All],[Cenário]],Tabela4[[#This Row],[Cenário]])</f>
        <v>8</v>
      </c>
      <c r="R567">
        <f>COUNTIFS(Tabela4[[#All],[Cenário]],Tabela4[[#This Row],[Cenário]],Tabela4[[#All],[Status]],"Keyuser - Concluído ")</f>
        <v>7</v>
      </c>
      <c r="S567" t="str">
        <f>IF(Tabela4[[#This Row],[Tarefas por Cenário]]-Tabela4[[#This Row],[Tarefas Concluídas]]&gt;0,"Não","Sim")</f>
        <v>Não</v>
      </c>
      <c r="T567">
        <f>COUNTIFS(Tabela4[[#All],[Cenário]],Tabela4[[#This Row],[Cenário]],Tabela4[[#All],[Status]],Tabela4[[#Headers],[Elo - Em correção ]])</f>
        <v>0</v>
      </c>
      <c r="U567">
        <f>COUNTIFS(Tabela4[[#All],[Cenário]],Tabela4[[#This Row],[Cenário]],Tabela4[[#All],[Status]],Tabela4[[#Headers],[Keyuser - Aguardando tarefa precedente]])</f>
        <v>0</v>
      </c>
      <c r="V567">
        <f>COUNTIFS(Tabela4[[#All],[Cenário]],Tabela4[[#This Row],[Cenário]],Tabela4[[#All],[Status]],Tabela4[[#Headers],[Não liberado  para testes]])</f>
        <v>1</v>
      </c>
      <c r="W567" t="str">
        <f>IF(Tabela4[[#This Row],[Elo - Em correção ]]&gt;0,"Sim","Não")</f>
        <v>Não</v>
      </c>
      <c r="X567" t="str">
        <f>IF(Tabela4[[#This Row],[Keyuser - Aguardando tarefa precedente]]&gt;0,"Sim","Não")</f>
        <v>Não</v>
      </c>
      <c r="Y567" t="str">
        <f>IF(Tabela4[[#This Row],[Não liberado  para testes]]&gt;0,"Sim","Não")</f>
        <v>Sim</v>
      </c>
      <c r="Z567" t="str">
        <f ca="1">IF(Tabela4[[#This Row],[Status]]="Keyuser - Pendente",NETWORKDAYS(Tabela4[[#This Row],[Dt Inicial]],TODAY()),"")</f>
        <v/>
      </c>
      <c r="AA567" t="b">
        <f>AND(Tabela4[[#This Row],[Status]]="Keyuser - Aguardando tarefa precedente",K566="Keyuser - Concluído ")</f>
        <v>0</v>
      </c>
    </row>
    <row r="568" spans="1:27" x14ac:dyDescent="0.25">
      <c r="A568" t="str">
        <f>"OUT-"&amp;IFERROR(MID(Tabela4[[#This Row],[Cenário]],SEARCH("(",Tabela4[[#This Row],[Cenário]])+1,SEARCH(")",Tabela4[[#This Row],[Cenário]])-SEARCH("(",Tabela4[[#This Row],[Cenário]])-1),"")&amp;"_"&amp;ROW()</f>
        <v>OUT-Y603_568</v>
      </c>
      <c r="B568" t="s">
        <v>358</v>
      </c>
      <c r="C568" t="s">
        <v>684</v>
      </c>
      <c r="D568" s="5" t="s">
        <v>368</v>
      </c>
      <c r="E568">
        <v>4</v>
      </c>
      <c r="F568" t="s">
        <v>368</v>
      </c>
      <c r="G568" t="s">
        <v>377</v>
      </c>
      <c r="H568" s="13" t="s">
        <v>686</v>
      </c>
      <c r="I568" s="13"/>
      <c r="J568" s="13"/>
      <c r="K568" s="9" t="s">
        <v>271</v>
      </c>
      <c r="L568" s="78">
        <v>45953</v>
      </c>
      <c r="N568" s="78">
        <v>45953</v>
      </c>
      <c r="O568" s="31" t="s">
        <v>687</v>
      </c>
      <c r="P568" s="9"/>
      <c r="Q568" s="9">
        <f>COUNTIF(Tabela4[[#All],[Cenário]],Tabela4[[#This Row],[Cenário]])</f>
        <v>8</v>
      </c>
      <c r="R568">
        <f>COUNTIFS(Tabela4[[#All],[Cenário]],Tabela4[[#This Row],[Cenário]],Tabela4[[#All],[Status]],"Keyuser - Concluído ")</f>
        <v>7</v>
      </c>
      <c r="S568" t="str">
        <f>IF(Tabela4[[#This Row],[Tarefas por Cenário]]-Tabela4[[#This Row],[Tarefas Concluídas]]&gt;0,"Não","Sim")</f>
        <v>Não</v>
      </c>
      <c r="T568">
        <f>COUNTIFS(Tabela4[[#All],[Cenário]],Tabela4[[#This Row],[Cenário]],Tabela4[[#All],[Status]],Tabela4[[#Headers],[Elo - Em correção ]])</f>
        <v>0</v>
      </c>
      <c r="U568">
        <f>COUNTIFS(Tabela4[[#All],[Cenário]],Tabela4[[#This Row],[Cenário]],Tabela4[[#All],[Status]],Tabela4[[#Headers],[Keyuser - Aguardando tarefa precedente]])</f>
        <v>0</v>
      </c>
      <c r="V568">
        <f>COUNTIFS(Tabela4[[#All],[Cenário]],Tabela4[[#This Row],[Cenário]],Tabela4[[#All],[Status]],Tabela4[[#Headers],[Não liberado  para testes]])</f>
        <v>1</v>
      </c>
      <c r="W568" t="str">
        <f>IF(Tabela4[[#This Row],[Elo - Em correção ]]&gt;0,"Sim","Não")</f>
        <v>Não</v>
      </c>
      <c r="X568" t="str">
        <f>IF(Tabela4[[#This Row],[Keyuser - Aguardando tarefa precedente]]&gt;0,"Sim","Não")</f>
        <v>Não</v>
      </c>
      <c r="Y568" t="str">
        <f>IF(Tabela4[[#This Row],[Não liberado  para testes]]&gt;0,"Sim","Não")</f>
        <v>Sim</v>
      </c>
      <c r="Z568" t="str">
        <f ca="1">IF(Tabela4[[#This Row],[Status]]="Keyuser - Pendente",NETWORKDAYS(Tabela4[[#This Row],[Dt Inicial]],TODAY()),"")</f>
        <v/>
      </c>
      <c r="AA568" t="b">
        <f>AND(Tabela4[[#This Row],[Status]]="Keyuser - Aguardando tarefa precedente",K567="Keyuser - Concluído ")</f>
        <v>0</v>
      </c>
    </row>
    <row r="569" spans="1:27" x14ac:dyDescent="0.25">
      <c r="A569" t="str">
        <f>"OUT-"&amp;IFERROR(MID(Tabela4[[#This Row],[Cenário]],SEARCH("(",Tabela4[[#This Row],[Cenário]])+1,SEARCH(")",Tabela4[[#This Row],[Cenário]])-SEARCH("(",Tabela4[[#This Row],[Cenário]])-1),"")&amp;"_"&amp;ROW()</f>
        <v>OUT-Y603_569</v>
      </c>
      <c r="B569" t="s">
        <v>358</v>
      </c>
      <c r="C569" t="s">
        <v>684</v>
      </c>
      <c r="D569" s="5" t="s">
        <v>371</v>
      </c>
      <c r="E569">
        <v>5</v>
      </c>
      <c r="F569" t="s">
        <v>435</v>
      </c>
      <c r="G569" t="s">
        <v>287</v>
      </c>
      <c r="H569" s="13" t="s">
        <v>686</v>
      </c>
      <c r="I569" s="13"/>
      <c r="J569" s="13"/>
      <c r="K569" s="50" t="s">
        <v>271</v>
      </c>
      <c r="L569" s="78" t="s">
        <v>669</v>
      </c>
      <c r="N569" s="78">
        <v>45954</v>
      </c>
      <c r="O569" s="48"/>
      <c r="P569" s="9"/>
      <c r="Q569" s="9">
        <f>COUNTIF(Tabela4[[#All],[Cenário]],Tabela4[[#This Row],[Cenário]])</f>
        <v>8</v>
      </c>
      <c r="R569">
        <f>COUNTIFS(Tabela4[[#All],[Cenário]],Tabela4[[#This Row],[Cenário]],Tabela4[[#All],[Status]],"Keyuser - Concluído ")</f>
        <v>7</v>
      </c>
      <c r="S569" t="str">
        <f>IF(Tabela4[[#This Row],[Tarefas por Cenário]]-Tabela4[[#This Row],[Tarefas Concluídas]]&gt;0,"Não","Sim")</f>
        <v>Não</v>
      </c>
      <c r="T569">
        <f>COUNTIFS(Tabela4[[#All],[Cenário]],Tabela4[[#This Row],[Cenário]],Tabela4[[#All],[Status]],Tabela4[[#Headers],[Elo - Em correção ]])</f>
        <v>0</v>
      </c>
      <c r="U569">
        <f>COUNTIFS(Tabela4[[#All],[Cenário]],Tabela4[[#This Row],[Cenário]],Tabela4[[#All],[Status]],Tabela4[[#Headers],[Keyuser - Aguardando tarefa precedente]])</f>
        <v>0</v>
      </c>
      <c r="V569">
        <f>COUNTIFS(Tabela4[[#All],[Cenário]],Tabela4[[#This Row],[Cenário]],Tabela4[[#All],[Status]],Tabela4[[#Headers],[Não liberado  para testes]])</f>
        <v>1</v>
      </c>
      <c r="W569" t="str">
        <f>IF(Tabela4[[#This Row],[Elo - Em correção ]]&gt;0,"Sim","Não")</f>
        <v>Não</v>
      </c>
      <c r="X569" t="str">
        <f>IF(Tabela4[[#This Row],[Keyuser - Aguardando tarefa precedente]]&gt;0,"Sim","Não")</f>
        <v>Não</v>
      </c>
      <c r="Y569" t="str">
        <f>IF(Tabela4[[#This Row],[Não liberado  para testes]]&gt;0,"Sim","Não")</f>
        <v>Sim</v>
      </c>
      <c r="Z569" t="str">
        <f ca="1">IF(Tabela4[[#This Row],[Status]]="Keyuser - Pendente",NETWORKDAYS(Tabela4[[#This Row],[Dt Inicial]],TODAY()),"")</f>
        <v/>
      </c>
      <c r="AA569" t="b">
        <f>AND(Tabela4[[#This Row],[Status]]="Keyuser - Aguardando tarefa precedente",K568="Keyuser - Concluído ")</f>
        <v>0</v>
      </c>
    </row>
    <row r="570" spans="1:27" x14ac:dyDescent="0.25">
      <c r="A570" t="str">
        <f>"OUT-"&amp;IFERROR(MID(Tabela4[[#This Row],[Cenário]],SEARCH("(",Tabela4[[#This Row],[Cenário]])+1,SEARCH(")",Tabela4[[#This Row],[Cenário]])-SEARCH("(",Tabela4[[#This Row],[Cenário]])-1),"")&amp;"_"&amp;ROW()</f>
        <v>OUT-Y603_570</v>
      </c>
      <c r="B570" t="s">
        <v>358</v>
      </c>
      <c r="C570" t="s">
        <v>684</v>
      </c>
      <c r="D570" s="5" t="s">
        <v>373</v>
      </c>
      <c r="E570">
        <v>6</v>
      </c>
      <c r="F570" t="s">
        <v>373</v>
      </c>
      <c r="G570" t="s">
        <v>283</v>
      </c>
      <c r="H570" s="13" t="s">
        <v>686</v>
      </c>
      <c r="I570" s="13"/>
      <c r="J570" s="13"/>
      <c r="K570" s="9" t="s">
        <v>271</v>
      </c>
      <c r="L570" s="78" t="s">
        <v>617</v>
      </c>
      <c r="N570" s="78">
        <v>45957</v>
      </c>
      <c r="O570" s="31"/>
      <c r="P570" s="9"/>
      <c r="Q570" s="9">
        <f>COUNTIF(Tabela4[[#All],[Cenário]],Tabela4[[#This Row],[Cenário]])</f>
        <v>8</v>
      </c>
      <c r="R570">
        <f>COUNTIFS(Tabela4[[#All],[Cenário]],Tabela4[[#This Row],[Cenário]],Tabela4[[#All],[Status]],"Keyuser - Concluído ")</f>
        <v>7</v>
      </c>
      <c r="S570" t="str">
        <f>IF(Tabela4[[#This Row],[Tarefas por Cenário]]-Tabela4[[#This Row],[Tarefas Concluídas]]&gt;0,"Não","Sim")</f>
        <v>Não</v>
      </c>
      <c r="T570">
        <f>COUNTIFS(Tabela4[[#All],[Cenário]],Tabela4[[#This Row],[Cenário]],Tabela4[[#All],[Status]],Tabela4[[#Headers],[Elo - Em correção ]])</f>
        <v>0</v>
      </c>
      <c r="U570">
        <f>COUNTIFS(Tabela4[[#All],[Cenário]],Tabela4[[#This Row],[Cenário]],Tabela4[[#All],[Status]],Tabela4[[#Headers],[Keyuser - Aguardando tarefa precedente]])</f>
        <v>0</v>
      </c>
      <c r="V570">
        <f>COUNTIFS(Tabela4[[#All],[Cenário]],Tabela4[[#This Row],[Cenário]],Tabela4[[#All],[Status]],Tabela4[[#Headers],[Não liberado  para testes]])</f>
        <v>1</v>
      </c>
      <c r="W570" t="str">
        <f>IF(Tabela4[[#This Row],[Elo - Em correção ]]&gt;0,"Sim","Não")</f>
        <v>Não</v>
      </c>
      <c r="X570" t="str">
        <f>IF(Tabela4[[#This Row],[Keyuser - Aguardando tarefa precedente]]&gt;0,"Sim","Não")</f>
        <v>Não</v>
      </c>
      <c r="Y570" t="str">
        <f>IF(Tabela4[[#This Row],[Não liberado  para testes]]&gt;0,"Sim","Não")</f>
        <v>Sim</v>
      </c>
      <c r="Z570" t="str">
        <f ca="1">IF(Tabela4[[#This Row],[Status]]="Keyuser - Pendente",NETWORKDAYS(Tabela4[[#This Row],[Dt Inicial]],TODAY()),"")</f>
        <v/>
      </c>
      <c r="AA570" t="b">
        <f>AND(Tabela4[[#This Row],[Status]]="Keyuser - Aguardando tarefa precedente",K569="Keyuser - Concluído ")</f>
        <v>0</v>
      </c>
    </row>
    <row r="571" spans="1:27" x14ac:dyDescent="0.25">
      <c r="A571" t="str">
        <f>"OUT-"&amp;IFERROR(MID(Tabela4[[#This Row],[Cenário]],SEARCH("(",Tabela4[[#This Row],[Cenário]])+1,SEARCH(")",Tabela4[[#This Row],[Cenário]])-SEARCH("(",Tabela4[[#This Row],[Cenário]])-1),"")&amp;"_"&amp;ROW()</f>
        <v>OUT-Y603_571</v>
      </c>
      <c r="B571" t="s">
        <v>374</v>
      </c>
      <c r="C571" t="s">
        <v>684</v>
      </c>
      <c r="D571" s="5" t="s">
        <v>286</v>
      </c>
      <c r="E571">
        <v>7</v>
      </c>
      <c r="F571" t="s">
        <v>286</v>
      </c>
      <c r="G571" t="s">
        <v>287</v>
      </c>
      <c r="H571" s="14"/>
      <c r="I571" s="15"/>
      <c r="J571" s="15"/>
      <c r="K571" s="9" t="s">
        <v>262</v>
      </c>
      <c r="N571" s="78"/>
      <c r="O571" s="31"/>
      <c r="P571" s="9"/>
      <c r="Q571" s="9">
        <f>COUNTIF(Tabela4[[#All],[Cenário]],Tabela4[[#This Row],[Cenário]])</f>
        <v>8</v>
      </c>
      <c r="R571">
        <f>COUNTIFS(Tabela4[[#All],[Cenário]],Tabela4[[#This Row],[Cenário]],Tabela4[[#All],[Status]],"Keyuser - Concluído ")</f>
        <v>7</v>
      </c>
      <c r="S571" t="str">
        <f>IF(Tabela4[[#This Row],[Tarefas por Cenário]]-Tabela4[[#This Row],[Tarefas Concluídas]]&gt;0,"Não","Sim")</f>
        <v>Não</v>
      </c>
      <c r="T571">
        <f>COUNTIFS(Tabela4[[#All],[Cenário]],Tabela4[[#This Row],[Cenário]],Tabela4[[#All],[Status]],Tabela4[[#Headers],[Elo - Em correção ]])</f>
        <v>0</v>
      </c>
      <c r="U571">
        <f>COUNTIFS(Tabela4[[#All],[Cenário]],Tabela4[[#This Row],[Cenário]],Tabela4[[#All],[Status]],Tabela4[[#Headers],[Keyuser - Aguardando tarefa precedente]])</f>
        <v>0</v>
      </c>
      <c r="V571">
        <f>COUNTIFS(Tabela4[[#All],[Cenário]],Tabela4[[#This Row],[Cenário]],Tabela4[[#All],[Status]],Tabela4[[#Headers],[Não liberado  para testes]])</f>
        <v>1</v>
      </c>
      <c r="W571" t="str">
        <f>IF(Tabela4[[#This Row],[Elo - Em correção ]]&gt;0,"Sim","Não")</f>
        <v>Não</v>
      </c>
      <c r="X571" t="str">
        <f>IF(Tabela4[[#This Row],[Keyuser - Aguardando tarefa precedente]]&gt;0,"Sim","Não")</f>
        <v>Não</v>
      </c>
      <c r="Y571" t="str">
        <f>IF(Tabela4[[#This Row],[Não liberado  para testes]]&gt;0,"Sim","Não")</f>
        <v>Sim</v>
      </c>
      <c r="Z571" t="str">
        <f ca="1">IF(Tabela4[[#This Row],[Status]]="Keyuser - Pendente",NETWORKDAYS(Tabela4[[#This Row],[Dt Inicial]],TODAY()),"")</f>
        <v/>
      </c>
      <c r="AA571" t="b">
        <f>AND(Tabela4[[#This Row],[Status]]="Keyuser - Aguardando tarefa precedente",K570="Keyuser - Concluído ")</f>
        <v>0</v>
      </c>
    </row>
    <row r="572" spans="1:27" x14ac:dyDescent="0.25">
      <c r="A572" t="str">
        <f>"OUT-"&amp;IFERROR(MID(Tabela4[[#This Row],[Cenário]],SEARCH("(",Tabela4[[#This Row],[Cenário]])+1,SEARCH(")",Tabela4[[#This Row],[Cenário]])-SEARCH("(",Tabela4[[#This Row],[Cenário]])-1),"")&amp;"_"&amp;ROW()</f>
        <v>OUT-Y603_572</v>
      </c>
      <c r="B572" t="s">
        <v>358</v>
      </c>
      <c r="C572" t="s">
        <v>684</v>
      </c>
      <c r="D572" s="5" t="s">
        <v>375</v>
      </c>
      <c r="E572">
        <v>8</v>
      </c>
      <c r="F572" t="s">
        <v>375</v>
      </c>
      <c r="G572" t="s">
        <v>367</v>
      </c>
      <c r="H572" s="35">
        <v>15603643</v>
      </c>
      <c r="I572" s="15" t="s">
        <v>685</v>
      </c>
      <c r="J572" s="15"/>
      <c r="K572" s="9" t="s">
        <v>271</v>
      </c>
      <c r="L572" s="78">
        <v>45954</v>
      </c>
      <c r="N572" s="78">
        <v>45954</v>
      </c>
      <c r="O572" s="31"/>
      <c r="P572" s="9"/>
      <c r="Q572" s="9">
        <f>COUNTIF(Tabela4[[#All],[Cenário]],Tabela4[[#This Row],[Cenário]])</f>
        <v>8</v>
      </c>
      <c r="R572">
        <f>COUNTIFS(Tabela4[[#All],[Cenário]],Tabela4[[#This Row],[Cenário]],Tabela4[[#All],[Status]],"Keyuser - Concluído ")</f>
        <v>7</v>
      </c>
      <c r="S572" t="str">
        <f>IF(Tabela4[[#This Row],[Tarefas por Cenário]]-Tabela4[[#This Row],[Tarefas Concluídas]]&gt;0,"Não","Sim")</f>
        <v>Não</v>
      </c>
      <c r="T572">
        <f>COUNTIFS(Tabela4[[#All],[Cenário]],Tabela4[[#This Row],[Cenário]],Tabela4[[#All],[Status]],Tabela4[[#Headers],[Elo - Em correção ]])</f>
        <v>0</v>
      </c>
      <c r="U572">
        <f>COUNTIFS(Tabela4[[#All],[Cenário]],Tabela4[[#This Row],[Cenário]],Tabela4[[#All],[Status]],Tabela4[[#Headers],[Keyuser - Aguardando tarefa precedente]])</f>
        <v>0</v>
      </c>
      <c r="V572">
        <f>COUNTIFS(Tabela4[[#All],[Cenário]],Tabela4[[#This Row],[Cenário]],Tabela4[[#All],[Status]],Tabela4[[#Headers],[Não liberado  para testes]])</f>
        <v>1</v>
      </c>
      <c r="W572" t="str">
        <f>IF(Tabela4[[#This Row],[Elo - Em correção ]]&gt;0,"Sim","Não")</f>
        <v>Não</v>
      </c>
      <c r="X572" t="str">
        <f>IF(Tabela4[[#This Row],[Keyuser - Aguardando tarefa precedente]]&gt;0,"Sim","Não")</f>
        <v>Não</v>
      </c>
      <c r="Y572" t="str">
        <f>IF(Tabela4[[#This Row],[Não liberado  para testes]]&gt;0,"Sim","Não")</f>
        <v>Sim</v>
      </c>
      <c r="Z572" t="str">
        <f ca="1">IF(Tabela4[[#This Row],[Status]]="Keyuser - Pendente",NETWORKDAYS(Tabela4[[#This Row],[Dt Inicial]],TODAY()),"")</f>
        <v/>
      </c>
      <c r="AA572" t="b">
        <f>AND(Tabela4[[#This Row],[Status]]="Keyuser - Aguardando tarefa precedente",K571="Keyuser - Concluído ")</f>
        <v>0</v>
      </c>
    </row>
    <row r="573" spans="1:27" x14ac:dyDescent="0.25">
      <c r="A573" t="str">
        <f>"OUT-"&amp;IFERROR(MID(Tabela4[[#This Row],[Cenário]],SEARCH("(",Tabela4[[#This Row],[Cenário]])+1,SEARCH(")",Tabela4[[#This Row],[Cenário]])-SEARCH("(",Tabela4[[#This Row],[Cenário]])-1),"")&amp;"_"&amp;ROW()</f>
        <v>OUT-Y604_573</v>
      </c>
      <c r="B573" t="s">
        <v>358</v>
      </c>
      <c r="C573" t="s">
        <v>688</v>
      </c>
      <c r="D573" s="5" t="s">
        <v>360</v>
      </c>
      <c r="E573">
        <v>1</v>
      </c>
      <c r="F573" t="s">
        <v>360</v>
      </c>
      <c r="G573" t="s">
        <v>643</v>
      </c>
      <c r="H573" s="13">
        <v>70583990</v>
      </c>
      <c r="I573" s="13" t="s">
        <v>689</v>
      </c>
      <c r="J573" s="35" t="s">
        <v>364</v>
      </c>
      <c r="K573" s="9" t="s">
        <v>271</v>
      </c>
      <c r="L573" s="78">
        <v>46001</v>
      </c>
      <c r="N573" s="78">
        <v>46001</v>
      </c>
      <c r="O573" s="31"/>
      <c r="P573" s="9"/>
      <c r="Q573" s="9">
        <f>COUNTIF(Tabela4[[#All],[Cenário]],Tabela4[[#This Row],[Cenário]])</f>
        <v>8</v>
      </c>
      <c r="R573">
        <f>COUNTIFS(Tabela4[[#All],[Cenário]],Tabela4[[#This Row],[Cenário]],Tabela4[[#All],[Status]],"Keyuser - Concluído ")</f>
        <v>3</v>
      </c>
      <c r="S573" t="str">
        <f>IF(Tabela4[[#This Row],[Tarefas por Cenário]]-Tabela4[[#This Row],[Tarefas Concluídas]]&gt;0,"Não","Sim")</f>
        <v>Não</v>
      </c>
      <c r="T573">
        <f>COUNTIFS(Tabela4[[#All],[Cenário]],Tabela4[[#This Row],[Cenário]],Tabela4[[#All],[Status]],Tabela4[[#Headers],[Elo - Em correção ]])</f>
        <v>0</v>
      </c>
      <c r="U573">
        <f>COUNTIFS(Tabela4[[#All],[Cenário]],Tabela4[[#This Row],[Cenário]],Tabela4[[#All],[Status]],Tabela4[[#Headers],[Keyuser - Aguardando tarefa precedente]])</f>
        <v>3</v>
      </c>
      <c r="V573">
        <f>COUNTIFS(Tabela4[[#All],[Cenário]],Tabela4[[#This Row],[Cenário]],Tabela4[[#All],[Status]],Tabela4[[#Headers],[Não liberado  para testes]])</f>
        <v>1</v>
      </c>
      <c r="W573" t="str">
        <f>IF(Tabela4[[#This Row],[Elo - Em correção ]]&gt;0,"Sim","Não")</f>
        <v>Não</v>
      </c>
      <c r="X573" t="str">
        <f>IF(Tabela4[[#This Row],[Keyuser - Aguardando tarefa precedente]]&gt;0,"Sim","Não")</f>
        <v>Sim</v>
      </c>
      <c r="Y573" t="str">
        <f>IF(Tabela4[[#This Row],[Não liberado  para testes]]&gt;0,"Sim","Não")</f>
        <v>Sim</v>
      </c>
      <c r="Z573" t="str">
        <f ca="1">IF(Tabela4[[#This Row],[Status]]="Keyuser - Pendente",NETWORKDAYS(Tabela4[[#This Row],[Dt Inicial]],TODAY()),"")</f>
        <v/>
      </c>
      <c r="AA573" t="b">
        <f>AND(Tabela4[[#This Row],[Status]]="Keyuser - Aguardando tarefa precedente",K572="Keyuser - Concluído ")</f>
        <v>0</v>
      </c>
    </row>
    <row r="574" spans="1:27" x14ac:dyDescent="0.25">
      <c r="A574" t="str">
        <f>"OUT-"&amp;IFERROR(MID(Tabela4[[#This Row],[Cenário]],SEARCH("(",Tabela4[[#This Row],[Cenário]])+1,SEARCH(")",Tabela4[[#This Row],[Cenário]])-SEARCH("(",Tabela4[[#This Row],[Cenário]])-1),"")&amp;"_"&amp;ROW()</f>
        <v>OUT-Y604_574</v>
      </c>
      <c r="B574" t="s">
        <v>358</v>
      </c>
      <c r="C574" t="s">
        <v>688</v>
      </c>
      <c r="D574" s="5" t="s">
        <v>365</v>
      </c>
      <c r="E574">
        <v>2</v>
      </c>
      <c r="F574" t="s">
        <v>365</v>
      </c>
      <c r="G574" t="s">
        <v>310</v>
      </c>
      <c r="H574" s="13">
        <v>70583990</v>
      </c>
      <c r="I574" s="13" t="s">
        <v>689</v>
      </c>
      <c r="J574" s="35" t="s">
        <v>364</v>
      </c>
      <c r="K574" s="9" t="s">
        <v>271</v>
      </c>
      <c r="L574" s="78">
        <v>46001</v>
      </c>
      <c r="N574" s="78">
        <v>46001</v>
      </c>
      <c r="O574" s="31"/>
      <c r="P574" s="9"/>
      <c r="Q574" s="9">
        <f>COUNTIF(Tabela4[[#All],[Cenário]],Tabela4[[#This Row],[Cenário]])</f>
        <v>8</v>
      </c>
      <c r="R574">
        <f>COUNTIFS(Tabela4[[#All],[Cenário]],Tabela4[[#This Row],[Cenário]],Tabela4[[#All],[Status]],"Keyuser - Concluído ")</f>
        <v>3</v>
      </c>
      <c r="S574" t="str">
        <f>IF(Tabela4[[#This Row],[Tarefas por Cenário]]-Tabela4[[#This Row],[Tarefas Concluídas]]&gt;0,"Não","Sim")</f>
        <v>Não</v>
      </c>
      <c r="T574">
        <f>COUNTIFS(Tabela4[[#All],[Cenário]],Tabela4[[#This Row],[Cenário]],Tabela4[[#All],[Status]],Tabela4[[#Headers],[Elo - Em correção ]])</f>
        <v>0</v>
      </c>
      <c r="U574">
        <f>COUNTIFS(Tabela4[[#All],[Cenário]],Tabela4[[#This Row],[Cenário]],Tabela4[[#All],[Status]],Tabela4[[#Headers],[Keyuser - Aguardando tarefa precedente]])</f>
        <v>3</v>
      </c>
      <c r="V574">
        <f>COUNTIFS(Tabela4[[#All],[Cenário]],Tabela4[[#This Row],[Cenário]],Tabela4[[#All],[Status]],Tabela4[[#Headers],[Não liberado  para testes]])</f>
        <v>1</v>
      </c>
      <c r="W574" t="str">
        <f>IF(Tabela4[[#This Row],[Elo - Em correção ]]&gt;0,"Sim","Não")</f>
        <v>Não</v>
      </c>
      <c r="X574" t="str">
        <f>IF(Tabela4[[#This Row],[Keyuser - Aguardando tarefa precedente]]&gt;0,"Sim","Não")</f>
        <v>Sim</v>
      </c>
      <c r="Y574" t="str">
        <f>IF(Tabela4[[#This Row],[Não liberado  para testes]]&gt;0,"Sim","Não")</f>
        <v>Sim</v>
      </c>
      <c r="Z574" t="str">
        <f ca="1">IF(Tabela4[[#This Row],[Status]]="Keyuser - Pendente",NETWORKDAYS(Tabela4[[#This Row],[Dt Inicial]],TODAY()),"")</f>
        <v/>
      </c>
      <c r="AA574" t="b">
        <f>AND(Tabela4[[#This Row],[Status]]="Keyuser - Aguardando tarefa precedente",K573="Keyuser - Concluído ")</f>
        <v>0</v>
      </c>
    </row>
    <row r="575" spans="1:27" x14ac:dyDescent="0.25">
      <c r="A575" t="str">
        <f>"OUT-"&amp;IFERROR(MID(Tabela4[[#This Row],[Cenário]],SEARCH("(",Tabela4[[#This Row],[Cenário]])+1,SEARCH(")",Tabela4[[#This Row],[Cenário]])-SEARCH("(",Tabela4[[#This Row],[Cenário]])-1),"")&amp;"_"&amp;ROW()</f>
        <v>OUT-Y604_575</v>
      </c>
      <c r="B575" t="s">
        <v>358</v>
      </c>
      <c r="C575" t="s">
        <v>688</v>
      </c>
      <c r="D575" s="5" t="s">
        <v>366</v>
      </c>
      <c r="E575">
        <v>3</v>
      </c>
      <c r="F575" t="s">
        <v>366</v>
      </c>
      <c r="G575" t="s">
        <v>367</v>
      </c>
      <c r="H575" s="13"/>
      <c r="I575" s="13" t="s">
        <v>689</v>
      </c>
      <c r="J575" s="35" t="s">
        <v>364</v>
      </c>
      <c r="K575" s="9" t="s">
        <v>271</v>
      </c>
      <c r="N575" s="78"/>
      <c r="O575" s="31"/>
      <c r="P575" s="9"/>
      <c r="Q575" s="9">
        <f>COUNTIF(Tabela4[[#All],[Cenário]],Tabela4[[#This Row],[Cenário]])</f>
        <v>8</v>
      </c>
      <c r="R575">
        <f>COUNTIFS(Tabela4[[#All],[Cenário]],Tabela4[[#This Row],[Cenário]],Tabela4[[#All],[Status]],"Keyuser - Concluído ")</f>
        <v>3</v>
      </c>
      <c r="S575" t="str">
        <f>IF(Tabela4[[#This Row],[Tarefas por Cenário]]-Tabela4[[#This Row],[Tarefas Concluídas]]&gt;0,"Não","Sim")</f>
        <v>Não</v>
      </c>
      <c r="T575">
        <f>COUNTIFS(Tabela4[[#All],[Cenário]],Tabela4[[#This Row],[Cenário]],Tabela4[[#All],[Status]],Tabela4[[#Headers],[Elo - Em correção ]])</f>
        <v>0</v>
      </c>
      <c r="U575">
        <f>COUNTIFS(Tabela4[[#All],[Cenário]],Tabela4[[#This Row],[Cenário]],Tabela4[[#All],[Status]],Tabela4[[#Headers],[Keyuser - Aguardando tarefa precedente]])</f>
        <v>3</v>
      </c>
      <c r="V575">
        <f>COUNTIFS(Tabela4[[#All],[Cenário]],Tabela4[[#This Row],[Cenário]],Tabela4[[#All],[Status]],Tabela4[[#Headers],[Não liberado  para testes]])</f>
        <v>1</v>
      </c>
      <c r="W575" t="str">
        <f>IF(Tabela4[[#This Row],[Elo - Em correção ]]&gt;0,"Sim","Não")</f>
        <v>Não</v>
      </c>
      <c r="X575" t="str">
        <f>IF(Tabela4[[#This Row],[Keyuser - Aguardando tarefa precedente]]&gt;0,"Sim","Não")</f>
        <v>Sim</v>
      </c>
      <c r="Y575" t="str">
        <f>IF(Tabela4[[#This Row],[Não liberado  para testes]]&gt;0,"Sim","Não")</f>
        <v>Sim</v>
      </c>
      <c r="Z575" t="str">
        <f ca="1">IF(Tabela4[[#This Row],[Status]]="Keyuser - Pendente",NETWORKDAYS(Tabela4[[#This Row],[Dt Inicial]],TODAY()),"")</f>
        <v/>
      </c>
      <c r="AA575" t="b">
        <f>AND(Tabela4[[#This Row],[Status]]="Keyuser - Aguardando tarefa precedente",K574="Keyuser - Concluído ")</f>
        <v>0</v>
      </c>
    </row>
    <row r="576" spans="1:27" x14ac:dyDescent="0.25">
      <c r="A576" t="str">
        <f>"OUT-"&amp;IFERROR(MID(Tabela4[[#This Row],[Cenário]],SEARCH("(",Tabela4[[#This Row],[Cenário]])+1,SEARCH(")",Tabela4[[#This Row],[Cenário]])-SEARCH("(",Tabela4[[#This Row],[Cenário]])-1),"")&amp;"_"&amp;ROW()</f>
        <v>OUT-Y604_576</v>
      </c>
      <c r="B576" t="s">
        <v>358</v>
      </c>
      <c r="C576" t="s">
        <v>688</v>
      </c>
      <c r="D576" s="5" t="s">
        <v>368</v>
      </c>
      <c r="E576">
        <v>4</v>
      </c>
      <c r="F576" t="s">
        <v>368</v>
      </c>
      <c r="G576" t="s">
        <v>377</v>
      </c>
      <c r="H576" s="15"/>
      <c r="I576" s="15"/>
      <c r="J576" s="15"/>
      <c r="K576" s="9" t="s">
        <v>690</v>
      </c>
      <c r="N576" s="78"/>
      <c r="O576" s="31" t="s">
        <v>691</v>
      </c>
      <c r="P576" s="9"/>
      <c r="Q576" s="9">
        <f>COUNTIF(Tabela4[[#All],[Cenário]],Tabela4[[#This Row],[Cenário]])</f>
        <v>8</v>
      </c>
      <c r="R576">
        <f>COUNTIFS(Tabela4[[#All],[Cenário]],Tabela4[[#This Row],[Cenário]],Tabela4[[#All],[Status]],"Keyuser - Concluído ")</f>
        <v>3</v>
      </c>
      <c r="S576" t="str">
        <f>IF(Tabela4[[#This Row],[Tarefas por Cenário]]-Tabela4[[#This Row],[Tarefas Concluídas]]&gt;0,"Não","Sim")</f>
        <v>Não</v>
      </c>
      <c r="T576">
        <f>COUNTIFS(Tabela4[[#All],[Cenário]],Tabela4[[#This Row],[Cenário]],Tabela4[[#All],[Status]],Tabela4[[#Headers],[Elo - Em correção ]])</f>
        <v>0</v>
      </c>
      <c r="U576">
        <f>COUNTIFS(Tabela4[[#All],[Cenário]],Tabela4[[#This Row],[Cenário]],Tabela4[[#All],[Status]],Tabela4[[#Headers],[Keyuser - Aguardando tarefa precedente]])</f>
        <v>3</v>
      </c>
      <c r="V576">
        <f>COUNTIFS(Tabela4[[#All],[Cenário]],Tabela4[[#This Row],[Cenário]],Tabela4[[#All],[Status]],Tabela4[[#Headers],[Não liberado  para testes]])</f>
        <v>1</v>
      </c>
      <c r="W576" t="str">
        <f>IF(Tabela4[[#This Row],[Elo - Em correção ]]&gt;0,"Sim","Não")</f>
        <v>Não</v>
      </c>
      <c r="X576" t="str">
        <f>IF(Tabela4[[#This Row],[Keyuser - Aguardando tarefa precedente]]&gt;0,"Sim","Não")</f>
        <v>Sim</v>
      </c>
      <c r="Y576" t="str">
        <f>IF(Tabela4[[#This Row],[Não liberado  para testes]]&gt;0,"Sim","Não")</f>
        <v>Sim</v>
      </c>
      <c r="Z576" t="str">
        <f ca="1">IF(Tabela4[[#This Row],[Status]]="Keyuser - Pendente",NETWORKDAYS(Tabela4[[#This Row],[Dt Inicial]],TODAY()),"")</f>
        <v/>
      </c>
      <c r="AA576" t="b">
        <f>AND(Tabela4[[#This Row],[Status]]="Keyuser - Aguardando tarefa precedente",K575="Keyuser - Concluído ")</f>
        <v>0</v>
      </c>
    </row>
    <row r="577" spans="1:27" x14ac:dyDescent="0.25">
      <c r="A577" t="str">
        <f>"OUT-"&amp;IFERROR(MID(Tabela4[[#This Row],[Cenário]],SEARCH("(",Tabela4[[#This Row],[Cenário]])+1,SEARCH(")",Tabela4[[#This Row],[Cenário]])-SEARCH("(",Tabela4[[#This Row],[Cenário]])-1),"")&amp;"_"&amp;ROW()</f>
        <v>OUT-Y604_577</v>
      </c>
      <c r="B577" t="s">
        <v>358</v>
      </c>
      <c r="C577" t="s">
        <v>688</v>
      </c>
      <c r="D577" s="5" t="s">
        <v>371</v>
      </c>
      <c r="E577">
        <v>5</v>
      </c>
      <c r="F577" t="s">
        <v>435</v>
      </c>
      <c r="G577" t="s">
        <v>287</v>
      </c>
      <c r="H577" s="35"/>
      <c r="I577" s="13"/>
      <c r="J577" s="13"/>
      <c r="K577" s="9" t="s">
        <v>261</v>
      </c>
      <c r="N577" s="78"/>
      <c r="O577" s="31"/>
      <c r="P577" s="9"/>
      <c r="Q577" s="9">
        <f>COUNTIF(Tabela4[[#All],[Cenário]],Tabela4[[#This Row],[Cenário]])</f>
        <v>8</v>
      </c>
      <c r="R577">
        <f>COUNTIFS(Tabela4[[#All],[Cenário]],Tabela4[[#This Row],[Cenário]],Tabela4[[#All],[Status]],"Keyuser - Concluído ")</f>
        <v>3</v>
      </c>
      <c r="S577" t="str">
        <f>IF(Tabela4[[#This Row],[Tarefas por Cenário]]-Tabela4[[#This Row],[Tarefas Concluídas]]&gt;0,"Não","Sim")</f>
        <v>Não</v>
      </c>
      <c r="T577">
        <f>COUNTIFS(Tabela4[[#All],[Cenário]],Tabela4[[#This Row],[Cenário]],Tabela4[[#All],[Status]],Tabela4[[#Headers],[Elo - Em correção ]])</f>
        <v>0</v>
      </c>
      <c r="U577">
        <f>COUNTIFS(Tabela4[[#All],[Cenário]],Tabela4[[#This Row],[Cenário]],Tabela4[[#All],[Status]],Tabela4[[#Headers],[Keyuser - Aguardando tarefa precedente]])</f>
        <v>3</v>
      </c>
      <c r="V577">
        <f>COUNTIFS(Tabela4[[#All],[Cenário]],Tabela4[[#This Row],[Cenário]],Tabela4[[#All],[Status]],Tabela4[[#Headers],[Não liberado  para testes]])</f>
        <v>1</v>
      </c>
      <c r="W577" t="str">
        <f>IF(Tabela4[[#This Row],[Elo - Em correção ]]&gt;0,"Sim","Não")</f>
        <v>Não</v>
      </c>
      <c r="X577" t="str">
        <f>IF(Tabela4[[#This Row],[Keyuser - Aguardando tarefa precedente]]&gt;0,"Sim","Não")</f>
        <v>Sim</v>
      </c>
      <c r="Y577" t="str">
        <f>IF(Tabela4[[#This Row],[Não liberado  para testes]]&gt;0,"Sim","Não")</f>
        <v>Sim</v>
      </c>
      <c r="Z577" t="str">
        <f ca="1">IF(Tabela4[[#This Row],[Status]]="Keyuser - Pendente",NETWORKDAYS(Tabela4[[#This Row],[Dt Inicial]],TODAY()),"")</f>
        <v/>
      </c>
      <c r="AA577" t="b">
        <f>AND(Tabela4[[#This Row],[Status]]="Keyuser - Aguardando tarefa precedente",K576="Keyuser - Concluído ")</f>
        <v>0</v>
      </c>
    </row>
    <row r="578" spans="1:27" x14ac:dyDescent="0.25">
      <c r="A578" t="str">
        <f>"OUT-"&amp;IFERROR(MID(Tabela4[[#This Row],[Cenário]],SEARCH("(",Tabela4[[#This Row],[Cenário]])+1,SEARCH(")",Tabela4[[#This Row],[Cenário]])-SEARCH("(",Tabela4[[#This Row],[Cenário]])-1),"")&amp;"_"&amp;ROW()</f>
        <v>OUT-Y604_578</v>
      </c>
      <c r="B578" t="s">
        <v>358</v>
      </c>
      <c r="C578" t="s">
        <v>688</v>
      </c>
      <c r="D578" s="5" t="s">
        <v>373</v>
      </c>
      <c r="E578">
        <v>6</v>
      </c>
      <c r="F578" t="s">
        <v>373</v>
      </c>
      <c r="G578" t="s">
        <v>283</v>
      </c>
      <c r="H578" s="13"/>
      <c r="I578" s="13"/>
      <c r="J578" s="13"/>
      <c r="K578" s="9" t="s">
        <v>261</v>
      </c>
      <c r="N578" s="78"/>
      <c r="O578" s="31"/>
      <c r="P578" s="9"/>
      <c r="Q578" s="9">
        <f>COUNTIF(Tabela4[[#All],[Cenário]],Tabela4[[#This Row],[Cenário]])</f>
        <v>8</v>
      </c>
      <c r="R578">
        <f>COUNTIFS(Tabela4[[#All],[Cenário]],Tabela4[[#This Row],[Cenário]],Tabela4[[#All],[Status]],"Keyuser - Concluído ")</f>
        <v>3</v>
      </c>
      <c r="S578" t="str">
        <f>IF(Tabela4[[#This Row],[Tarefas por Cenário]]-Tabela4[[#This Row],[Tarefas Concluídas]]&gt;0,"Não","Sim")</f>
        <v>Não</v>
      </c>
      <c r="T578">
        <f>COUNTIFS(Tabela4[[#All],[Cenário]],Tabela4[[#This Row],[Cenário]],Tabela4[[#All],[Status]],Tabela4[[#Headers],[Elo - Em correção ]])</f>
        <v>0</v>
      </c>
      <c r="U578">
        <f>COUNTIFS(Tabela4[[#All],[Cenário]],Tabela4[[#This Row],[Cenário]],Tabela4[[#All],[Status]],Tabela4[[#Headers],[Keyuser - Aguardando tarefa precedente]])</f>
        <v>3</v>
      </c>
      <c r="V578">
        <f>COUNTIFS(Tabela4[[#All],[Cenário]],Tabela4[[#This Row],[Cenário]],Tabela4[[#All],[Status]],Tabela4[[#Headers],[Não liberado  para testes]])</f>
        <v>1</v>
      </c>
      <c r="W578" t="str">
        <f>IF(Tabela4[[#This Row],[Elo - Em correção ]]&gt;0,"Sim","Não")</f>
        <v>Não</v>
      </c>
      <c r="X578" t="str">
        <f>IF(Tabela4[[#This Row],[Keyuser - Aguardando tarefa precedente]]&gt;0,"Sim","Não")</f>
        <v>Sim</v>
      </c>
      <c r="Y578" t="str">
        <f>IF(Tabela4[[#This Row],[Não liberado  para testes]]&gt;0,"Sim","Não")</f>
        <v>Sim</v>
      </c>
      <c r="Z578" t="str">
        <f ca="1">IF(Tabela4[[#This Row],[Status]]="Keyuser - Pendente",NETWORKDAYS(Tabela4[[#This Row],[Dt Inicial]],TODAY()),"")</f>
        <v/>
      </c>
      <c r="AA578" t="b">
        <f>AND(Tabela4[[#This Row],[Status]]="Keyuser - Aguardando tarefa precedente",K577="Keyuser - Concluído ")</f>
        <v>0</v>
      </c>
    </row>
    <row r="579" spans="1:27" x14ac:dyDescent="0.25">
      <c r="A579" t="str">
        <f>"OUT-"&amp;IFERROR(MID(Tabela4[[#This Row],[Cenário]],SEARCH("(",Tabela4[[#This Row],[Cenário]])+1,SEARCH(")",Tabela4[[#This Row],[Cenário]])-SEARCH("(",Tabela4[[#This Row],[Cenário]])-1),"")&amp;"_"&amp;ROW()</f>
        <v>OUT-Y604_579</v>
      </c>
      <c r="B579" t="s">
        <v>374</v>
      </c>
      <c r="C579" t="s">
        <v>688</v>
      </c>
      <c r="D579" s="5" t="s">
        <v>286</v>
      </c>
      <c r="E579">
        <v>7</v>
      </c>
      <c r="F579" t="s">
        <v>286</v>
      </c>
      <c r="G579" t="s">
        <v>287</v>
      </c>
      <c r="H579" s="13"/>
      <c r="I579" s="13"/>
      <c r="J579" s="13"/>
      <c r="K579" s="9" t="s">
        <v>262</v>
      </c>
      <c r="N579" s="78"/>
      <c r="O579" s="31"/>
      <c r="P579" s="9"/>
      <c r="Q579" s="9">
        <f>COUNTIF(Tabela4[[#All],[Cenário]],Tabela4[[#This Row],[Cenário]])</f>
        <v>8</v>
      </c>
      <c r="R579">
        <f>COUNTIFS(Tabela4[[#All],[Cenário]],Tabela4[[#This Row],[Cenário]],Tabela4[[#All],[Status]],"Keyuser - Concluído ")</f>
        <v>3</v>
      </c>
      <c r="S579" t="str">
        <f>IF(Tabela4[[#This Row],[Tarefas por Cenário]]-Tabela4[[#This Row],[Tarefas Concluídas]]&gt;0,"Não","Sim")</f>
        <v>Não</v>
      </c>
      <c r="T579">
        <f>COUNTIFS(Tabela4[[#All],[Cenário]],Tabela4[[#This Row],[Cenário]],Tabela4[[#All],[Status]],Tabela4[[#Headers],[Elo - Em correção ]])</f>
        <v>0</v>
      </c>
      <c r="U579">
        <f>COUNTIFS(Tabela4[[#All],[Cenário]],Tabela4[[#This Row],[Cenário]],Tabela4[[#All],[Status]],Tabela4[[#Headers],[Keyuser - Aguardando tarefa precedente]])</f>
        <v>3</v>
      </c>
      <c r="V579">
        <f>COUNTIFS(Tabela4[[#All],[Cenário]],Tabela4[[#This Row],[Cenário]],Tabela4[[#All],[Status]],Tabela4[[#Headers],[Não liberado  para testes]])</f>
        <v>1</v>
      </c>
      <c r="W579" t="str">
        <f>IF(Tabela4[[#This Row],[Elo - Em correção ]]&gt;0,"Sim","Não")</f>
        <v>Não</v>
      </c>
      <c r="X579" t="str">
        <f>IF(Tabela4[[#This Row],[Keyuser - Aguardando tarefa precedente]]&gt;0,"Sim","Não")</f>
        <v>Sim</v>
      </c>
      <c r="Y579" t="str">
        <f>IF(Tabela4[[#This Row],[Não liberado  para testes]]&gt;0,"Sim","Não")</f>
        <v>Sim</v>
      </c>
      <c r="Z579" t="str">
        <f ca="1">IF(Tabela4[[#This Row],[Status]]="Keyuser - Pendente",NETWORKDAYS(Tabela4[[#This Row],[Dt Inicial]],TODAY()),"")</f>
        <v/>
      </c>
      <c r="AA579" t="b">
        <f>AND(Tabela4[[#This Row],[Status]]="Keyuser - Aguardando tarefa precedente",K578="Keyuser - Concluído ")</f>
        <v>0</v>
      </c>
    </row>
    <row r="580" spans="1:27" x14ac:dyDescent="0.25">
      <c r="A580" t="str">
        <f>"OUT-"&amp;IFERROR(MID(Tabela4[[#This Row],[Cenário]],SEARCH("(",Tabela4[[#This Row],[Cenário]])+1,SEARCH(")",Tabela4[[#This Row],[Cenário]])-SEARCH("(",Tabela4[[#This Row],[Cenário]])-1),"")&amp;"_"&amp;ROW()</f>
        <v>OUT-Y604_580</v>
      </c>
      <c r="B580" t="s">
        <v>358</v>
      </c>
      <c r="C580" t="s">
        <v>688</v>
      </c>
      <c r="D580" s="5" t="s">
        <v>375</v>
      </c>
      <c r="E580">
        <v>8</v>
      </c>
      <c r="F580" t="s">
        <v>375</v>
      </c>
      <c r="G580" t="s">
        <v>367</v>
      </c>
      <c r="H580" s="13"/>
      <c r="I580" s="13"/>
      <c r="J580" s="13"/>
      <c r="K580" s="9" t="s">
        <v>261</v>
      </c>
      <c r="N580" s="78"/>
      <c r="O580" s="31"/>
      <c r="P580" s="9"/>
      <c r="Q580" s="9">
        <f>COUNTIF(Tabela4[[#All],[Cenário]],Tabela4[[#This Row],[Cenário]])</f>
        <v>8</v>
      </c>
      <c r="R580">
        <f>COUNTIFS(Tabela4[[#All],[Cenário]],Tabela4[[#This Row],[Cenário]],Tabela4[[#All],[Status]],"Keyuser - Concluído ")</f>
        <v>3</v>
      </c>
      <c r="S580" t="str">
        <f>IF(Tabela4[[#This Row],[Tarefas por Cenário]]-Tabela4[[#This Row],[Tarefas Concluídas]]&gt;0,"Não","Sim")</f>
        <v>Não</v>
      </c>
      <c r="T580">
        <f>COUNTIFS(Tabela4[[#All],[Cenário]],Tabela4[[#This Row],[Cenário]],Tabela4[[#All],[Status]],Tabela4[[#Headers],[Elo - Em correção ]])</f>
        <v>0</v>
      </c>
      <c r="U580">
        <f>COUNTIFS(Tabela4[[#All],[Cenário]],Tabela4[[#This Row],[Cenário]],Tabela4[[#All],[Status]],Tabela4[[#Headers],[Keyuser - Aguardando tarefa precedente]])</f>
        <v>3</v>
      </c>
      <c r="V580">
        <f>COUNTIFS(Tabela4[[#All],[Cenário]],Tabela4[[#This Row],[Cenário]],Tabela4[[#All],[Status]],Tabela4[[#Headers],[Não liberado  para testes]])</f>
        <v>1</v>
      </c>
      <c r="W580" t="str">
        <f>IF(Tabela4[[#This Row],[Elo - Em correção ]]&gt;0,"Sim","Não")</f>
        <v>Não</v>
      </c>
      <c r="X580" t="str">
        <f>IF(Tabela4[[#This Row],[Keyuser - Aguardando tarefa precedente]]&gt;0,"Sim","Não")</f>
        <v>Sim</v>
      </c>
      <c r="Y580" t="str">
        <f>IF(Tabela4[[#This Row],[Não liberado  para testes]]&gt;0,"Sim","Não")</f>
        <v>Sim</v>
      </c>
      <c r="Z580" t="str">
        <f ca="1">IF(Tabela4[[#This Row],[Status]]="Keyuser - Pendente",NETWORKDAYS(Tabela4[[#This Row],[Dt Inicial]],TODAY()),"")</f>
        <v/>
      </c>
      <c r="AA580" t="b">
        <f>AND(Tabela4[[#This Row],[Status]]="Keyuser - Aguardando tarefa precedente",K579="Keyuser - Concluído ")</f>
        <v>0</v>
      </c>
    </row>
    <row r="581" spans="1:27" x14ac:dyDescent="0.25">
      <c r="A581" t="str">
        <f>"OUT-"&amp;IFERROR(MID(Tabela4[[#This Row],[Cenário]],SEARCH("(",Tabela4[[#This Row],[Cenário]])+1,SEARCH(")",Tabela4[[#This Row],[Cenário]])-SEARCH("(",Tabela4[[#This Row],[Cenário]])-1),"")&amp;"_"&amp;ROW()</f>
        <v>OUT-Y803_581</v>
      </c>
      <c r="B581" t="s">
        <v>358</v>
      </c>
      <c r="C581" t="s">
        <v>692</v>
      </c>
      <c r="D581" t="s">
        <v>360</v>
      </c>
      <c r="E581">
        <v>1</v>
      </c>
      <c r="F581" t="s">
        <v>360</v>
      </c>
      <c r="G581" t="s">
        <v>643</v>
      </c>
      <c r="H581" s="9">
        <v>70583961</v>
      </c>
      <c r="I581" s="9" t="s">
        <v>693</v>
      </c>
      <c r="K581" s="9" t="s">
        <v>271</v>
      </c>
      <c r="L581" s="78">
        <v>45951</v>
      </c>
      <c r="N581" s="78">
        <v>45951</v>
      </c>
      <c r="O581" s="31"/>
      <c r="P581" s="9"/>
      <c r="Q581" s="9">
        <f>COUNTIF(Tabela4[[#All],[Cenário]],Tabela4[[#This Row],[Cenário]])</f>
        <v>5</v>
      </c>
      <c r="R581">
        <f>COUNTIFS(Tabela4[[#All],[Cenário]],Tabela4[[#This Row],[Cenário]],Tabela4[[#All],[Status]],"Keyuser - Concluído ")</f>
        <v>5</v>
      </c>
      <c r="S581" t="str">
        <f>IF(Tabela4[[#This Row],[Tarefas por Cenário]]-Tabela4[[#This Row],[Tarefas Concluídas]]&gt;0,"Não","Sim")</f>
        <v>Sim</v>
      </c>
      <c r="T581">
        <f>COUNTIFS(Tabela4[[#All],[Cenário]],Tabela4[[#This Row],[Cenário]],Tabela4[[#All],[Status]],Tabela4[[#Headers],[Elo - Em correção ]])</f>
        <v>0</v>
      </c>
      <c r="U581">
        <f>COUNTIFS(Tabela4[[#All],[Cenário]],Tabela4[[#This Row],[Cenário]],Tabela4[[#All],[Status]],Tabela4[[#Headers],[Keyuser - Aguardando tarefa precedente]])</f>
        <v>0</v>
      </c>
      <c r="V581">
        <f>COUNTIFS(Tabela4[[#All],[Cenário]],Tabela4[[#This Row],[Cenário]],Tabela4[[#All],[Status]],Tabela4[[#Headers],[Não liberado  para testes]])</f>
        <v>0</v>
      </c>
      <c r="W581" t="str">
        <f>IF(Tabela4[[#This Row],[Elo - Em correção ]]&gt;0,"Sim","Não")</f>
        <v>Não</v>
      </c>
      <c r="X581" t="str">
        <f>IF(Tabela4[[#This Row],[Keyuser - Aguardando tarefa precedente]]&gt;0,"Sim","Não")</f>
        <v>Não</v>
      </c>
      <c r="Y581" t="str">
        <f>IF(Tabela4[[#This Row],[Não liberado  para testes]]&gt;0,"Sim","Não")</f>
        <v>Não</v>
      </c>
      <c r="Z581" t="str">
        <f ca="1">IF(Tabela4[[#This Row],[Status]]="Keyuser - Pendente",NETWORKDAYS(Tabela4[[#This Row],[Dt Inicial]],TODAY()),"")</f>
        <v/>
      </c>
      <c r="AA581" t="b">
        <f>AND(Tabela4[[#This Row],[Status]]="Keyuser - Aguardando tarefa precedente",K580="Keyuser - Concluído ")</f>
        <v>0</v>
      </c>
    </row>
    <row r="582" spans="1:27" x14ac:dyDescent="0.25">
      <c r="A582" t="str">
        <f>"OUT-"&amp;IFERROR(MID(Tabela4[[#This Row],[Cenário]],SEARCH("(",Tabela4[[#This Row],[Cenário]])+1,SEARCH(")",Tabela4[[#This Row],[Cenário]])-SEARCH("(",Tabela4[[#This Row],[Cenário]])-1),"")&amp;"_"&amp;ROW()</f>
        <v>OUT-Y803_582</v>
      </c>
      <c r="B582" t="s">
        <v>358</v>
      </c>
      <c r="C582" t="s">
        <v>692</v>
      </c>
      <c r="D582" t="s">
        <v>365</v>
      </c>
      <c r="E582">
        <v>2</v>
      </c>
      <c r="F582" t="s">
        <v>365</v>
      </c>
      <c r="G582" t="s">
        <v>310</v>
      </c>
      <c r="H582" s="9">
        <v>70583961</v>
      </c>
      <c r="I582" s="9" t="s">
        <v>693</v>
      </c>
      <c r="J582" s="35" t="s">
        <v>364</v>
      </c>
      <c r="K582" s="9" t="s">
        <v>271</v>
      </c>
      <c r="L582" s="78">
        <v>45951</v>
      </c>
      <c r="N582" s="78">
        <v>45951</v>
      </c>
      <c r="O582" s="31"/>
      <c r="P582" s="9"/>
      <c r="Q582" s="9">
        <f>COUNTIF(Tabela4[[#All],[Cenário]],Tabela4[[#This Row],[Cenário]])</f>
        <v>5</v>
      </c>
      <c r="R582">
        <f>COUNTIFS(Tabela4[[#All],[Cenário]],Tabela4[[#This Row],[Cenário]],Tabela4[[#All],[Status]],"Keyuser - Concluído ")</f>
        <v>5</v>
      </c>
      <c r="S582" t="str">
        <f>IF(Tabela4[[#This Row],[Tarefas por Cenário]]-Tabela4[[#This Row],[Tarefas Concluídas]]&gt;0,"Não","Sim")</f>
        <v>Sim</v>
      </c>
      <c r="T582">
        <f>COUNTIFS(Tabela4[[#All],[Cenário]],Tabela4[[#This Row],[Cenário]],Tabela4[[#All],[Status]],Tabela4[[#Headers],[Elo - Em correção ]])</f>
        <v>0</v>
      </c>
      <c r="U582">
        <f>COUNTIFS(Tabela4[[#All],[Cenário]],Tabela4[[#This Row],[Cenário]],Tabela4[[#All],[Status]],Tabela4[[#Headers],[Keyuser - Aguardando tarefa precedente]])</f>
        <v>0</v>
      </c>
      <c r="V582">
        <f>COUNTIFS(Tabela4[[#All],[Cenário]],Tabela4[[#This Row],[Cenário]],Tabela4[[#All],[Status]],Tabela4[[#Headers],[Não liberado  para testes]])</f>
        <v>0</v>
      </c>
      <c r="W582" t="str">
        <f>IF(Tabela4[[#This Row],[Elo - Em correção ]]&gt;0,"Sim","Não")</f>
        <v>Não</v>
      </c>
      <c r="X582" t="str">
        <f>IF(Tabela4[[#This Row],[Keyuser - Aguardando tarefa precedente]]&gt;0,"Sim","Não")</f>
        <v>Não</v>
      </c>
      <c r="Y582" t="str">
        <f>IF(Tabela4[[#This Row],[Não liberado  para testes]]&gt;0,"Sim","Não")</f>
        <v>Não</v>
      </c>
      <c r="Z582" t="str">
        <f ca="1">IF(Tabela4[[#This Row],[Status]]="Keyuser - Pendente",NETWORKDAYS(Tabela4[[#This Row],[Dt Inicial]],TODAY()),"")</f>
        <v/>
      </c>
      <c r="AA582" t="b">
        <f>AND(Tabela4[[#This Row],[Status]]="Keyuser - Aguardando tarefa precedente",K581="Keyuser - Concluído ")</f>
        <v>0</v>
      </c>
    </row>
    <row r="583" spans="1:27" x14ac:dyDescent="0.25">
      <c r="A583" t="str">
        <f>"OUT-"&amp;IFERROR(MID(Tabela4[[#This Row],[Cenário]],SEARCH("(",Tabela4[[#This Row],[Cenário]])+1,SEARCH(")",Tabela4[[#This Row],[Cenário]])-SEARCH("(",Tabela4[[#This Row],[Cenário]])-1),"")&amp;"_"&amp;ROW()</f>
        <v>OUT-Y803_583</v>
      </c>
      <c r="B583" t="s">
        <v>358</v>
      </c>
      <c r="C583" t="s">
        <v>692</v>
      </c>
      <c r="D583" t="s">
        <v>366</v>
      </c>
      <c r="E583">
        <v>3</v>
      </c>
      <c r="F583" t="s">
        <v>366</v>
      </c>
      <c r="G583" t="s">
        <v>367</v>
      </c>
      <c r="H583" s="9">
        <v>70583961</v>
      </c>
      <c r="I583" s="9" t="s">
        <v>693</v>
      </c>
      <c r="K583" s="9" t="s">
        <v>271</v>
      </c>
      <c r="L583" s="78">
        <v>45951</v>
      </c>
      <c r="N583" s="78">
        <v>45951</v>
      </c>
      <c r="O583" s="31"/>
      <c r="P583" s="9"/>
      <c r="Q583" s="9">
        <f>COUNTIF(Tabela4[[#All],[Cenário]],Tabela4[[#This Row],[Cenário]])</f>
        <v>5</v>
      </c>
      <c r="R583">
        <f>COUNTIFS(Tabela4[[#All],[Cenário]],Tabela4[[#This Row],[Cenário]],Tabela4[[#All],[Status]],"Keyuser - Concluído ")</f>
        <v>5</v>
      </c>
      <c r="S583" t="str">
        <f>IF(Tabela4[[#This Row],[Tarefas por Cenário]]-Tabela4[[#This Row],[Tarefas Concluídas]]&gt;0,"Não","Sim")</f>
        <v>Sim</v>
      </c>
      <c r="T583">
        <f>COUNTIFS(Tabela4[[#All],[Cenário]],Tabela4[[#This Row],[Cenário]],Tabela4[[#All],[Status]],Tabela4[[#Headers],[Elo - Em correção ]])</f>
        <v>0</v>
      </c>
      <c r="U583">
        <f>COUNTIFS(Tabela4[[#All],[Cenário]],Tabela4[[#This Row],[Cenário]],Tabela4[[#All],[Status]],Tabela4[[#Headers],[Keyuser - Aguardando tarefa precedente]])</f>
        <v>0</v>
      </c>
      <c r="V583">
        <f>COUNTIFS(Tabela4[[#All],[Cenário]],Tabela4[[#This Row],[Cenário]],Tabela4[[#All],[Status]],Tabela4[[#Headers],[Não liberado  para testes]])</f>
        <v>0</v>
      </c>
      <c r="W583" t="str">
        <f>IF(Tabela4[[#This Row],[Elo - Em correção ]]&gt;0,"Sim","Não")</f>
        <v>Não</v>
      </c>
      <c r="X583" t="str">
        <f>IF(Tabela4[[#This Row],[Keyuser - Aguardando tarefa precedente]]&gt;0,"Sim","Não")</f>
        <v>Não</v>
      </c>
      <c r="Y583" t="str">
        <f>IF(Tabela4[[#This Row],[Não liberado  para testes]]&gt;0,"Sim","Não")</f>
        <v>Não</v>
      </c>
      <c r="Z583" t="str">
        <f ca="1">IF(Tabela4[[#This Row],[Status]]="Keyuser - Pendente",NETWORKDAYS(Tabela4[[#This Row],[Dt Inicial]],TODAY()),"")</f>
        <v/>
      </c>
      <c r="AA583" t="b">
        <f>AND(Tabela4[[#This Row],[Status]]="Keyuser - Aguardando tarefa precedente",K582="Keyuser - Concluído ")</f>
        <v>0</v>
      </c>
    </row>
    <row r="584" spans="1:27" x14ac:dyDescent="0.25">
      <c r="A584" t="str">
        <f>"OUT-"&amp;IFERROR(MID(Tabela4[[#This Row],[Cenário]],SEARCH("(",Tabela4[[#This Row],[Cenário]])+1,SEARCH(")",Tabela4[[#This Row],[Cenário]])-SEARCH("(",Tabela4[[#This Row],[Cenário]])-1),"")&amp;"_"&amp;ROW()</f>
        <v>OUT-Y803_584</v>
      </c>
      <c r="B584" t="s">
        <v>358</v>
      </c>
      <c r="C584" t="s">
        <v>692</v>
      </c>
      <c r="D584" t="s">
        <v>368</v>
      </c>
      <c r="E584">
        <v>4</v>
      </c>
      <c r="F584" t="s">
        <v>368</v>
      </c>
      <c r="G584" t="s">
        <v>377</v>
      </c>
      <c r="H584" s="9" t="s">
        <v>694</v>
      </c>
      <c r="K584" s="9" t="s">
        <v>271</v>
      </c>
      <c r="L584" s="78">
        <v>45955</v>
      </c>
      <c r="N584" s="78">
        <v>45955</v>
      </c>
      <c r="O584" s="31" t="s">
        <v>695</v>
      </c>
      <c r="P584" s="9"/>
      <c r="Q584" s="9">
        <f>COUNTIF(Tabela4[[#All],[Cenário]],Tabela4[[#This Row],[Cenário]])</f>
        <v>5</v>
      </c>
      <c r="R584">
        <f>COUNTIFS(Tabela4[[#All],[Cenário]],Tabela4[[#This Row],[Cenário]],Tabela4[[#All],[Status]],"Keyuser - Concluído ")</f>
        <v>5</v>
      </c>
      <c r="S584" t="str">
        <f>IF(Tabela4[[#This Row],[Tarefas por Cenário]]-Tabela4[[#This Row],[Tarefas Concluídas]]&gt;0,"Não","Sim")</f>
        <v>Sim</v>
      </c>
      <c r="T584">
        <f>COUNTIFS(Tabela4[[#All],[Cenário]],Tabela4[[#This Row],[Cenário]],Tabela4[[#All],[Status]],Tabela4[[#Headers],[Elo - Em correção ]])</f>
        <v>0</v>
      </c>
      <c r="U584">
        <f>COUNTIFS(Tabela4[[#All],[Cenário]],Tabela4[[#This Row],[Cenário]],Tabela4[[#All],[Status]],Tabela4[[#Headers],[Keyuser - Aguardando tarefa precedente]])</f>
        <v>0</v>
      </c>
      <c r="V584">
        <f>COUNTIFS(Tabela4[[#All],[Cenário]],Tabela4[[#This Row],[Cenário]],Tabela4[[#All],[Status]],Tabela4[[#Headers],[Não liberado  para testes]])</f>
        <v>0</v>
      </c>
      <c r="W584" t="str">
        <f>IF(Tabela4[[#This Row],[Elo - Em correção ]]&gt;0,"Sim","Não")</f>
        <v>Não</v>
      </c>
      <c r="X584" t="str">
        <f>IF(Tabela4[[#This Row],[Keyuser - Aguardando tarefa precedente]]&gt;0,"Sim","Não")</f>
        <v>Não</v>
      </c>
      <c r="Y584" t="str">
        <f>IF(Tabela4[[#This Row],[Não liberado  para testes]]&gt;0,"Sim","Não")</f>
        <v>Não</v>
      </c>
      <c r="Z584" t="str">
        <f ca="1">IF(Tabela4[[#This Row],[Status]]="Keyuser - Pendente",NETWORKDAYS(Tabela4[[#This Row],[Dt Inicial]],TODAY()),"")</f>
        <v/>
      </c>
      <c r="AA584" t="b">
        <f>AND(Tabela4[[#This Row],[Status]]="Keyuser - Aguardando tarefa precedente",K583="Keyuser - Concluído ")</f>
        <v>0</v>
      </c>
    </row>
    <row r="585" spans="1:27" x14ac:dyDescent="0.25">
      <c r="A585" t="str">
        <f>"OUT-"&amp;IFERROR(MID(Tabela4[[#This Row],[Cenário]],SEARCH("(",Tabela4[[#This Row],[Cenário]])+1,SEARCH(")",Tabela4[[#This Row],[Cenário]])-SEARCH("(",Tabela4[[#This Row],[Cenário]])-1),"")&amp;"_"&amp;ROW()</f>
        <v>OUT-Y803_585</v>
      </c>
      <c r="B585" t="s">
        <v>358</v>
      </c>
      <c r="C585" t="s">
        <v>692</v>
      </c>
      <c r="D585" t="s">
        <v>434</v>
      </c>
      <c r="E585">
        <v>5</v>
      </c>
      <c r="F585" t="s">
        <v>435</v>
      </c>
      <c r="G585" t="s">
        <v>287</v>
      </c>
      <c r="H585" s="9" t="s">
        <v>694</v>
      </c>
      <c r="K585" s="9" t="s">
        <v>271</v>
      </c>
      <c r="L585" s="78">
        <v>45957</v>
      </c>
      <c r="N585" s="78">
        <v>45957</v>
      </c>
      <c r="O585" s="31"/>
      <c r="P585" s="9"/>
      <c r="Q585" s="9">
        <f>COUNTIF(Tabela4[[#All],[Cenário]],Tabela4[[#This Row],[Cenário]])</f>
        <v>5</v>
      </c>
      <c r="R585">
        <f>COUNTIFS(Tabela4[[#All],[Cenário]],Tabela4[[#This Row],[Cenário]],Tabela4[[#All],[Status]],"Keyuser - Concluído ")</f>
        <v>5</v>
      </c>
      <c r="S585" t="str">
        <f>IF(Tabela4[[#This Row],[Tarefas por Cenário]]-Tabela4[[#This Row],[Tarefas Concluídas]]&gt;0,"Não","Sim")</f>
        <v>Sim</v>
      </c>
      <c r="T585">
        <f>COUNTIFS(Tabela4[[#All],[Cenário]],Tabela4[[#This Row],[Cenário]],Tabela4[[#All],[Status]],Tabela4[[#Headers],[Elo - Em correção ]])</f>
        <v>0</v>
      </c>
      <c r="U585">
        <f>COUNTIFS(Tabela4[[#All],[Cenário]],Tabela4[[#This Row],[Cenário]],Tabela4[[#All],[Status]],Tabela4[[#Headers],[Keyuser - Aguardando tarefa precedente]])</f>
        <v>0</v>
      </c>
      <c r="V585">
        <f>COUNTIFS(Tabela4[[#All],[Cenário]],Tabela4[[#This Row],[Cenário]],Tabela4[[#All],[Status]],Tabela4[[#Headers],[Não liberado  para testes]])</f>
        <v>0</v>
      </c>
      <c r="W585" t="str">
        <f>IF(Tabela4[[#This Row],[Elo - Em correção ]]&gt;0,"Sim","Não")</f>
        <v>Não</v>
      </c>
      <c r="X585" t="str">
        <f>IF(Tabela4[[#This Row],[Keyuser - Aguardando tarefa precedente]]&gt;0,"Sim","Não")</f>
        <v>Não</v>
      </c>
      <c r="Y585" t="str">
        <f>IF(Tabela4[[#This Row],[Não liberado  para testes]]&gt;0,"Sim","Não")</f>
        <v>Não</v>
      </c>
      <c r="Z585" t="str">
        <f ca="1">IF(Tabela4[[#This Row],[Status]]="Keyuser - Pendente",NETWORKDAYS(Tabela4[[#This Row],[Dt Inicial]],TODAY()),"")</f>
        <v/>
      </c>
      <c r="AA585" t="b">
        <f>AND(Tabela4[[#This Row],[Status]]="Keyuser - Aguardando tarefa precedente",K584="Keyuser - Concluído ")</f>
        <v>0</v>
      </c>
    </row>
    <row r="586" spans="1:27" x14ac:dyDescent="0.25">
      <c r="A586" s="5" t="str">
        <f>"OUT-"&amp;IFERROR(MID(Tabela4[[#This Row],[Cenário]],SEARCH("(",Tabela4[[#This Row],[Cenário]])+1,SEARCH(")",Tabela4[[#This Row],[Cenário]])-SEARCH("(",Tabela4[[#This Row],[Cenário]])-1),"")&amp;"_"&amp;ROW()</f>
        <v>OUT-Depósito-ANP_586</v>
      </c>
      <c r="B586" t="s">
        <v>358</v>
      </c>
      <c r="C586" t="s">
        <v>696</v>
      </c>
      <c r="D586" s="5" t="s">
        <v>697</v>
      </c>
      <c r="E586">
        <v>1</v>
      </c>
      <c r="F586" s="5" t="s">
        <v>697</v>
      </c>
      <c r="G586" t="s">
        <v>361</v>
      </c>
      <c r="H586" s="9">
        <v>4501889002</v>
      </c>
      <c r="K586" s="9" t="s">
        <v>271</v>
      </c>
      <c r="L586" s="78">
        <v>45975</v>
      </c>
      <c r="N586" s="78">
        <v>45975</v>
      </c>
      <c r="O586" s="31"/>
      <c r="P586" s="9"/>
      <c r="Q586" s="9">
        <f>COUNTIF(Tabela4[[#All],[Cenário]],Tabela4[[#This Row],[Cenário]])</f>
        <v>7</v>
      </c>
      <c r="R586">
        <f>COUNTIFS(Tabela4[[#All],[Cenário]],Tabela4[[#This Row],[Cenário]],Tabela4[[#All],[Status]],"Keyuser - Concluído ")</f>
        <v>6</v>
      </c>
      <c r="S586" t="str">
        <f>IF(Tabela4[[#This Row],[Tarefas por Cenário]]-Tabela4[[#This Row],[Tarefas Concluídas]]&gt;0,"Não","Sim")</f>
        <v>Não</v>
      </c>
      <c r="T586">
        <f>COUNTIFS(Tabela4[[#All],[Cenário]],Tabela4[[#This Row],[Cenário]],Tabela4[[#All],[Status]],Tabela4[[#Headers],[Elo - Em correção ]])</f>
        <v>0</v>
      </c>
      <c r="U586">
        <f>COUNTIFS(Tabela4[[#All],[Cenário]],Tabela4[[#This Row],[Cenário]],Tabela4[[#All],[Status]],Tabela4[[#Headers],[Keyuser - Aguardando tarefa precedente]])</f>
        <v>0</v>
      </c>
      <c r="V586">
        <f>COUNTIFS(Tabela4[[#All],[Cenário]],Tabela4[[#This Row],[Cenário]],Tabela4[[#All],[Status]],Tabela4[[#Headers],[Não liberado  para testes]])</f>
        <v>1</v>
      </c>
      <c r="W586" t="str">
        <f>IF(Tabela4[[#This Row],[Elo - Em correção ]]&gt;0,"Sim","Não")</f>
        <v>Não</v>
      </c>
      <c r="X586" t="str">
        <f>IF(Tabela4[[#This Row],[Keyuser - Aguardando tarefa precedente]]&gt;0,"Sim","Não")</f>
        <v>Não</v>
      </c>
      <c r="Y586" t="str">
        <f>IF(Tabela4[[#This Row],[Não liberado  para testes]]&gt;0,"Sim","Não")</f>
        <v>Sim</v>
      </c>
      <c r="Z586" t="str">
        <f ca="1">IF(Tabela4[[#This Row],[Status]]="Keyuser - Pendente",NETWORKDAYS(Tabela4[[#This Row],[Dt Inicial]],TODAY()),"")</f>
        <v/>
      </c>
      <c r="AA586" t="b">
        <f>AND(Tabela4[[#This Row],[Status]]="Keyuser - Aguardando tarefa precedente",K585="Keyuser - Concluído ")</f>
        <v>0</v>
      </c>
    </row>
    <row r="587" spans="1:27" x14ac:dyDescent="0.25">
      <c r="A587" s="5" t="str">
        <f>"OUT-"&amp;IFERROR(MID(Tabela4[[#This Row],[Cenário]],SEARCH("(",Tabela4[[#This Row],[Cenário]])+1,SEARCH(")",Tabela4[[#This Row],[Cenário]])-SEARCH("(",Tabela4[[#This Row],[Cenário]])-1),"")&amp;"_"&amp;ROW()</f>
        <v>OUT-Depósito-ANP_587</v>
      </c>
      <c r="B587" t="s">
        <v>358</v>
      </c>
      <c r="C587" t="s">
        <v>696</v>
      </c>
      <c r="D587" s="5" t="s">
        <v>698</v>
      </c>
      <c r="E587">
        <v>2</v>
      </c>
      <c r="F587" s="5" t="s">
        <v>698</v>
      </c>
      <c r="G587" t="s">
        <v>699</v>
      </c>
      <c r="H587" s="9">
        <v>4501889002</v>
      </c>
      <c r="K587" s="9" t="s">
        <v>271</v>
      </c>
      <c r="L587" s="78">
        <v>45975</v>
      </c>
      <c r="N587" s="78">
        <v>45975</v>
      </c>
      <c r="O587" s="31"/>
      <c r="P587" s="9"/>
      <c r="Q587" s="9">
        <f>COUNTIF(Tabela4[[#All],[Cenário]],Tabela4[[#This Row],[Cenário]])</f>
        <v>7</v>
      </c>
      <c r="R587">
        <f>COUNTIFS(Tabela4[[#All],[Cenário]],Tabela4[[#This Row],[Cenário]],Tabela4[[#All],[Status]],"Keyuser - Concluído ")</f>
        <v>6</v>
      </c>
      <c r="S587" t="str">
        <f>IF(Tabela4[[#This Row],[Tarefas por Cenário]]-Tabela4[[#This Row],[Tarefas Concluídas]]&gt;0,"Não","Sim")</f>
        <v>Não</v>
      </c>
      <c r="T587">
        <f>COUNTIFS(Tabela4[[#All],[Cenário]],Tabela4[[#This Row],[Cenário]],Tabela4[[#All],[Status]],Tabela4[[#Headers],[Elo - Em correção ]])</f>
        <v>0</v>
      </c>
      <c r="U587">
        <f>COUNTIFS(Tabela4[[#All],[Cenário]],Tabela4[[#This Row],[Cenário]],Tabela4[[#All],[Status]],Tabela4[[#Headers],[Keyuser - Aguardando tarefa precedente]])</f>
        <v>0</v>
      </c>
      <c r="V587">
        <f>COUNTIFS(Tabela4[[#All],[Cenário]],Tabela4[[#This Row],[Cenário]],Tabela4[[#All],[Status]],Tabela4[[#Headers],[Não liberado  para testes]])</f>
        <v>1</v>
      </c>
      <c r="W587" t="str">
        <f>IF(Tabela4[[#This Row],[Elo - Em correção ]]&gt;0,"Sim","Não")</f>
        <v>Não</v>
      </c>
      <c r="X587" t="str">
        <f>IF(Tabela4[[#This Row],[Keyuser - Aguardando tarefa precedente]]&gt;0,"Sim","Não")</f>
        <v>Não</v>
      </c>
      <c r="Y587" t="str">
        <f>IF(Tabela4[[#This Row],[Não liberado  para testes]]&gt;0,"Sim","Não")</f>
        <v>Sim</v>
      </c>
      <c r="Z587" t="str">
        <f ca="1">IF(Tabela4[[#This Row],[Status]]="Keyuser - Pendente",NETWORKDAYS(Tabela4[[#This Row],[Dt Inicial]],TODAY()),"")</f>
        <v/>
      </c>
      <c r="AA587" t="b">
        <f>AND(Tabela4[[#This Row],[Status]]="Keyuser - Aguardando tarefa precedente",K586="Keyuser - Concluído ")</f>
        <v>0</v>
      </c>
    </row>
    <row r="588" spans="1:27" x14ac:dyDescent="0.25">
      <c r="A588" s="5" t="str">
        <f>"OUT-"&amp;IFERROR(MID(Tabela4[[#This Row],[Cenário]],SEARCH("(",Tabela4[[#This Row],[Cenário]])+1,SEARCH(")",Tabela4[[#This Row],[Cenário]])-SEARCH("(",Tabela4[[#This Row],[Cenário]])-1),"")&amp;"_"&amp;ROW()</f>
        <v>OUT-Depósito-ANP_588</v>
      </c>
      <c r="B588" t="s">
        <v>358</v>
      </c>
      <c r="C588" t="s">
        <v>696</v>
      </c>
      <c r="D588" s="5" t="s">
        <v>700</v>
      </c>
      <c r="E588">
        <v>3</v>
      </c>
      <c r="F588" s="5" t="s">
        <v>700</v>
      </c>
      <c r="G588" t="s">
        <v>701</v>
      </c>
      <c r="H588" s="9" t="s">
        <v>702</v>
      </c>
      <c r="K588" s="9" t="s">
        <v>271</v>
      </c>
      <c r="L588" s="78">
        <v>45975</v>
      </c>
      <c r="N588" s="78">
        <v>45975</v>
      </c>
      <c r="O588" s="31"/>
      <c r="P588" s="9"/>
      <c r="Q588" s="9">
        <f>COUNTIF(Tabela4[[#All],[Cenário]],Tabela4[[#This Row],[Cenário]])</f>
        <v>7</v>
      </c>
      <c r="R588">
        <f>COUNTIFS(Tabela4[[#All],[Cenário]],Tabela4[[#This Row],[Cenário]],Tabela4[[#All],[Status]],"Keyuser - Concluído ")</f>
        <v>6</v>
      </c>
      <c r="S588" t="str">
        <f>IF(Tabela4[[#This Row],[Tarefas por Cenário]]-Tabela4[[#This Row],[Tarefas Concluídas]]&gt;0,"Não","Sim")</f>
        <v>Não</v>
      </c>
      <c r="T588">
        <f>COUNTIFS(Tabela4[[#All],[Cenário]],Tabela4[[#This Row],[Cenário]],Tabela4[[#All],[Status]],Tabela4[[#Headers],[Elo - Em correção ]])</f>
        <v>0</v>
      </c>
      <c r="U588">
        <f>COUNTIFS(Tabela4[[#All],[Cenário]],Tabela4[[#This Row],[Cenário]],Tabela4[[#All],[Status]],Tabela4[[#Headers],[Keyuser - Aguardando tarefa precedente]])</f>
        <v>0</v>
      </c>
      <c r="V588">
        <f>COUNTIFS(Tabela4[[#All],[Cenário]],Tabela4[[#This Row],[Cenário]],Tabela4[[#All],[Status]],Tabela4[[#Headers],[Não liberado  para testes]])</f>
        <v>1</v>
      </c>
      <c r="W588" t="str">
        <f>IF(Tabela4[[#This Row],[Elo - Em correção ]]&gt;0,"Sim","Não")</f>
        <v>Não</v>
      </c>
      <c r="X588" t="str">
        <f>IF(Tabela4[[#This Row],[Keyuser - Aguardando tarefa precedente]]&gt;0,"Sim","Não")</f>
        <v>Não</v>
      </c>
      <c r="Y588" t="str">
        <f>IF(Tabela4[[#This Row],[Não liberado  para testes]]&gt;0,"Sim","Não")</f>
        <v>Sim</v>
      </c>
      <c r="Z588" t="str">
        <f ca="1">IF(Tabela4[[#This Row],[Status]]="Keyuser - Pendente",NETWORKDAYS(Tabela4[[#This Row],[Dt Inicial]],TODAY()),"")</f>
        <v/>
      </c>
      <c r="AA588" t="b">
        <f>AND(Tabela4[[#This Row],[Status]]="Keyuser - Aguardando tarefa precedente",K587="Keyuser - Concluído ")</f>
        <v>0</v>
      </c>
    </row>
    <row r="589" spans="1:27" x14ac:dyDescent="0.25">
      <c r="A589" s="5" t="str">
        <f>"OUT-"&amp;IFERROR(MID(Tabela4[[#This Row],[Cenário]],SEARCH("(",Tabela4[[#This Row],[Cenário]])+1,SEARCH(")",Tabela4[[#This Row],[Cenário]])-SEARCH("(",Tabela4[[#This Row],[Cenário]])-1),"")&amp;"_"&amp;ROW()</f>
        <v>OUT-Depósito-ANP_589</v>
      </c>
      <c r="B589" t="s">
        <v>358</v>
      </c>
      <c r="C589" t="s">
        <v>696</v>
      </c>
      <c r="D589" s="5" t="s">
        <v>703</v>
      </c>
      <c r="E589">
        <v>4</v>
      </c>
      <c r="F589" s="5" t="s">
        <v>703</v>
      </c>
      <c r="G589" t="s">
        <v>287</v>
      </c>
      <c r="H589" s="9" t="s">
        <v>702</v>
      </c>
      <c r="K589" s="9" t="s">
        <v>271</v>
      </c>
      <c r="L589" s="78">
        <v>45979</v>
      </c>
      <c r="N589" s="78">
        <v>45979</v>
      </c>
      <c r="O589" s="31" t="s">
        <v>704</v>
      </c>
      <c r="P589" s="9"/>
      <c r="Q589" s="9">
        <f>COUNTIF(Tabela4[[#All],[Cenário]],Tabela4[[#This Row],[Cenário]])</f>
        <v>7</v>
      </c>
      <c r="R589">
        <f>COUNTIFS(Tabela4[[#All],[Cenário]],Tabela4[[#This Row],[Cenário]],Tabela4[[#All],[Status]],"Keyuser - Concluído ")</f>
        <v>6</v>
      </c>
      <c r="S589" t="str">
        <f>IF(Tabela4[[#This Row],[Tarefas por Cenário]]-Tabela4[[#This Row],[Tarefas Concluídas]]&gt;0,"Não","Sim")</f>
        <v>Não</v>
      </c>
      <c r="T589">
        <f>COUNTIFS(Tabela4[[#All],[Cenário]],Tabela4[[#This Row],[Cenário]],Tabela4[[#All],[Status]],Tabela4[[#Headers],[Elo - Em correção ]])</f>
        <v>0</v>
      </c>
      <c r="U589">
        <f>COUNTIFS(Tabela4[[#All],[Cenário]],Tabela4[[#This Row],[Cenário]],Tabela4[[#All],[Status]],Tabela4[[#Headers],[Keyuser - Aguardando tarefa precedente]])</f>
        <v>0</v>
      </c>
      <c r="V589">
        <f>COUNTIFS(Tabela4[[#All],[Cenário]],Tabela4[[#This Row],[Cenário]],Tabela4[[#All],[Status]],Tabela4[[#Headers],[Não liberado  para testes]])</f>
        <v>1</v>
      </c>
      <c r="W589" t="str">
        <f>IF(Tabela4[[#This Row],[Elo - Em correção ]]&gt;0,"Sim","Não")</f>
        <v>Não</v>
      </c>
      <c r="X589" t="str">
        <f>IF(Tabela4[[#This Row],[Keyuser - Aguardando tarefa precedente]]&gt;0,"Sim","Não")</f>
        <v>Não</v>
      </c>
      <c r="Y589" t="str">
        <f>IF(Tabela4[[#This Row],[Não liberado  para testes]]&gt;0,"Sim","Não")</f>
        <v>Sim</v>
      </c>
      <c r="Z589" t="str">
        <f ca="1">IF(Tabela4[[#This Row],[Status]]="Keyuser - Pendente",NETWORKDAYS(Tabela4[[#This Row],[Dt Inicial]],TODAY()),"")</f>
        <v/>
      </c>
      <c r="AA589" t="b">
        <f>AND(Tabela4[[#This Row],[Status]]="Keyuser - Aguardando tarefa precedente",K588="Keyuser - Concluído ")</f>
        <v>0</v>
      </c>
    </row>
    <row r="590" spans="1:27" x14ac:dyDescent="0.25">
      <c r="A590" s="5" t="str">
        <f>"OUT-"&amp;IFERROR(MID(Tabela4[[#This Row],[Cenário]],SEARCH("(",Tabela4[[#This Row],[Cenário]])+1,SEARCH(")",Tabela4[[#This Row],[Cenário]])-SEARCH("(",Tabela4[[#This Row],[Cenário]])-1),"")&amp;"_"&amp;ROW()</f>
        <v>OUT-Depósito-ANP_590</v>
      </c>
      <c r="B590" t="s">
        <v>358</v>
      </c>
      <c r="C590" t="s">
        <v>696</v>
      </c>
      <c r="D590" s="5" t="s">
        <v>705</v>
      </c>
      <c r="E590">
        <v>5</v>
      </c>
      <c r="F590" s="5" t="s">
        <v>705</v>
      </c>
      <c r="G590" t="s">
        <v>283</v>
      </c>
      <c r="H590" s="9" t="s">
        <v>702</v>
      </c>
      <c r="K590" s="9" t="s">
        <v>271</v>
      </c>
      <c r="L590" s="78">
        <v>45986</v>
      </c>
      <c r="N590" s="78">
        <v>45986</v>
      </c>
      <c r="O590" s="31"/>
      <c r="P590" s="9"/>
      <c r="Q590" s="9">
        <f>COUNTIF(Tabela4[[#All],[Cenário]],Tabela4[[#This Row],[Cenário]])</f>
        <v>7</v>
      </c>
      <c r="R590">
        <f>COUNTIFS(Tabela4[[#All],[Cenário]],Tabela4[[#This Row],[Cenário]],Tabela4[[#All],[Status]],"Keyuser - Concluído ")</f>
        <v>6</v>
      </c>
      <c r="S590" t="str">
        <f>IF(Tabela4[[#This Row],[Tarefas por Cenário]]-Tabela4[[#This Row],[Tarefas Concluídas]]&gt;0,"Não","Sim")</f>
        <v>Não</v>
      </c>
      <c r="T590">
        <f>COUNTIFS(Tabela4[[#All],[Cenário]],Tabela4[[#This Row],[Cenário]],Tabela4[[#All],[Status]],Tabela4[[#Headers],[Elo - Em correção ]])</f>
        <v>0</v>
      </c>
      <c r="U590">
        <f>COUNTIFS(Tabela4[[#All],[Cenário]],Tabela4[[#This Row],[Cenário]],Tabela4[[#All],[Status]],Tabela4[[#Headers],[Keyuser - Aguardando tarefa precedente]])</f>
        <v>0</v>
      </c>
      <c r="V590">
        <f>COUNTIFS(Tabela4[[#All],[Cenário]],Tabela4[[#This Row],[Cenário]],Tabela4[[#All],[Status]],Tabela4[[#Headers],[Não liberado  para testes]])</f>
        <v>1</v>
      </c>
      <c r="W590" t="str">
        <f>IF(Tabela4[[#This Row],[Elo - Em correção ]]&gt;0,"Sim","Não")</f>
        <v>Não</v>
      </c>
      <c r="X590" t="str">
        <f>IF(Tabela4[[#This Row],[Keyuser - Aguardando tarefa precedente]]&gt;0,"Sim","Não")</f>
        <v>Não</v>
      </c>
      <c r="Y590" t="str">
        <f>IF(Tabela4[[#This Row],[Não liberado  para testes]]&gt;0,"Sim","Não")</f>
        <v>Sim</v>
      </c>
      <c r="Z590" t="str">
        <f ca="1">IF(Tabela4[[#This Row],[Status]]="Keyuser - Pendente",NETWORKDAYS(Tabela4[[#This Row],[Dt Inicial]],TODAY()),"")</f>
        <v/>
      </c>
      <c r="AA590" t="b">
        <f>AND(Tabela4[[#This Row],[Status]]="Keyuser - Aguardando tarefa precedente",K589="Keyuser - Concluído ")</f>
        <v>0</v>
      </c>
    </row>
    <row r="591" spans="1:27" x14ac:dyDescent="0.25">
      <c r="A591" s="5" t="str">
        <f>"OUT-"&amp;IFERROR(MID(Tabela4[[#This Row],[Cenário]],SEARCH("(",Tabela4[[#This Row],[Cenário]])+1,SEARCH(")",Tabela4[[#This Row],[Cenário]])-SEARCH("(",Tabela4[[#This Row],[Cenário]])-1),"")&amp;"_"&amp;ROW()</f>
        <v>OUT-Depósito-ANP_591</v>
      </c>
      <c r="B591" t="s">
        <v>374</v>
      </c>
      <c r="C591" t="s">
        <v>696</v>
      </c>
      <c r="D591" s="5" t="s">
        <v>286</v>
      </c>
      <c r="E591">
        <v>6</v>
      </c>
      <c r="F591" s="5" t="s">
        <v>286</v>
      </c>
      <c r="G591" t="s">
        <v>287</v>
      </c>
      <c r="K591" s="9" t="s">
        <v>262</v>
      </c>
      <c r="N591" s="78"/>
      <c r="O591" s="31"/>
      <c r="P591" s="9"/>
      <c r="Q591" s="9">
        <f>COUNTIF(Tabela4[[#All],[Cenário]],Tabela4[[#This Row],[Cenário]])</f>
        <v>7</v>
      </c>
      <c r="R591">
        <f>COUNTIFS(Tabela4[[#All],[Cenário]],Tabela4[[#This Row],[Cenário]],Tabela4[[#All],[Status]],"Keyuser - Concluído ")</f>
        <v>6</v>
      </c>
      <c r="S591" t="str">
        <f>IF(Tabela4[[#This Row],[Tarefas por Cenário]]-Tabela4[[#This Row],[Tarefas Concluídas]]&gt;0,"Não","Sim")</f>
        <v>Não</v>
      </c>
      <c r="T591">
        <f>COUNTIFS(Tabela4[[#All],[Cenário]],Tabela4[[#This Row],[Cenário]],Tabela4[[#All],[Status]],Tabela4[[#Headers],[Elo - Em correção ]])</f>
        <v>0</v>
      </c>
      <c r="U591">
        <f>COUNTIFS(Tabela4[[#All],[Cenário]],Tabela4[[#This Row],[Cenário]],Tabela4[[#All],[Status]],Tabela4[[#Headers],[Keyuser - Aguardando tarefa precedente]])</f>
        <v>0</v>
      </c>
      <c r="V591">
        <f>COUNTIFS(Tabela4[[#All],[Cenário]],Tabela4[[#This Row],[Cenário]],Tabela4[[#All],[Status]],Tabela4[[#Headers],[Não liberado  para testes]])</f>
        <v>1</v>
      </c>
      <c r="W591" t="str">
        <f>IF(Tabela4[[#This Row],[Elo - Em correção ]]&gt;0,"Sim","Não")</f>
        <v>Não</v>
      </c>
      <c r="X591" t="str">
        <f>IF(Tabela4[[#This Row],[Keyuser - Aguardando tarefa precedente]]&gt;0,"Sim","Não")</f>
        <v>Não</v>
      </c>
      <c r="Y591" t="str">
        <f>IF(Tabela4[[#This Row],[Não liberado  para testes]]&gt;0,"Sim","Não")</f>
        <v>Sim</v>
      </c>
      <c r="Z591" t="str">
        <f ca="1">IF(Tabela4[[#This Row],[Status]]="Keyuser - Pendente",NETWORKDAYS(Tabela4[[#This Row],[Dt Inicial]],TODAY()),"")</f>
        <v/>
      </c>
      <c r="AA591" t="b">
        <f>AND(Tabela4[[#This Row],[Status]]="Keyuser - Aguardando tarefa precedente",K590="Keyuser - Concluído ")</f>
        <v>0</v>
      </c>
    </row>
    <row r="592" spans="1:27" x14ac:dyDescent="0.25">
      <c r="A592" s="5" t="str">
        <f>"OUT-"&amp;IFERROR(MID(Tabela4[[#This Row],[Cenário]],SEARCH("(",Tabela4[[#This Row],[Cenário]])+1,SEARCH(")",Tabela4[[#This Row],[Cenário]])-SEARCH("(",Tabela4[[#This Row],[Cenário]])-1),"")&amp;"_"&amp;ROW()</f>
        <v>OUT-Depósito-ANP_592</v>
      </c>
      <c r="B592" t="s">
        <v>358</v>
      </c>
      <c r="C592" t="s">
        <v>696</v>
      </c>
      <c r="D592" s="5" t="s">
        <v>375</v>
      </c>
      <c r="E592">
        <v>7</v>
      </c>
      <c r="F592" s="5" t="s">
        <v>375</v>
      </c>
      <c r="G592" t="s">
        <v>367</v>
      </c>
      <c r="H592" s="9" t="s">
        <v>702</v>
      </c>
      <c r="K592" s="9" t="s">
        <v>271</v>
      </c>
      <c r="L592" s="78">
        <v>45989</v>
      </c>
      <c r="N592" s="78">
        <v>45989</v>
      </c>
      <c r="O592" s="31"/>
      <c r="P592" s="9"/>
      <c r="Q592" s="9">
        <f>COUNTIF(Tabela4[[#All],[Cenário]],Tabela4[[#This Row],[Cenário]])</f>
        <v>7</v>
      </c>
      <c r="R592">
        <f>COUNTIFS(Tabela4[[#All],[Cenário]],Tabela4[[#This Row],[Cenário]],Tabela4[[#All],[Status]],"Keyuser - Concluído ")</f>
        <v>6</v>
      </c>
      <c r="S592" t="str">
        <f>IF(Tabela4[[#This Row],[Tarefas por Cenário]]-Tabela4[[#This Row],[Tarefas Concluídas]]&gt;0,"Não","Sim")</f>
        <v>Não</v>
      </c>
      <c r="T592">
        <f>COUNTIFS(Tabela4[[#All],[Cenário]],Tabela4[[#This Row],[Cenário]],Tabela4[[#All],[Status]],Tabela4[[#Headers],[Elo - Em correção ]])</f>
        <v>0</v>
      </c>
      <c r="U592">
        <f>COUNTIFS(Tabela4[[#All],[Cenário]],Tabela4[[#This Row],[Cenário]],Tabela4[[#All],[Status]],Tabela4[[#Headers],[Keyuser - Aguardando tarefa precedente]])</f>
        <v>0</v>
      </c>
      <c r="V592">
        <f>COUNTIFS(Tabela4[[#All],[Cenário]],Tabela4[[#This Row],[Cenário]],Tabela4[[#All],[Status]],Tabela4[[#Headers],[Não liberado  para testes]])</f>
        <v>1</v>
      </c>
      <c r="W592" t="str">
        <f>IF(Tabela4[[#This Row],[Elo - Em correção ]]&gt;0,"Sim","Não")</f>
        <v>Não</v>
      </c>
      <c r="X592" t="str">
        <f>IF(Tabela4[[#This Row],[Keyuser - Aguardando tarefa precedente]]&gt;0,"Sim","Não")</f>
        <v>Não</v>
      </c>
      <c r="Y592" t="str">
        <f>IF(Tabela4[[#This Row],[Não liberado  para testes]]&gt;0,"Sim","Não")</f>
        <v>Sim</v>
      </c>
      <c r="Z592" t="str">
        <f ca="1">IF(Tabela4[[#This Row],[Status]]="Keyuser - Pendente",NETWORKDAYS(Tabela4[[#This Row],[Dt Inicial]],TODAY()),"")</f>
        <v/>
      </c>
      <c r="AA592" t="b">
        <f>AND(Tabela4[[#This Row],[Status]]="Keyuser - Aguardando tarefa precedente",K591="Keyuser - Concluído ")</f>
        <v>0</v>
      </c>
    </row>
    <row r="593" spans="1:27" x14ac:dyDescent="0.25">
      <c r="A593" s="5" t="str">
        <f>"OUT-"&amp;IFERROR(MID(Tabela4[[#This Row],[Cenário]],SEARCH("(",Tabela4[[#This Row],[Cenário]])+1,SEARCH(")",Tabela4[[#This Row],[Cenário]])-SEARCH("(",Tabela4[[#This Row],[Cenário]])-1),"")&amp;"_"&amp;ROW()</f>
        <v>OUT-Depósito-ANP_593</v>
      </c>
      <c r="B593" t="s">
        <v>358</v>
      </c>
      <c r="C593" t="s">
        <v>706</v>
      </c>
      <c r="D593" s="5" t="s">
        <v>360</v>
      </c>
      <c r="E593">
        <v>1</v>
      </c>
      <c r="F593" t="s">
        <v>360</v>
      </c>
      <c r="G593" t="s">
        <v>361</v>
      </c>
      <c r="H593" s="18">
        <v>15603686</v>
      </c>
      <c r="K593" s="9" t="s">
        <v>271</v>
      </c>
      <c r="L593" s="78">
        <v>45973</v>
      </c>
      <c r="N593" s="78">
        <v>45973</v>
      </c>
      <c r="O593" s="31"/>
      <c r="P593" s="9"/>
      <c r="Q593" s="9">
        <f>COUNTIF(Tabela4[[#All],[Cenário]],Tabela4[[#This Row],[Cenário]])</f>
        <v>8</v>
      </c>
      <c r="R593">
        <f>COUNTIFS(Tabela4[[#All],[Cenário]],Tabela4[[#This Row],[Cenário]],Tabela4[[#All],[Status]],"Keyuser - Concluído ")</f>
        <v>7</v>
      </c>
      <c r="S593" t="str">
        <f>IF(Tabela4[[#This Row],[Tarefas por Cenário]]-Tabela4[[#This Row],[Tarefas Concluídas]]&gt;0,"Não","Sim")</f>
        <v>Não</v>
      </c>
      <c r="T593">
        <f>COUNTIFS(Tabela4[[#All],[Cenário]],Tabela4[[#This Row],[Cenário]],Tabela4[[#All],[Status]],Tabela4[[#Headers],[Elo - Em correção ]])</f>
        <v>0</v>
      </c>
      <c r="U593">
        <f>COUNTIFS(Tabela4[[#All],[Cenário]],Tabela4[[#This Row],[Cenário]],Tabela4[[#All],[Status]],Tabela4[[#Headers],[Keyuser - Aguardando tarefa precedente]])</f>
        <v>0</v>
      </c>
      <c r="V593">
        <f>COUNTIFS(Tabela4[[#All],[Cenário]],Tabela4[[#This Row],[Cenário]],Tabela4[[#All],[Status]],Tabela4[[#Headers],[Não liberado  para testes]])</f>
        <v>1</v>
      </c>
      <c r="W593" t="str">
        <f>IF(Tabela4[[#This Row],[Elo - Em correção ]]&gt;0,"Sim","Não")</f>
        <v>Não</v>
      </c>
      <c r="X593" t="str">
        <f>IF(Tabela4[[#This Row],[Keyuser - Aguardando tarefa precedente]]&gt;0,"Sim","Não")</f>
        <v>Não</v>
      </c>
      <c r="Y593" t="str">
        <f>IF(Tabela4[[#This Row],[Não liberado  para testes]]&gt;0,"Sim","Não")</f>
        <v>Sim</v>
      </c>
      <c r="Z593" t="str">
        <f ca="1">IF(Tabela4[[#This Row],[Status]]="Keyuser - Pendente",NETWORKDAYS(Tabela4[[#This Row],[Dt Inicial]],TODAY()),"")</f>
        <v/>
      </c>
      <c r="AA593" t="b">
        <f>AND(Tabela4[[#This Row],[Status]]="Keyuser - Aguardando tarefa precedente",K592="Keyuser - Concluído ")</f>
        <v>0</v>
      </c>
    </row>
    <row r="594" spans="1:27" x14ac:dyDescent="0.25">
      <c r="A594" s="5" t="str">
        <f>"OUT-"&amp;IFERROR(MID(Tabela4[[#This Row],[Cenário]],SEARCH("(",Tabela4[[#This Row],[Cenário]])+1,SEARCH(")",Tabela4[[#This Row],[Cenário]])-SEARCH("(",Tabela4[[#This Row],[Cenário]])-1),"")&amp;"_"&amp;ROW()</f>
        <v>OUT-Depósito-ANP_594</v>
      </c>
      <c r="B594" t="s">
        <v>358</v>
      </c>
      <c r="C594" t="s">
        <v>706</v>
      </c>
      <c r="D594" s="5" t="s">
        <v>365</v>
      </c>
      <c r="E594">
        <v>2</v>
      </c>
      <c r="F594" t="s">
        <v>365</v>
      </c>
      <c r="G594" t="s">
        <v>310</v>
      </c>
      <c r="H594" s="18">
        <v>15603686</v>
      </c>
      <c r="K594" s="9" t="s">
        <v>271</v>
      </c>
      <c r="L594" s="78">
        <v>45973</v>
      </c>
      <c r="N594" s="78">
        <v>45973</v>
      </c>
      <c r="O594" s="31"/>
      <c r="P594" s="9"/>
      <c r="Q594" s="9">
        <f>COUNTIF(Tabela4[[#All],[Cenário]],Tabela4[[#This Row],[Cenário]])</f>
        <v>8</v>
      </c>
      <c r="R594">
        <f>COUNTIFS(Tabela4[[#All],[Cenário]],Tabela4[[#This Row],[Cenário]],Tabela4[[#All],[Status]],"Keyuser - Concluído ")</f>
        <v>7</v>
      </c>
      <c r="S594" t="str">
        <f>IF(Tabela4[[#This Row],[Tarefas por Cenário]]-Tabela4[[#This Row],[Tarefas Concluídas]]&gt;0,"Não","Sim")</f>
        <v>Não</v>
      </c>
      <c r="T594">
        <f>COUNTIFS(Tabela4[[#All],[Cenário]],Tabela4[[#This Row],[Cenário]],Tabela4[[#All],[Status]],Tabela4[[#Headers],[Elo - Em correção ]])</f>
        <v>0</v>
      </c>
      <c r="U594">
        <f>COUNTIFS(Tabela4[[#All],[Cenário]],Tabela4[[#This Row],[Cenário]],Tabela4[[#All],[Status]],Tabela4[[#Headers],[Keyuser - Aguardando tarefa precedente]])</f>
        <v>0</v>
      </c>
      <c r="V594">
        <f>COUNTIFS(Tabela4[[#All],[Cenário]],Tabela4[[#This Row],[Cenário]],Tabela4[[#All],[Status]],Tabela4[[#Headers],[Não liberado  para testes]])</f>
        <v>1</v>
      </c>
      <c r="W594" t="str">
        <f>IF(Tabela4[[#This Row],[Elo - Em correção ]]&gt;0,"Sim","Não")</f>
        <v>Não</v>
      </c>
      <c r="X594" t="str">
        <f>IF(Tabela4[[#This Row],[Keyuser - Aguardando tarefa precedente]]&gt;0,"Sim","Não")</f>
        <v>Não</v>
      </c>
      <c r="Y594" t="str">
        <f>IF(Tabela4[[#This Row],[Não liberado  para testes]]&gt;0,"Sim","Não")</f>
        <v>Sim</v>
      </c>
      <c r="Z594" t="str">
        <f ca="1">IF(Tabela4[[#This Row],[Status]]="Keyuser - Pendente",NETWORKDAYS(Tabela4[[#This Row],[Dt Inicial]],TODAY()),"")</f>
        <v/>
      </c>
      <c r="AA594" t="b">
        <f>AND(Tabela4[[#This Row],[Status]]="Keyuser - Aguardando tarefa precedente",K593="Keyuser - Concluído ")</f>
        <v>0</v>
      </c>
    </row>
    <row r="595" spans="1:27" x14ac:dyDescent="0.25">
      <c r="A595" s="5" t="str">
        <f>"OUT-"&amp;IFERROR(MID(Tabela4[[#This Row],[Cenário]],SEARCH("(",Tabela4[[#This Row],[Cenário]])+1,SEARCH(")",Tabela4[[#This Row],[Cenário]])-SEARCH("(",Tabela4[[#This Row],[Cenário]])-1),"")&amp;"_"&amp;ROW()</f>
        <v>OUT-Depósito-ANP_595</v>
      </c>
      <c r="B595" t="s">
        <v>358</v>
      </c>
      <c r="C595" t="s">
        <v>706</v>
      </c>
      <c r="D595" s="5" t="s">
        <v>366</v>
      </c>
      <c r="E595">
        <v>3</v>
      </c>
      <c r="F595" t="s">
        <v>366</v>
      </c>
      <c r="G595" t="s">
        <v>367</v>
      </c>
      <c r="H595" s="18">
        <v>15603686</v>
      </c>
      <c r="K595" s="9" t="s">
        <v>271</v>
      </c>
      <c r="L595" s="78">
        <v>45973</v>
      </c>
      <c r="N595" s="78">
        <v>45973</v>
      </c>
      <c r="O595" s="31"/>
      <c r="P595" s="9"/>
      <c r="Q595" s="9">
        <f>COUNTIF(Tabela4[[#All],[Cenário]],Tabela4[[#This Row],[Cenário]])</f>
        <v>8</v>
      </c>
      <c r="R595">
        <f>COUNTIFS(Tabela4[[#All],[Cenário]],Tabela4[[#This Row],[Cenário]],Tabela4[[#All],[Status]],"Keyuser - Concluído ")</f>
        <v>7</v>
      </c>
      <c r="S595" t="str">
        <f>IF(Tabela4[[#This Row],[Tarefas por Cenário]]-Tabela4[[#This Row],[Tarefas Concluídas]]&gt;0,"Não","Sim")</f>
        <v>Não</v>
      </c>
      <c r="T595">
        <f>COUNTIFS(Tabela4[[#All],[Cenário]],Tabela4[[#This Row],[Cenário]],Tabela4[[#All],[Status]],Tabela4[[#Headers],[Elo - Em correção ]])</f>
        <v>0</v>
      </c>
      <c r="U595">
        <f>COUNTIFS(Tabela4[[#All],[Cenário]],Tabela4[[#This Row],[Cenário]],Tabela4[[#All],[Status]],Tabela4[[#Headers],[Keyuser - Aguardando tarefa precedente]])</f>
        <v>0</v>
      </c>
      <c r="V595">
        <f>COUNTIFS(Tabela4[[#All],[Cenário]],Tabela4[[#This Row],[Cenário]],Tabela4[[#All],[Status]],Tabela4[[#Headers],[Não liberado  para testes]])</f>
        <v>1</v>
      </c>
      <c r="W595" t="str">
        <f>IF(Tabela4[[#This Row],[Elo - Em correção ]]&gt;0,"Sim","Não")</f>
        <v>Não</v>
      </c>
      <c r="X595" t="str">
        <f>IF(Tabela4[[#This Row],[Keyuser - Aguardando tarefa precedente]]&gt;0,"Sim","Não")</f>
        <v>Não</v>
      </c>
      <c r="Y595" t="str">
        <f>IF(Tabela4[[#This Row],[Não liberado  para testes]]&gt;0,"Sim","Não")</f>
        <v>Sim</v>
      </c>
      <c r="Z595" t="str">
        <f ca="1">IF(Tabela4[[#This Row],[Status]]="Keyuser - Pendente",NETWORKDAYS(Tabela4[[#This Row],[Dt Inicial]],TODAY()),"")</f>
        <v/>
      </c>
      <c r="AA595" t="b">
        <f>AND(Tabela4[[#This Row],[Status]]="Keyuser - Aguardando tarefa precedente",K594="Keyuser - Concluído ")</f>
        <v>0</v>
      </c>
    </row>
    <row r="596" spans="1:27" x14ac:dyDescent="0.25">
      <c r="A596" s="5" t="str">
        <f>"OUT-"&amp;IFERROR(MID(Tabela4[[#This Row],[Cenário]],SEARCH("(",Tabela4[[#This Row],[Cenário]])+1,SEARCH(")",Tabela4[[#This Row],[Cenário]])-SEARCH("(",Tabela4[[#This Row],[Cenário]])-1),"")&amp;"_"&amp;ROW()</f>
        <v>OUT-Depósito-ANP_596</v>
      </c>
      <c r="B596" t="s">
        <v>358</v>
      </c>
      <c r="C596" t="s">
        <v>706</v>
      </c>
      <c r="D596" s="5" t="s">
        <v>368</v>
      </c>
      <c r="E596">
        <v>4</v>
      </c>
      <c r="F596" t="s">
        <v>368</v>
      </c>
      <c r="G596" t="s">
        <v>369</v>
      </c>
      <c r="H596" s="9" t="s">
        <v>707</v>
      </c>
      <c r="K596" s="9" t="s">
        <v>271</v>
      </c>
      <c r="L596" s="78">
        <v>45974</v>
      </c>
      <c r="N596" s="78">
        <v>45974</v>
      </c>
      <c r="O596" s="31"/>
      <c r="P596" s="9"/>
      <c r="Q596" s="9">
        <f>COUNTIF(Tabela4[[#All],[Cenário]],Tabela4[[#This Row],[Cenário]])</f>
        <v>8</v>
      </c>
      <c r="R596">
        <f>COUNTIFS(Tabela4[[#All],[Cenário]],Tabela4[[#This Row],[Cenário]],Tabela4[[#All],[Status]],"Keyuser - Concluído ")</f>
        <v>7</v>
      </c>
      <c r="S596" t="str">
        <f>IF(Tabela4[[#This Row],[Tarefas por Cenário]]-Tabela4[[#This Row],[Tarefas Concluídas]]&gt;0,"Não","Sim")</f>
        <v>Não</v>
      </c>
      <c r="T596">
        <f>COUNTIFS(Tabela4[[#All],[Cenário]],Tabela4[[#This Row],[Cenário]],Tabela4[[#All],[Status]],Tabela4[[#Headers],[Elo - Em correção ]])</f>
        <v>0</v>
      </c>
      <c r="U596">
        <f>COUNTIFS(Tabela4[[#All],[Cenário]],Tabela4[[#This Row],[Cenário]],Tabela4[[#All],[Status]],Tabela4[[#Headers],[Keyuser - Aguardando tarefa precedente]])</f>
        <v>0</v>
      </c>
      <c r="V596">
        <f>COUNTIFS(Tabela4[[#All],[Cenário]],Tabela4[[#This Row],[Cenário]],Tabela4[[#All],[Status]],Tabela4[[#Headers],[Não liberado  para testes]])</f>
        <v>1</v>
      </c>
      <c r="W596" t="str">
        <f>IF(Tabela4[[#This Row],[Elo - Em correção ]]&gt;0,"Sim","Não")</f>
        <v>Não</v>
      </c>
      <c r="X596" t="str">
        <f>IF(Tabela4[[#This Row],[Keyuser - Aguardando tarefa precedente]]&gt;0,"Sim","Não")</f>
        <v>Não</v>
      </c>
      <c r="Y596" t="str">
        <f>IF(Tabela4[[#This Row],[Não liberado  para testes]]&gt;0,"Sim","Não")</f>
        <v>Sim</v>
      </c>
      <c r="Z596" t="str">
        <f ca="1">IF(Tabela4[[#This Row],[Status]]="Keyuser - Pendente",NETWORKDAYS(Tabela4[[#This Row],[Dt Inicial]],TODAY()),"")</f>
        <v/>
      </c>
      <c r="AA596" t="b">
        <f>AND(Tabela4[[#This Row],[Status]]="Keyuser - Aguardando tarefa precedente",K595="Keyuser - Concluído ")</f>
        <v>0</v>
      </c>
    </row>
    <row r="597" spans="1:27" x14ac:dyDescent="0.25">
      <c r="A597" s="5" t="str">
        <f>"OUT-"&amp;IFERROR(MID(Tabela4[[#This Row],[Cenário]],SEARCH("(",Tabela4[[#This Row],[Cenário]])+1,SEARCH(")",Tabela4[[#This Row],[Cenário]])-SEARCH("(",Tabela4[[#This Row],[Cenário]])-1),"")&amp;"_"&amp;ROW()</f>
        <v>OUT-Depósito-ANP_597</v>
      </c>
      <c r="B597" t="s">
        <v>358</v>
      </c>
      <c r="C597" t="s">
        <v>706</v>
      </c>
      <c r="D597" s="5" t="s">
        <v>371</v>
      </c>
      <c r="E597">
        <v>5</v>
      </c>
      <c r="F597" t="s">
        <v>435</v>
      </c>
      <c r="G597" t="s">
        <v>287</v>
      </c>
      <c r="H597" s="9" t="s">
        <v>707</v>
      </c>
      <c r="K597" s="9" t="s">
        <v>271</v>
      </c>
      <c r="L597" s="78">
        <v>45986</v>
      </c>
      <c r="N597" s="78">
        <v>45986</v>
      </c>
      <c r="O597" s="31"/>
      <c r="P597" s="9"/>
      <c r="Q597" s="9">
        <f>COUNTIF(Tabela4[[#All],[Cenário]],Tabela4[[#This Row],[Cenário]])</f>
        <v>8</v>
      </c>
      <c r="R597">
        <f>COUNTIFS(Tabela4[[#All],[Cenário]],Tabela4[[#This Row],[Cenário]],Tabela4[[#All],[Status]],"Keyuser - Concluído ")</f>
        <v>7</v>
      </c>
      <c r="S597" t="str">
        <f>IF(Tabela4[[#This Row],[Tarefas por Cenário]]-Tabela4[[#This Row],[Tarefas Concluídas]]&gt;0,"Não","Sim")</f>
        <v>Não</v>
      </c>
      <c r="T597">
        <f>COUNTIFS(Tabela4[[#All],[Cenário]],Tabela4[[#This Row],[Cenário]],Tabela4[[#All],[Status]],Tabela4[[#Headers],[Elo - Em correção ]])</f>
        <v>0</v>
      </c>
      <c r="U597">
        <f>COUNTIFS(Tabela4[[#All],[Cenário]],Tabela4[[#This Row],[Cenário]],Tabela4[[#All],[Status]],Tabela4[[#Headers],[Keyuser - Aguardando tarefa precedente]])</f>
        <v>0</v>
      </c>
      <c r="V597">
        <f>COUNTIFS(Tabela4[[#All],[Cenário]],Tabela4[[#This Row],[Cenário]],Tabela4[[#All],[Status]],Tabela4[[#Headers],[Não liberado  para testes]])</f>
        <v>1</v>
      </c>
      <c r="W597" t="str">
        <f>IF(Tabela4[[#This Row],[Elo - Em correção ]]&gt;0,"Sim","Não")</f>
        <v>Não</v>
      </c>
      <c r="X597" t="str">
        <f>IF(Tabela4[[#This Row],[Keyuser - Aguardando tarefa precedente]]&gt;0,"Sim","Não")</f>
        <v>Não</v>
      </c>
      <c r="Y597" t="str">
        <f>IF(Tabela4[[#This Row],[Não liberado  para testes]]&gt;0,"Sim","Não")</f>
        <v>Sim</v>
      </c>
      <c r="Z597" t="str">
        <f ca="1">IF(Tabela4[[#This Row],[Status]]="Keyuser - Pendente",NETWORKDAYS(Tabela4[[#This Row],[Dt Inicial]],TODAY()),"")</f>
        <v/>
      </c>
      <c r="AA597" t="b">
        <f>AND(Tabela4[[#This Row],[Status]]="Keyuser - Aguardando tarefa precedente",K596="Keyuser - Concluído ")</f>
        <v>0</v>
      </c>
    </row>
    <row r="598" spans="1:27" x14ac:dyDescent="0.25">
      <c r="A598" s="5" t="str">
        <f>"OUT-"&amp;IFERROR(MID(Tabela4[[#This Row],[Cenário]],SEARCH("(",Tabela4[[#This Row],[Cenário]])+1,SEARCH(")",Tabela4[[#This Row],[Cenário]])-SEARCH("(",Tabela4[[#This Row],[Cenário]])-1),"")&amp;"_"&amp;ROW()</f>
        <v>OUT-Depósito-ANP_598</v>
      </c>
      <c r="B598" t="s">
        <v>358</v>
      </c>
      <c r="C598" t="s">
        <v>706</v>
      </c>
      <c r="D598" s="5" t="s">
        <v>373</v>
      </c>
      <c r="E598">
        <v>6</v>
      </c>
      <c r="F598" t="s">
        <v>373</v>
      </c>
      <c r="G598" t="s">
        <v>283</v>
      </c>
      <c r="H598" s="9" t="s">
        <v>707</v>
      </c>
      <c r="K598" s="9" t="s">
        <v>271</v>
      </c>
      <c r="L598" s="78">
        <v>45986</v>
      </c>
      <c r="N598" s="78">
        <v>45986</v>
      </c>
      <c r="O598" s="31"/>
      <c r="P598" s="9"/>
      <c r="Q598" s="9">
        <f>COUNTIF(Tabela4[[#All],[Cenário]],Tabela4[[#This Row],[Cenário]])</f>
        <v>8</v>
      </c>
      <c r="R598">
        <f>COUNTIFS(Tabela4[[#All],[Cenário]],Tabela4[[#This Row],[Cenário]],Tabela4[[#All],[Status]],"Keyuser - Concluído ")</f>
        <v>7</v>
      </c>
      <c r="S598" t="str">
        <f>IF(Tabela4[[#This Row],[Tarefas por Cenário]]-Tabela4[[#This Row],[Tarefas Concluídas]]&gt;0,"Não","Sim")</f>
        <v>Não</v>
      </c>
      <c r="T598">
        <f>COUNTIFS(Tabela4[[#All],[Cenário]],Tabela4[[#This Row],[Cenário]],Tabela4[[#All],[Status]],Tabela4[[#Headers],[Elo - Em correção ]])</f>
        <v>0</v>
      </c>
      <c r="U598">
        <f>COUNTIFS(Tabela4[[#All],[Cenário]],Tabela4[[#This Row],[Cenário]],Tabela4[[#All],[Status]],Tabela4[[#Headers],[Keyuser - Aguardando tarefa precedente]])</f>
        <v>0</v>
      </c>
      <c r="V598">
        <f>COUNTIFS(Tabela4[[#All],[Cenário]],Tabela4[[#This Row],[Cenário]],Tabela4[[#All],[Status]],Tabela4[[#Headers],[Não liberado  para testes]])</f>
        <v>1</v>
      </c>
      <c r="W598" t="str">
        <f>IF(Tabela4[[#This Row],[Elo - Em correção ]]&gt;0,"Sim","Não")</f>
        <v>Não</v>
      </c>
      <c r="X598" t="str">
        <f>IF(Tabela4[[#This Row],[Keyuser - Aguardando tarefa precedente]]&gt;0,"Sim","Não")</f>
        <v>Não</v>
      </c>
      <c r="Y598" t="str">
        <f>IF(Tabela4[[#This Row],[Não liberado  para testes]]&gt;0,"Sim","Não")</f>
        <v>Sim</v>
      </c>
      <c r="Z598" t="str">
        <f ca="1">IF(Tabela4[[#This Row],[Status]]="Keyuser - Pendente",NETWORKDAYS(Tabela4[[#This Row],[Dt Inicial]],TODAY()),"")</f>
        <v/>
      </c>
      <c r="AA598" t="b">
        <f>AND(Tabela4[[#This Row],[Status]]="Keyuser - Aguardando tarefa precedente",K597="Keyuser - Concluído ")</f>
        <v>0</v>
      </c>
    </row>
    <row r="599" spans="1:27" x14ac:dyDescent="0.25">
      <c r="A599" s="5" t="str">
        <f>"OUT-"&amp;IFERROR(MID(Tabela4[[#This Row],[Cenário]],SEARCH("(",Tabela4[[#This Row],[Cenário]])+1,SEARCH(")",Tabela4[[#This Row],[Cenário]])-SEARCH("(",Tabela4[[#This Row],[Cenário]])-1),"")&amp;"_"&amp;ROW()</f>
        <v>OUT-Depósito-ANP_599</v>
      </c>
      <c r="B599" t="s">
        <v>374</v>
      </c>
      <c r="C599" t="s">
        <v>706</v>
      </c>
      <c r="D599" s="5" t="s">
        <v>286</v>
      </c>
      <c r="E599">
        <v>7</v>
      </c>
      <c r="F599" t="s">
        <v>286</v>
      </c>
      <c r="G599" t="s">
        <v>287</v>
      </c>
      <c r="K599" s="9" t="s">
        <v>262</v>
      </c>
      <c r="N599" s="78"/>
      <c r="O599" s="31"/>
      <c r="P599" s="9"/>
      <c r="Q599" s="9">
        <f>COUNTIF(Tabela4[[#All],[Cenário]],Tabela4[[#This Row],[Cenário]])</f>
        <v>8</v>
      </c>
      <c r="R599">
        <f>COUNTIFS(Tabela4[[#All],[Cenário]],Tabela4[[#This Row],[Cenário]],Tabela4[[#All],[Status]],"Keyuser - Concluído ")</f>
        <v>7</v>
      </c>
      <c r="S599" t="str">
        <f>IF(Tabela4[[#This Row],[Tarefas por Cenário]]-Tabela4[[#This Row],[Tarefas Concluídas]]&gt;0,"Não","Sim")</f>
        <v>Não</v>
      </c>
      <c r="T599">
        <f>COUNTIFS(Tabela4[[#All],[Cenário]],Tabela4[[#This Row],[Cenário]],Tabela4[[#All],[Status]],Tabela4[[#Headers],[Elo - Em correção ]])</f>
        <v>0</v>
      </c>
      <c r="U599">
        <f>COUNTIFS(Tabela4[[#All],[Cenário]],Tabela4[[#This Row],[Cenário]],Tabela4[[#All],[Status]],Tabela4[[#Headers],[Keyuser - Aguardando tarefa precedente]])</f>
        <v>0</v>
      </c>
      <c r="V599">
        <f>COUNTIFS(Tabela4[[#All],[Cenário]],Tabela4[[#This Row],[Cenário]],Tabela4[[#All],[Status]],Tabela4[[#Headers],[Não liberado  para testes]])</f>
        <v>1</v>
      </c>
      <c r="W599" t="str">
        <f>IF(Tabela4[[#This Row],[Elo - Em correção ]]&gt;0,"Sim","Não")</f>
        <v>Não</v>
      </c>
      <c r="X599" t="str">
        <f>IF(Tabela4[[#This Row],[Keyuser - Aguardando tarefa precedente]]&gt;0,"Sim","Não")</f>
        <v>Não</v>
      </c>
      <c r="Y599" t="str">
        <f>IF(Tabela4[[#This Row],[Não liberado  para testes]]&gt;0,"Sim","Não")</f>
        <v>Sim</v>
      </c>
      <c r="Z599" t="str">
        <f ca="1">IF(Tabela4[[#This Row],[Status]]="Keyuser - Pendente",NETWORKDAYS(Tabela4[[#This Row],[Dt Inicial]],TODAY()),"")</f>
        <v/>
      </c>
      <c r="AA599" t="b">
        <f>AND(Tabela4[[#This Row],[Status]]="Keyuser - Aguardando tarefa precedente",K598="Keyuser - Concluído ")</f>
        <v>0</v>
      </c>
    </row>
    <row r="600" spans="1:27" x14ac:dyDescent="0.25">
      <c r="A600" s="5" t="str">
        <f>"OUT-"&amp;IFERROR(MID(Tabela4[[#This Row],[Cenário]],SEARCH("(",Tabela4[[#This Row],[Cenário]])+1,SEARCH(")",Tabela4[[#This Row],[Cenário]])-SEARCH("(",Tabela4[[#This Row],[Cenário]])-1),"")&amp;"_"&amp;ROW()</f>
        <v>OUT-Depósito-ANP_600</v>
      </c>
      <c r="B600" t="s">
        <v>358</v>
      </c>
      <c r="C600" t="s">
        <v>706</v>
      </c>
      <c r="D600" s="5" t="s">
        <v>375</v>
      </c>
      <c r="E600">
        <v>8</v>
      </c>
      <c r="F600" t="s">
        <v>375</v>
      </c>
      <c r="G600" t="s">
        <v>367</v>
      </c>
      <c r="H600" s="18">
        <v>15603686</v>
      </c>
      <c r="K600" s="9" t="s">
        <v>271</v>
      </c>
      <c r="L600" s="78">
        <v>45994</v>
      </c>
      <c r="N600" s="78">
        <v>45994</v>
      </c>
      <c r="O600" s="31"/>
      <c r="P600" s="9"/>
      <c r="Q600" s="9">
        <f>COUNTIF(Tabela4[[#All],[Cenário]],Tabela4[[#This Row],[Cenário]])</f>
        <v>8</v>
      </c>
      <c r="R600">
        <f>COUNTIFS(Tabela4[[#All],[Cenário]],Tabela4[[#This Row],[Cenário]],Tabela4[[#All],[Status]],"Keyuser - Concluído ")</f>
        <v>7</v>
      </c>
      <c r="S600" t="str">
        <f>IF(Tabela4[[#This Row],[Tarefas por Cenário]]-Tabela4[[#This Row],[Tarefas Concluídas]]&gt;0,"Não","Sim")</f>
        <v>Não</v>
      </c>
      <c r="T600">
        <f>COUNTIFS(Tabela4[[#All],[Cenário]],Tabela4[[#This Row],[Cenário]],Tabela4[[#All],[Status]],Tabela4[[#Headers],[Elo - Em correção ]])</f>
        <v>0</v>
      </c>
      <c r="U600">
        <f>COUNTIFS(Tabela4[[#All],[Cenário]],Tabela4[[#This Row],[Cenário]],Tabela4[[#All],[Status]],Tabela4[[#Headers],[Keyuser - Aguardando tarefa precedente]])</f>
        <v>0</v>
      </c>
      <c r="V600">
        <f>COUNTIFS(Tabela4[[#All],[Cenário]],Tabela4[[#This Row],[Cenário]],Tabela4[[#All],[Status]],Tabela4[[#Headers],[Não liberado  para testes]])</f>
        <v>1</v>
      </c>
      <c r="W600" t="str">
        <f>IF(Tabela4[[#This Row],[Elo - Em correção ]]&gt;0,"Sim","Não")</f>
        <v>Não</v>
      </c>
      <c r="X600" t="str">
        <f>IF(Tabela4[[#This Row],[Keyuser - Aguardando tarefa precedente]]&gt;0,"Sim","Não")</f>
        <v>Não</v>
      </c>
      <c r="Y600" t="str">
        <f>IF(Tabela4[[#This Row],[Não liberado  para testes]]&gt;0,"Sim","Não")</f>
        <v>Sim</v>
      </c>
      <c r="Z600" t="str">
        <f ca="1">IF(Tabela4[[#This Row],[Status]]="Keyuser - Pendente",NETWORKDAYS(Tabela4[[#This Row],[Dt Inicial]],TODAY()),"")</f>
        <v/>
      </c>
      <c r="AA600" t="b">
        <f>AND(Tabela4[[#This Row],[Status]]="Keyuser - Aguardando tarefa precedente",K599="Keyuser - Concluído ")</f>
        <v>0</v>
      </c>
    </row>
    <row r="601" spans="1:27" x14ac:dyDescent="0.25">
      <c r="A601" s="5" t="str">
        <f>"OUT-"&amp;IFERROR(MID(Tabela4[[#This Row],[Cenário]],SEARCH("(",Tabela4[[#This Row],[Cenário]])+1,SEARCH(")",Tabela4[[#This Row],[Cenário]])-SEARCH("(",Tabela4[[#This Row],[Cenário]])-1),"")&amp;"_"&amp;ROW()</f>
        <v>OUT-Depósito-ANP_601</v>
      </c>
      <c r="B601" t="s">
        <v>358</v>
      </c>
      <c r="C601" t="s">
        <v>708</v>
      </c>
      <c r="D601" s="5" t="s">
        <v>709</v>
      </c>
      <c r="E601">
        <v>1</v>
      </c>
      <c r="F601" s="5" t="s">
        <v>709</v>
      </c>
      <c r="G601" t="s">
        <v>361</v>
      </c>
      <c r="H601" s="18">
        <v>15603731</v>
      </c>
      <c r="K601" s="9" t="s">
        <v>271</v>
      </c>
      <c r="L601" s="78">
        <v>45989</v>
      </c>
      <c r="N601" s="78">
        <v>45989</v>
      </c>
      <c r="O601" s="31"/>
      <c r="P601" s="9"/>
      <c r="Q601" s="9">
        <f>COUNTIF(Tabela4[[#All],[Cenário]],Tabela4[[#This Row],[Cenário]])</f>
        <v>6</v>
      </c>
      <c r="R601">
        <f>COUNTIFS(Tabela4[[#All],[Cenário]],Tabela4[[#This Row],[Cenário]],Tabela4[[#All],[Status]],"Keyuser - Concluído ")</f>
        <v>5</v>
      </c>
      <c r="S601" t="str">
        <f>IF(Tabela4[[#This Row],[Tarefas por Cenário]]-Tabela4[[#This Row],[Tarefas Concluídas]]&gt;0,"Não","Sim")</f>
        <v>Não</v>
      </c>
      <c r="T601">
        <f>COUNTIFS(Tabela4[[#All],[Cenário]],Tabela4[[#This Row],[Cenário]],Tabela4[[#All],[Status]],Tabela4[[#Headers],[Elo - Em correção ]])</f>
        <v>0</v>
      </c>
      <c r="U601">
        <f>COUNTIFS(Tabela4[[#All],[Cenário]],Tabela4[[#This Row],[Cenário]],Tabela4[[#All],[Status]],Tabela4[[#Headers],[Keyuser - Aguardando tarefa precedente]])</f>
        <v>0</v>
      </c>
      <c r="V601">
        <f>COUNTIFS(Tabela4[[#All],[Cenário]],Tabela4[[#This Row],[Cenário]],Tabela4[[#All],[Status]],Tabela4[[#Headers],[Não liberado  para testes]])</f>
        <v>1</v>
      </c>
      <c r="W601" t="str">
        <f>IF(Tabela4[[#This Row],[Elo - Em correção ]]&gt;0,"Sim","Não")</f>
        <v>Não</v>
      </c>
      <c r="X601" t="str">
        <f>IF(Tabela4[[#This Row],[Keyuser - Aguardando tarefa precedente]]&gt;0,"Sim","Não")</f>
        <v>Não</v>
      </c>
      <c r="Y601" t="str">
        <f>IF(Tabela4[[#This Row],[Não liberado  para testes]]&gt;0,"Sim","Não")</f>
        <v>Sim</v>
      </c>
      <c r="Z601" t="str">
        <f ca="1">IF(Tabela4[[#This Row],[Status]]="Keyuser - Pendente",NETWORKDAYS(Tabela4[[#This Row],[Dt Inicial]],TODAY()),"")</f>
        <v/>
      </c>
      <c r="AA601" t="b">
        <f>AND(Tabela4[[#This Row],[Status]]="Keyuser - Aguardando tarefa precedente",K600="Keyuser - Concluído ")</f>
        <v>0</v>
      </c>
    </row>
    <row r="602" spans="1:27" x14ac:dyDescent="0.25">
      <c r="A602" s="5" t="str">
        <f>"OUT-"&amp;IFERROR(MID(Tabela4[[#This Row],[Cenário]],SEARCH("(",Tabela4[[#This Row],[Cenário]])+1,SEARCH(")",Tabela4[[#This Row],[Cenário]])-SEARCH("(",Tabela4[[#This Row],[Cenário]])-1),"")&amp;"_"&amp;ROW()</f>
        <v>OUT-Depósito-ANP_602</v>
      </c>
      <c r="B602" t="s">
        <v>358</v>
      </c>
      <c r="C602" t="s">
        <v>708</v>
      </c>
      <c r="D602" s="5" t="s">
        <v>365</v>
      </c>
      <c r="E602">
        <v>2</v>
      </c>
      <c r="F602" t="s">
        <v>365</v>
      </c>
      <c r="G602" t="s">
        <v>310</v>
      </c>
      <c r="H602" s="18">
        <v>15603731</v>
      </c>
      <c r="K602" s="9" t="s">
        <v>271</v>
      </c>
      <c r="L602" s="78">
        <v>45992</v>
      </c>
      <c r="N602" s="78">
        <v>45992</v>
      </c>
      <c r="O602" s="31"/>
      <c r="P602" s="9"/>
      <c r="Q602" s="9">
        <f>COUNTIF(Tabela4[[#All],[Cenário]],Tabela4[[#This Row],[Cenário]])</f>
        <v>6</v>
      </c>
      <c r="R602">
        <f>COUNTIFS(Tabela4[[#All],[Cenário]],Tabela4[[#This Row],[Cenário]],Tabela4[[#All],[Status]],"Keyuser - Concluído ")</f>
        <v>5</v>
      </c>
      <c r="S602" t="str">
        <f>IF(Tabela4[[#This Row],[Tarefas por Cenário]]-Tabela4[[#This Row],[Tarefas Concluídas]]&gt;0,"Não","Sim")</f>
        <v>Não</v>
      </c>
      <c r="T602">
        <f>COUNTIFS(Tabela4[[#All],[Cenário]],Tabela4[[#This Row],[Cenário]],Tabela4[[#All],[Status]],Tabela4[[#Headers],[Elo - Em correção ]])</f>
        <v>0</v>
      </c>
      <c r="U602">
        <f>COUNTIFS(Tabela4[[#All],[Cenário]],Tabela4[[#This Row],[Cenário]],Tabela4[[#All],[Status]],Tabela4[[#Headers],[Keyuser - Aguardando tarefa precedente]])</f>
        <v>0</v>
      </c>
      <c r="V602">
        <f>COUNTIFS(Tabela4[[#All],[Cenário]],Tabela4[[#This Row],[Cenário]],Tabela4[[#All],[Status]],Tabela4[[#Headers],[Não liberado  para testes]])</f>
        <v>1</v>
      </c>
      <c r="W602" t="str">
        <f>IF(Tabela4[[#This Row],[Elo - Em correção ]]&gt;0,"Sim","Não")</f>
        <v>Não</v>
      </c>
      <c r="X602" t="str">
        <f>IF(Tabela4[[#This Row],[Keyuser - Aguardando tarefa precedente]]&gt;0,"Sim","Não")</f>
        <v>Não</v>
      </c>
      <c r="Y602" t="str">
        <f>IF(Tabela4[[#This Row],[Não liberado  para testes]]&gt;0,"Sim","Não")</f>
        <v>Sim</v>
      </c>
      <c r="Z602" t="str">
        <f ca="1">IF(Tabela4[[#This Row],[Status]]="Keyuser - Pendente",NETWORKDAYS(Tabela4[[#This Row],[Dt Inicial]],TODAY()),"")</f>
        <v/>
      </c>
      <c r="AA602" t="b">
        <f>AND(Tabela4[[#This Row],[Status]]="Keyuser - Aguardando tarefa precedente",K601="Keyuser - Concluído ")</f>
        <v>0</v>
      </c>
    </row>
    <row r="603" spans="1:27" x14ac:dyDescent="0.25">
      <c r="A603" s="5" t="str">
        <f>"OUT-"&amp;IFERROR(MID(Tabela4[[#This Row],[Cenário]],SEARCH("(",Tabela4[[#This Row],[Cenário]])+1,SEARCH(")",Tabela4[[#This Row],[Cenário]])-SEARCH("(",Tabela4[[#This Row],[Cenário]])-1),"")&amp;"_"&amp;ROW()</f>
        <v>OUT-Depósito-ANP_603</v>
      </c>
      <c r="B603" t="s">
        <v>358</v>
      </c>
      <c r="C603" t="s">
        <v>708</v>
      </c>
      <c r="D603" s="5" t="s">
        <v>368</v>
      </c>
      <c r="E603">
        <v>4</v>
      </c>
      <c r="F603" t="s">
        <v>368</v>
      </c>
      <c r="G603" t="s">
        <v>369</v>
      </c>
      <c r="H603" s="9" t="s">
        <v>710</v>
      </c>
      <c r="K603" s="9" t="s">
        <v>271</v>
      </c>
      <c r="L603" s="78">
        <v>45992</v>
      </c>
      <c r="N603" s="78">
        <v>45992</v>
      </c>
      <c r="O603" s="48"/>
      <c r="P603" s="9"/>
      <c r="Q603" s="9">
        <f>COUNTIF(Tabela4[[#All],[Cenário]],Tabela4[[#This Row],[Cenário]])</f>
        <v>6</v>
      </c>
      <c r="R603">
        <f>COUNTIFS(Tabela4[[#All],[Cenário]],Tabela4[[#This Row],[Cenário]],Tabela4[[#All],[Status]],"Keyuser - Concluído ")</f>
        <v>5</v>
      </c>
      <c r="S603" t="str">
        <f>IF(Tabela4[[#This Row],[Tarefas por Cenário]]-Tabela4[[#This Row],[Tarefas Concluídas]]&gt;0,"Não","Sim")</f>
        <v>Não</v>
      </c>
      <c r="T603">
        <f>COUNTIFS(Tabela4[[#All],[Cenário]],Tabela4[[#This Row],[Cenário]],Tabela4[[#All],[Status]],Tabela4[[#Headers],[Elo - Em correção ]])</f>
        <v>0</v>
      </c>
      <c r="U603">
        <f>COUNTIFS(Tabela4[[#All],[Cenário]],Tabela4[[#This Row],[Cenário]],Tabela4[[#All],[Status]],Tabela4[[#Headers],[Keyuser - Aguardando tarefa precedente]])</f>
        <v>0</v>
      </c>
      <c r="V603">
        <f>COUNTIFS(Tabela4[[#All],[Cenário]],Tabela4[[#This Row],[Cenário]],Tabela4[[#All],[Status]],Tabela4[[#Headers],[Não liberado  para testes]])</f>
        <v>1</v>
      </c>
      <c r="W603" t="str">
        <f>IF(Tabela4[[#This Row],[Elo - Em correção ]]&gt;0,"Sim","Não")</f>
        <v>Não</v>
      </c>
      <c r="X603" t="str">
        <f>IF(Tabela4[[#This Row],[Keyuser - Aguardando tarefa precedente]]&gt;0,"Sim","Não")</f>
        <v>Não</v>
      </c>
      <c r="Y603" t="str">
        <f>IF(Tabela4[[#This Row],[Não liberado  para testes]]&gt;0,"Sim","Não")</f>
        <v>Sim</v>
      </c>
      <c r="Z603" t="str">
        <f ca="1">IF(Tabela4[[#This Row],[Status]]="Keyuser - Pendente",NETWORKDAYS(Tabela4[[#This Row],[Dt Inicial]],TODAY()),"")</f>
        <v/>
      </c>
      <c r="AA603" t="b">
        <f>AND(Tabela4[[#This Row],[Status]]="Keyuser - Aguardando tarefa precedente",K602="Keyuser - Concluído ")</f>
        <v>0</v>
      </c>
    </row>
    <row r="604" spans="1:27" x14ac:dyDescent="0.25">
      <c r="A604" s="5" t="str">
        <f>"OUT-"&amp;IFERROR(MID(Tabela4[[#This Row],[Cenário]],SEARCH("(",Tabela4[[#This Row],[Cenário]])+1,SEARCH(")",Tabela4[[#This Row],[Cenário]])-SEARCH("(",Tabela4[[#This Row],[Cenário]])-1),"")&amp;"_"&amp;ROW()</f>
        <v>OUT-Depósito-ANP_604</v>
      </c>
      <c r="B604" t="s">
        <v>358</v>
      </c>
      <c r="C604" t="s">
        <v>708</v>
      </c>
      <c r="D604" s="5" t="s">
        <v>371</v>
      </c>
      <c r="E604">
        <v>5</v>
      </c>
      <c r="F604" t="s">
        <v>435</v>
      </c>
      <c r="G604" t="s">
        <v>287</v>
      </c>
      <c r="H604" s="9" t="s">
        <v>710</v>
      </c>
      <c r="K604" s="9" t="s">
        <v>271</v>
      </c>
      <c r="L604" s="78">
        <v>45994</v>
      </c>
      <c r="N604" s="78">
        <v>45994</v>
      </c>
      <c r="O604" s="31"/>
      <c r="P604" s="9"/>
      <c r="Q604" s="9">
        <f>COUNTIF(Tabela4[[#All],[Cenário]],Tabela4[[#This Row],[Cenário]])</f>
        <v>6</v>
      </c>
      <c r="R604">
        <f>COUNTIFS(Tabela4[[#All],[Cenário]],Tabela4[[#This Row],[Cenário]],Tabela4[[#All],[Status]],"Keyuser - Concluído ")</f>
        <v>5</v>
      </c>
      <c r="S604" t="str">
        <f>IF(Tabela4[[#This Row],[Tarefas por Cenário]]-Tabela4[[#This Row],[Tarefas Concluídas]]&gt;0,"Não","Sim")</f>
        <v>Não</v>
      </c>
      <c r="T604">
        <f>COUNTIFS(Tabela4[[#All],[Cenário]],Tabela4[[#This Row],[Cenário]],Tabela4[[#All],[Status]],Tabela4[[#Headers],[Elo - Em correção ]])</f>
        <v>0</v>
      </c>
      <c r="U604">
        <f>COUNTIFS(Tabela4[[#All],[Cenário]],Tabela4[[#This Row],[Cenário]],Tabela4[[#All],[Status]],Tabela4[[#Headers],[Keyuser - Aguardando tarefa precedente]])</f>
        <v>0</v>
      </c>
      <c r="V604">
        <f>COUNTIFS(Tabela4[[#All],[Cenário]],Tabela4[[#This Row],[Cenário]],Tabela4[[#All],[Status]],Tabela4[[#Headers],[Não liberado  para testes]])</f>
        <v>1</v>
      </c>
      <c r="W604" t="str">
        <f>IF(Tabela4[[#This Row],[Elo - Em correção ]]&gt;0,"Sim","Não")</f>
        <v>Não</v>
      </c>
      <c r="X604" t="str">
        <f>IF(Tabela4[[#This Row],[Keyuser - Aguardando tarefa precedente]]&gt;0,"Sim","Não")</f>
        <v>Não</v>
      </c>
      <c r="Y604" t="str">
        <f>IF(Tabela4[[#This Row],[Não liberado  para testes]]&gt;0,"Sim","Não")</f>
        <v>Sim</v>
      </c>
      <c r="Z604" t="str">
        <f ca="1">IF(Tabela4[[#This Row],[Status]]="Keyuser - Pendente",NETWORKDAYS(Tabela4[[#This Row],[Dt Inicial]],TODAY()),"")</f>
        <v/>
      </c>
      <c r="AA604" t="b">
        <f>AND(Tabela4[[#This Row],[Status]]="Keyuser - Aguardando tarefa precedente",K603="Keyuser - Concluído ")</f>
        <v>0</v>
      </c>
    </row>
    <row r="605" spans="1:27" x14ac:dyDescent="0.25">
      <c r="A605" s="5" t="str">
        <f>"OUT-"&amp;IFERROR(MID(Tabela4[[#This Row],[Cenário]],SEARCH("(",Tabela4[[#This Row],[Cenário]])+1,SEARCH(")",Tabela4[[#This Row],[Cenário]])-SEARCH("(",Tabela4[[#This Row],[Cenário]])-1),"")&amp;"_"&amp;ROW()</f>
        <v>OUT-Depósito-ANP_605</v>
      </c>
      <c r="B605" t="s">
        <v>358</v>
      </c>
      <c r="C605" t="s">
        <v>708</v>
      </c>
      <c r="D605" s="5" t="s">
        <v>373</v>
      </c>
      <c r="E605">
        <v>6</v>
      </c>
      <c r="F605" t="s">
        <v>373</v>
      </c>
      <c r="G605" t="s">
        <v>283</v>
      </c>
      <c r="H605" s="9" t="s">
        <v>710</v>
      </c>
      <c r="K605" s="9" t="s">
        <v>271</v>
      </c>
      <c r="L605" s="78">
        <v>45995</v>
      </c>
      <c r="N605" s="78">
        <v>45995</v>
      </c>
      <c r="O605" s="31"/>
      <c r="P605" s="9"/>
      <c r="Q605" s="9">
        <f>COUNTIF(Tabela4[[#All],[Cenário]],Tabela4[[#This Row],[Cenário]])</f>
        <v>6</v>
      </c>
      <c r="R605">
        <f>COUNTIFS(Tabela4[[#All],[Cenário]],Tabela4[[#This Row],[Cenário]],Tabela4[[#All],[Status]],"Keyuser - Concluído ")</f>
        <v>5</v>
      </c>
      <c r="S605" t="str">
        <f>IF(Tabela4[[#This Row],[Tarefas por Cenário]]-Tabela4[[#This Row],[Tarefas Concluídas]]&gt;0,"Não","Sim")</f>
        <v>Não</v>
      </c>
      <c r="T605">
        <f>COUNTIFS(Tabela4[[#All],[Cenário]],Tabela4[[#This Row],[Cenário]],Tabela4[[#All],[Status]],Tabela4[[#Headers],[Elo - Em correção ]])</f>
        <v>0</v>
      </c>
      <c r="U605">
        <f>COUNTIFS(Tabela4[[#All],[Cenário]],Tabela4[[#This Row],[Cenário]],Tabela4[[#All],[Status]],Tabela4[[#Headers],[Keyuser - Aguardando tarefa precedente]])</f>
        <v>0</v>
      </c>
      <c r="V605">
        <f>COUNTIFS(Tabela4[[#All],[Cenário]],Tabela4[[#This Row],[Cenário]],Tabela4[[#All],[Status]],Tabela4[[#Headers],[Não liberado  para testes]])</f>
        <v>1</v>
      </c>
      <c r="W605" t="str">
        <f>IF(Tabela4[[#This Row],[Elo - Em correção ]]&gt;0,"Sim","Não")</f>
        <v>Não</v>
      </c>
      <c r="X605" t="str">
        <f>IF(Tabela4[[#This Row],[Keyuser - Aguardando tarefa precedente]]&gt;0,"Sim","Não")</f>
        <v>Não</v>
      </c>
      <c r="Y605" t="str">
        <f>IF(Tabela4[[#This Row],[Não liberado  para testes]]&gt;0,"Sim","Não")</f>
        <v>Sim</v>
      </c>
      <c r="Z605" t="str">
        <f ca="1">IF(Tabela4[[#This Row],[Status]]="Keyuser - Pendente",NETWORKDAYS(Tabela4[[#This Row],[Dt Inicial]],TODAY()),"")</f>
        <v/>
      </c>
      <c r="AA605" t="b">
        <f>AND(Tabela4[[#This Row],[Status]]="Keyuser - Aguardando tarefa precedente",K604="Keyuser - Concluído ")</f>
        <v>0</v>
      </c>
    </row>
    <row r="606" spans="1:27" x14ac:dyDescent="0.25">
      <c r="A606" s="5" t="str">
        <f>"OUT-"&amp;IFERROR(MID(Tabela4[[#This Row],[Cenário]],SEARCH("(",Tabela4[[#This Row],[Cenário]])+1,SEARCH(")",Tabela4[[#This Row],[Cenário]])-SEARCH("(",Tabela4[[#This Row],[Cenário]])-1),"")&amp;"_"&amp;ROW()</f>
        <v>OUT-Depósito-ANP_606</v>
      </c>
      <c r="B606" t="s">
        <v>374</v>
      </c>
      <c r="C606" t="s">
        <v>708</v>
      </c>
      <c r="D606" s="5" t="s">
        <v>286</v>
      </c>
      <c r="E606">
        <v>7</v>
      </c>
      <c r="F606" t="s">
        <v>286</v>
      </c>
      <c r="G606" t="s">
        <v>287</v>
      </c>
      <c r="K606" s="9" t="s">
        <v>262</v>
      </c>
      <c r="N606" s="78"/>
      <c r="O606" s="31"/>
      <c r="P606" s="9"/>
      <c r="Q606" s="9">
        <f>COUNTIF(Tabela4[[#All],[Cenário]],Tabela4[[#This Row],[Cenário]])</f>
        <v>6</v>
      </c>
      <c r="R606">
        <f>COUNTIFS(Tabela4[[#All],[Cenário]],Tabela4[[#This Row],[Cenário]],Tabela4[[#All],[Status]],"Keyuser - Concluído ")</f>
        <v>5</v>
      </c>
      <c r="S606" t="str">
        <f>IF(Tabela4[[#This Row],[Tarefas por Cenário]]-Tabela4[[#This Row],[Tarefas Concluídas]]&gt;0,"Não","Sim")</f>
        <v>Não</v>
      </c>
      <c r="T606">
        <f>COUNTIFS(Tabela4[[#All],[Cenário]],Tabela4[[#This Row],[Cenário]],Tabela4[[#All],[Status]],Tabela4[[#Headers],[Elo - Em correção ]])</f>
        <v>0</v>
      </c>
      <c r="U606">
        <f>COUNTIFS(Tabela4[[#All],[Cenário]],Tabela4[[#This Row],[Cenário]],Tabela4[[#All],[Status]],Tabela4[[#Headers],[Keyuser - Aguardando tarefa precedente]])</f>
        <v>0</v>
      </c>
      <c r="V606">
        <f>COUNTIFS(Tabela4[[#All],[Cenário]],Tabela4[[#This Row],[Cenário]],Tabela4[[#All],[Status]],Tabela4[[#Headers],[Não liberado  para testes]])</f>
        <v>1</v>
      </c>
      <c r="W606" t="str">
        <f>IF(Tabela4[[#This Row],[Elo - Em correção ]]&gt;0,"Sim","Não")</f>
        <v>Não</v>
      </c>
      <c r="X606" t="str">
        <f>IF(Tabela4[[#This Row],[Keyuser - Aguardando tarefa precedente]]&gt;0,"Sim","Não")</f>
        <v>Não</v>
      </c>
      <c r="Y606" t="str">
        <f>IF(Tabela4[[#This Row],[Não liberado  para testes]]&gt;0,"Sim","Não")</f>
        <v>Sim</v>
      </c>
      <c r="Z606" t="str">
        <f ca="1">IF(Tabela4[[#This Row],[Status]]="Keyuser - Pendente",NETWORKDAYS(Tabela4[[#This Row],[Dt Inicial]],TODAY()),"")</f>
        <v/>
      </c>
      <c r="AA606" t="b">
        <f>AND(Tabela4[[#This Row],[Status]]="Keyuser - Aguardando tarefa precedente",K605="Keyuser - Concluído ")</f>
        <v>0</v>
      </c>
    </row>
    <row r="607" spans="1:27" x14ac:dyDescent="0.25">
      <c r="A607" s="5" t="str">
        <f>"OUT-"&amp;IFERROR(MID(Tabela4[[#This Row],[Cenário]],SEARCH("(",Tabela4[[#This Row],[Cenário]])+1,SEARCH(")",Tabela4[[#This Row],[Cenário]])-SEARCH("(",Tabela4[[#This Row],[Cenário]])-1),"")&amp;"_"&amp;ROW()</f>
        <v>OUT-Depósito-ANP_607</v>
      </c>
      <c r="B607" t="s">
        <v>358</v>
      </c>
      <c r="C607" t="s">
        <v>711</v>
      </c>
      <c r="D607" t="s">
        <v>712</v>
      </c>
      <c r="E607">
        <v>1</v>
      </c>
      <c r="F607" t="s">
        <v>712</v>
      </c>
      <c r="G607" t="s">
        <v>361</v>
      </c>
      <c r="H607" s="9" t="s">
        <v>713</v>
      </c>
      <c r="K607" s="9" t="s">
        <v>271</v>
      </c>
      <c r="L607" s="78">
        <v>45994</v>
      </c>
      <c r="N607" s="78">
        <v>45994</v>
      </c>
      <c r="O607" s="31"/>
      <c r="P607" s="9"/>
      <c r="Q607" s="9">
        <f>COUNTIF(Tabela4[[#All],[Cenário]],Tabela4[[#This Row],[Cenário]])</f>
        <v>6</v>
      </c>
      <c r="R607">
        <f>COUNTIFS(Tabela4[[#All],[Cenário]],Tabela4[[#This Row],[Cenário]],Tabela4[[#All],[Status]],"Keyuser - Concluído ")</f>
        <v>5</v>
      </c>
      <c r="S607" t="str">
        <f>IF(Tabela4[[#This Row],[Tarefas por Cenário]]-Tabela4[[#This Row],[Tarefas Concluídas]]&gt;0,"Não","Sim")</f>
        <v>Não</v>
      </c>
      <c r="T607">
        <f>COUNTIFS(Tabela4[[#All],[Cenário]],Tabela4[[#This Row],[Cenário]],Tabela4[[#All],[Status]],Tabela4[[#Headers],[Elo - Em correção ]])</f>
        <v>0</v>
      </c>
      <c r="U607">
        <f>COUNTIFS(Tabela4[[#All],[Cenário]],Tabela4[[#This Row],[Cenário]],Tabela4[[#All],[Status]],Tabela4[[#Headers],[Keyuser - Aguardando tarefa precedente]])</f>
        <v>0</v>
      </c>
      <c r="V607">
        <f>COUNTIFS(Tabela4[[#All],[Cenário]],Tabela4[[#This Row],[Cenário]],Tabela4[[#All],[Status]],Tabela4[[#Headers],[Não liberado  para testes]])</f>
        <v>1</v>
      </c>
      <c r="W607" t="str">
        <f>IF(Tabela4[[#This Row],[Elo - Em correção ]]&gt;0,"Sim","Não")</f>
        <v>Não</v>
      </c>
      <c r="X607" t="str">
        <f>IF(Tabela4[[#This Row],[Keyuser - Aguardando tarefa precedente]]&gt;0,"Sim","Não")</f>
        <v>Não</v>
      </c>
      <c r="Y607" t="str">
        <f>IF(Tabela4[[#This Row],[Não liberado  para testes]]&gt;0,"Sim","Não")</f>
        <v>Sim</v>
      </c>
      <c r="Z607" t="str">
        <f ca="1">IF(Tabela4[[#This Row],[Status]]="Keyuser - Pendente",NETWORKDAYS(Tabela4[[#This Row],[Dt Inicial]],TODAY()),"")</f>
        <v/>
      </c>
      <c r="AA607" t="b">
        <f>AND(Tabela4[[#This Row],[Status]]="Keyuser - Aguardando tarefa precedente",K606="Keyuser - Concluído ")</f>
        <v>0</v>
      </c>
    </row>
    <row r="608" spans="1:27" x14ac:dyDescent="0.25">
      <c r="A608" s="5" t="str">
        <f>"OUT-"&amp;IFERROR(MID(Tabela4[[#This Row],[Cenário]],SEARCH("(",Tabela4[[#This Row],[Cenário]])+1,SEARCH(")",Tabela4[[#This Row],[Cenário]])-SEARCH("(",Tabela4[[#This Row],[Cenário]])-1),"")&amp;"_"&amp;ROW()</f>
        <v>OUT-Depósito-ANP_608</v>
      </c>
      <c r="B608" t="s">
        <v>358</v>
      </c>
      <c r="C608" t="s">
        <v>711</v>
      </c>
      <c r="D608" s="5" t="s">
        <v>365</v>
      </c>
      <c r="E608">
        <v>2</v>
      </c>
      <c r="F608" t="s">
        <v>365</v>
      </c>
      <c r="G608" t="s">
        <v>310</v>
      </c>
      <c r="H608" s="9" t="s">
        <v>713</v>
      </c>
      <c r="K608" s="9" t="s">
        <v>271</v>
      </c>
      <c r="L608" s="78">
        <v>45995</v>
      </c>
      <c r="N608" s="78">
        <v>45995</v>
      </c>
      <c r="O608" s="31"/>
      <c r="P608" s="9"/>
      <c r="Q608" s="9">
        <f>COUNTIF(Tabela4[[#All],[Cenário]],Tabela4[[#This Row],[Cenário]])</f>
        <v>6</v>
      </c>
      <c r="R608">
        <f>COUNTIFS(Tabela4[[#All],[Cenário]],Tabela4[[#This Row],[Cenário]],Tabela4[[#All],[Status]],"Keyuser - Concluído ")</f>
        <v>5</v>
      </c>
      <c r="S608" t="str">
        <f>IF(Tabela4[[#This Row],[Tarefas por Cenário]]-Tabela4[[#This Row],[Tarefas Concluídas]]&gt;0,"Não","Sim")</f>
        <v>Não</v>
      </c>
      <c r="T608">
        <f>COUNTIFS(Tabela4[[#All],[Cenário]],Tabela4[[#This Row],[Cenário]],Tabela4[[#All],[Status]],Tabela4[[#Headers],[Elo - Em correção ]])</f>
        <v>0</v>
      </c>
      <c r="U608">
        <f>COUNTIFS(Tabela4[[#All],[Cenário]],Tabela4[[#This Row],[Cenário]],Tabela4[[#All],[Status]],Tabela4[[#Headers],[Keyuser - Aguardando tarefa precedente]])</f>
        <v>0</v>
      </c>
      <c r="V608">
        <f>COUNTIFS(Tabela4[[#All],[Cenário]],Tabela4[[#This Row],[Cenário]],Tabela4[[#All],[Status]],Tabela4[[#Headers],[Não liberado  para testes]])</f>
        <v>1</v>
      </c>
      <c r="W608" t="str">
        <f>IF(Tabela4[[#This Row],[Elo - Em correção ]]&gt;0,"Sim","Não")</f>
        <v>Não</v>
      </c>
      <c r="X608" t="str">
        <f>IF(Tabela4[[#This Row],[Keyuser - Aguardando tarefa precedente]]&gt;0,"Sim","Não")</f>
        <v>Não</v>
      </c>
      <c r="Y608" t="str">
        <f>IF(Tabela4[[#This Row],[Não liberado  para testes]]&gt;0,"Sim","Não")</f>
        <v>Sim</v>
      </c>
      <c r="Z608" t="str">
        <f ca="1">IF(Tabela4[[#This Row],[Status]]="Keyuser - Pendente",NETWORKDAYS(Tabela4[[#This Row],[Dt Inicial]],TODAY()),"")</f>
        <v/>
      </c>
      <c r="AA608" t="b">
        <f>AND(Tabela4[[#This Row],[Status]]="Keyuser - Aguardando tarefa precedente",K607="Keyuser - Concluído ")</f>
        <v>0</v>
      </c>
    </row>
    <row r="609" spans="1:27" x14ac:dyDescent="0.25">
      <c r="A609" s="5" t="str">
        <f>"OUT-"&amp;IFERROR(MID(Tabela4[[#This Row],[Cenário]],SEARCH("(",Tabela4[[#This Row],[Cenário]])+1,SEARCH(")",Tabela4[[#This Row],[Cenário]])-SEARCH("(",Tabela4[[#This Row],[Cenário]])-1),"")&amp;"_"&amp;ROW()</f>
        <v>OUT-Depósito-ANP_609</v>
      </c>
      <c r="B609" t="s">
        <v>358</v>
      </c>
      <c r="C609" t="s">
        <v>711</v>
      </c>
      <c r="D609" s="5" t="s">
        <v>368</v>
      </c>
      <c r="E609">
        <v>4</v>
      </c>
      <c r="F609" t="s">
        <v>368</v>
      </c>
      <c r="G609" t="s">
        <v>369</v>
      </c>
      <c r="H609" s="9" t="s">
        <v>714</v>
      </c>
      <c r="K609" s="9" t="s">
        <v>271</v>
      </c>
      <c r="L609" s="78">
        <v>45995</v>
      </c>
      <c r="N609" s="78">
        <v>45995</v>
      </c>
      <c r="O609" s="31"/>
      <c r="P609" s="9"/>
      <c r="Q609" s="9">
        <f>COUNTIF(Tabela4[[#All],[Cenário]],Tabela4[[#This Row],[Cenário]])</f>
        <v>6</v>
      </c>
      <c r="R609">
        <f>COUNTIFS(Tabela4[[#All],[Cenário]],Tabela4[[#This Row],[Cenário]],Tabela4[[#All],[Status]],"Keyuser - Concluído ")</f>
        <v>5</v>
      </c>
      <c r="S609" t="str">
        <f>IF(Tabela4[[#This Row],[Tarefas por Cenário]]-Tabela4[[#This Row],[Tarefas Concluídas]]&gt;0,"Não","Sim")</f>
        <v>Não</v>
      </c>
      <c r="T609">
        <f>COUNTIFS(Tabela4[[#All],[Cenário]],Tabela4[[#This Row],[Cenário]],Tabela4[[#All],[Status]],Tabela4[[#Headers],[Elo - Em correção ]])</f>
        <v>0</v>
      </c>
      <c r="U609">
        <f>COUNTIFS(Tabela4[[#All],[Cenário]],Tabela4[[#This Row],[Cenário]],Tabela4[[#All],[Status]],Tabela4[[#Headers],[Keyuser - Aguardando tarefa precedente]])</f>
        <v>0</v>
      </c>
      <c r="V609">
        <f>COUNTIFS(Tabela4[[#All],[Cenário]],Tabela4[[#This Row],[Cenário]],Tabela4[[#All],[Status]],Tabela4[[#Headers],[Não liberado  para testes]])</f>
        <v>1</v>
      </c>
      <c r="W609" t="str">
        <f>IF(Tabela4[[#This Row],[Elo - Em correção ]]&gt;0,"Sim","Não")</f>
        <v>Não</v>
      </c>
      <c r="X609" t="str">
        <f>IF(Tabela4[[#This Row],[Keyuser - Aguardando tarefa precedente]]&gt;0,"Sim","Não")</f>
        <v>Não</v>
      </c>
      <c r="Y609" t="str">
        <f>IF(Tabela4[[#This Row],[Não liberado  para testes]]&gt;0,"Sim","Não")</f>
        <v>Sim</v>
      </c>
      <c r="Z609" t="str">
        <f ca="1">IF(Tabela4[[#This Row],[Status]]="Keyuser - Pendente",NETWORKDAYS(Tabela4[[#This Row],[Dt Inicial]],TODAY()),"")</f>
        <v/>
      </c>
      <c r="AA609" t="b">
        <f>AND(Tabela4[[#This Row],[Status]]="Keyuser - Aguardando tarefa precedente",K608="Keyuser - Concluído ")</f>
        <v>0</v>
      </c>
    </row>
    <row r="610" spans="1:27" x14ac:dyDescent="0.25">
      <c r="A610" s="5" t="str">
        <f>"OUT-"&amp;IFERROR(MID(Tabela4[[#This Row],[Cenário]],SEARCH("(",Tabela4[[#This Row],[Cenário]])+1,SEARCH(")",Tabela4[[#This Row],[Cenário]])-SEARCH("(",Tabela4[[#This Row],[Cenário]])-1),"")&amp;"_"&amp;ROW()</f>
        <v>OUT-Depósito-ANP_610</v>
      </c>
      <c r="B610" t="s">
        <v>358</v>
      </c>
      <c r="C610" t="s">
        <v>711</v>
      </c>
      <c r="D610" s="5" t="s">
        <v>371</v>
      </c>
      <c r="E610">
        <v>5</v>
      </c>
      <c r="F610" t="s">
        <v>435</v>
      </c>
      <c r="G610" t="s">
        <v>287</v>
      </c>
      <c r="H610" s="9" t="s">
        <v>714</v>
      </c>
      <c r="K610" s="9" t="s">
        <v>271</v>
      </c>
      <c r="L610" s="78">
        <v>45996</v>
      </c>
      <c r="N610" s="78">
        <v>45996</v>
      </c>
      <c r="O610" s="31"/>
      <c r="P610" s="9"/>
      <c r="Q610" s="9">
        <f>COUNTIF(Tabela4[[#All],[Cenário]],Tabela4[[#This Row],[Cenário]])</f>
        <v>6</v>
      </c>
      <c r="R610">
        <f>COUNTIFS(Tabela4[[#All],[Cenário]],Tabela4[[#This Row],[Cenário]],Tabela4[[#All],[Status]],"Keyuser - Concluído ")</f>
        <v>5</v>
      </c>
      <c r="S610" t="str">
        <f>IF(Tabela4[[#This Row],[Tarefas por Cenário]]-Tabela4[[#This Row],[Tarefas Concluídas]]&gt;0,"Não","Sim")</f>
        <v>Não</v>
      </c>
      <c r="T610">
        <f>COUNTIFS(Tabela4[[#All],[Cenário]],Tabela4[[#This Row],[Cenário]],Tabela4[[#All],[Status]],Tabela4[[#Headers],[Elo - Em correção ]])</f>
        <v>0</v>
      </c>
      <c r="U610">
        <f>COUNTIFS(Tabela4[[#All],[Cenário]],Tabela4[[#This Row],[Cenário]],Tabela4[[#All],[Status]],Tabela4[[#Headers],[Keyuser - Aguardando tarefa precedente]])</f>
        <v>0</v>
      </c>
      <c r="V610">
        <f>COUNTIFS(Tabela4[[#All],[Cenário]],Tabela4[[#This Row],[Cenário]],Tabela4[[#All],[Status]],Tabela4[[#Headers],[Não liberado  para testes]])</f>
        <v>1</v>
      </c>
      <c r="W610" t="str">
        <f>IF(Tabela4[[#This Row],[Elo - Em correção ]]&gt;0,"Sim","Não")</f>
        <v>Não</v>
      </c>
      <c r="X610" t="str">
        <f>IF(Tabela4[[#This Row],[Keyuser - Aguardando tarefa precedente]]&gt;0,"Sim","Não")</f>
        <v>Não</v>
      </c>
      <c r="Y610" t="str">
        <f>IF(Tabela4[[#This Row],[Não liberado  para testes]]&gt;0,"Sim","Não")</f>
        <v>Sim</v>
      </c>
      <c r="Z610" t="str">
        <f ca="1">IF(Tabela4[[#This Row],[Status]]="Keyuser - Pendente",NETWORKDAYS(Tabela4[[#This Row],[Dt Inicial]],TODAY()),"")</f>
        <v/>
      </c>
      <c r="AA610" t="b">
        <f>AND(Tabela4[[#This Row],[Status]]="Keyuser - Aguardando tarefa precedente",K609="Keyuser - Concluído ")</f>
        <v>0</v>
      </c>
    </row>
    <row r="611" spans="1:27" x14ac:dyDescent="0.25">
      <c r="A611" s="5" t="str">
        <f>"OUT-"&amp;IFERROR(MID(Tabela4[[#This Row],[Cenário]],SEARCH("(",Tabela4[[#This Row],[Cenário]])+1,SEARCH(")",Tabela4[[#This Row],[Cenário]])-SEARCH("(",Tabela4[[#This Row],[Cenário]])-1),"")&amp;"_"&amp;ROW()</f>
        <v>OUT-Depósito-ANP_611</v>
      </c>
      <c r="B611" t="s">
        <v>358</v>
      </c>
      <c r="C611" t="s">
        <v>711</v>
      </c>
      <c r="D611" s="5" t="s">
        <v>373</v>
      </c>
      <c r="E611">
        <v>6</v>
      </c>
      <c r="F611" t="s">
        <v>373</v>
      </c>
      <c r="G611" t="s">
        <v>283</v>
      </c>
      <c r="H611" s="9" t="s">
        <v>714</v>
      </c>
      <c r="K611" s="9" t="s">
        <v>271</v>
      </c>
      <c r="L611" s="78">
        <v>45996</v>
      </c>
      <c r="N611" s="78">
        <v>45996</v>
      </c>
      <c r="O611" s="31"/>
      <c r="P611" s="9"/>
      <c r="Q611" s="9">
        <f>COUNTIF(Tabela4[[#All],[Cenário]],Tabela4[[#This Row],[Cenário]])</f>
        <v>6</v>
      </c>
      <c r="R611">
        <f>COUNTIFS(Tabela4[[#All],[Cenário]],Tabela4[[#This Row],[Cenário]],Tabela4[[#All],[Status]],"Keyuser - Concluído ")</f>
        <v>5</v>
      </c>
      <c r="S611" t="str">
        <f>IF(Tabela4[[#This Row],[Tarefas por Cenário]]-Tabela4[[#This Row],[Tarefas Concluídas]]&gt;0,"Não","Sim")</f>
        <v>Não</v>
      </c>
      <c r="T611">
        <f>COUNTIFS(Tabela4[[#All],[Cenário]],Tabela4[[#This Row],[Cenário]],Tabela4[[#All],[Status]],Tabela4[[#Headers],[Elo - Em correção ]])</f>
        <v>0</v>
      </c>
      <c r="U611">
        <f>COUNTIFS(Tabela4[[#All],[Cenário]],Tabela4[[#This Row],[Cenário]],Tabela4[[#All],[Status]],Tabela4[[#Headers],[Keyuser - Aguardando tarefa precedente]])</f>
        <v>0</v>
      </c>
      <c r="V611">
        <f>COUNTIFS(Tabela4[[#All],[Cenário]],Tabela4[[#This Row],[Cenário]],Tabela4[[#All],[Status]],Tabela4[[#Headers],[Não liberado  para testes]])</f>
        <v>1</v>
      </c>
      <c r="W611" t="str">
        <f>IF(Tabela4[[#This Row],[Elo - Em correção ]]&gt;0,"Sim","Não")</f>
        <v>Não</v>
      </c>
      <c r="X611" t="str">
        <f>IF(Tabela4[[#This Row],[Keyuser - Aguardando tarefa precedente]]&gt;0,"Sim","Não")</f>
        <v>Não</v>
      </c>
      <c r="Y611" t="str">
        <f>IF(Tabela4[[#This Row],[Não liberado  para testes]]&gt;0,"Sim","Não")</f>
        <v>Sim</v>
      </c>
      <c r="Z611" t="str">
        <f ca="1">IF(Tabela4[[#This Row],[Status]]="Keyuser - Pendente",NETWORKDAYS(Tabela4[[#This Row],[Dt Inicial]],TODAY()),"")</f>
        <v/>
      </c>
      <c r="AA611" t="b">
        <f>AND(Tabela4[[#This Row],[Status]]="Keyuser - Aguardando tarefa precedente",K610="Keyuser - Concluído ")</f>
        <v>0</v>
      </c>
    </row>
    <row r="612" spans="1:27" x14ac:dyDescent="0.25">
      <c r="A612" s="5" t="str">
        <f>"OUT-"&amp;IFERROR(MID(Tabela4[[#This Row],[Cenário]],SEARCH("(",Tabela4[[#This Row],[Cenário]])+1,SEARCH(")",Tabela4[[#This Row],[Cenário]])-SEARCH("(",Tabela4[[#This Row],[Cenário]])-1),"")&amp;"_"&amp;ROW()</f>
        <v>OUT-Depósito-ANP_612</v>
      </c>
      <c r="B612" t="s">
        <v>374</v>
      </c>
      <c r="C612" t="s">
        <v>711</v>
      </c>
      <c r="D612" s="5" t="s">
        <v>286</v>
      </c>
      <c r="E612">
        <v>7</v>
      </c>
      <c r="F612" t="s">
        <v>286</v>
      </c>
      <c r="G612" t="s">
        <v>287</v>
      </c>
      <c r="K612" s="9" t="s">
        <v>262</v>
      </c>
      <c r="N612" s="78"/>
      <c r="O612" s="31"/>
      <c r="P612" s="9"/>
      <c r="Q612" s="9">
        <f>COUNTIF(Tabela4[[#All],[Cenário]],Tabela4[[#This Row],[Cenário]])</f>
        <v>6</v>
      </c>
      <c r="R612">
        <f>COUNTIFS(Tabela4[[#All],[Cenário]],Tabela4[[#This Row],[Cenário]],Tabela4[[#All],[Status]],"Keyuser - Concluído ")</f>
        <v>5</v>
      </c>
      <c r="S612" t="str">
        <f>IF(Tabela4[[#This Row],[Tarefas por Cenário]]-Tabela4[[#This Row],[Tarefas Concluídas]]&gt;0,"Não","Sim")</f>
        <v>Não</v>
      </c>
      <c r="T612">
        <f>COUNTIFS(Tabela4[[#All],[Cenário]],Tabela4[[#This Row],[Cenário]],Tabela4[[#All],[Status]],Tabela4[[#Headers],[Elo - Em correção ]])</f>
        <v>0</v>
      </c>
      <c r="U612">
        <f>COUNTIFS(Tabela4[[#All],[Cenário]],Tabela4[[#This Row],[Cenário]],Tabela4[[#All],[Status]],Tabela4[[#Headers],[Keyuser - Aguardando tarefa precedente]])</f>
        <v>0</v>
      </c>
      <c r="V612">
        <f>COUNTIFS(Tabela4[[#All],[Cenário]],Tabela4[[#This Row],[Cenário]],Tabela4[[#All],[Status]],Tabela4[[#Headers],[Não liberado  para testes]])</f>
        <v>1</v>
      </c>
      <c r="W612" t="str">
        <f>IF(Tabela4[[#This Row],[Elo - Em correção ]]&gt;0,"Sim","Não")</f>
        <v>Não</v>
      </c>
      <c r="X612" t="str">
        <f>IF(Tabela4[[#This Row],[Keyuser - Aguardando tarefa precedente]]&gt;0,"Sim","Não")</f>
        <v>Não</v>
      </c>
      <c r="Y612" t="str">
        <f>IF(Tabela4[[#This Row],[Não liberado  para testes]]&gt;0,"Sim","Não")</f>
        <v>Sim</v>
      </c>
      <c r="Z612" t="str">
        <f ca="1">IF(Tabela4[[#This Row],[Status]]="Keyuser - Pendente",NETWORKDAYS(Tabela4[[#This Row],[Dt Inicial]],TODAY()),"")</f>
        <v/>
      </c>
      <c r="AA612" t="b">
        <f>AND(Tabela4[[#This Row],[Status]]="Keyuser - Aguardando tarefa precedente",K611="Keyuser - Concluído ")</f>
        <v>0</v>
      </c>
    </row>
    <row r="613" spans="1:27" x14ac:dyDescent="0.25">
      <c r="A613" t="str">
        <f>"OUT-"&amp;IFERROR(MID(Tabela4[[#This Row],[Cenário]],SEARCH("(",Tabela4[[#This Row],[Cenário]])+1,SEARCH(")",Tabela4[[#This Row],[Cenário]])-SEARCH("(",Tabela4[[#This Row],[Cenário]])-1),"")&amp;"_"&amp;ROW()</f>
        <v>OUT-Depósito-ANP_613</v>
      </c>
      <c r="B613" t="s">
        <v>358</v>
      </c>
      <c r="C613" t="s">
        <v>715</v>
      </c>
      <c r="D613" t="s">
        <v>716</v>
      </c>
      <c r="E613">
        <v>1</v>
      </c>
      <c r="F613" t="s">
        <v>716</v>
      </c>
      <c r="G613" t="s">
        <v>361</v>
      </c>
      <c r="H613" s="9" t="s">
        <v>717</v>
      </c>
      <c r="K613" s="9" t="s">
        <v>271</v>
      </c>
      <c r="L613" s="78">
        <v>45996</v>
      </c>
      <c r="N613" s="78">
        <v>45996</v>
      </c>
      <c r="O613" s="31"/>
      <c r="P613" s="9"/>
      <c r="Q613" s="9">
        <f>COUNTIF(Tabela4[[#All],[Cenário]],Tabela4[[#This Row],[Cenário]])</f>
        <v>6</v>
      </c>
      <c r="R613">
        <f>COUNTIFS(Tabela4[[#All],[Cenário]],Tabela4[[#This Row],[Cenário]],Tabela4[[#All],[Status]],"Keyuser - Concluído ")</f>
        <v>4</v>
      </c>
      <c r="S613" t="str">
        <f>IF(Tabela4[[#This Row],[Tarefas por Cenário]]-Tabela4[[#This Row],[Tarefas Concluídas]]&gt;0,"Não","Sim")</f>
        <v>Não</v>
      </c>
      <c r="T613">
        <f>COUNTIFS(Tabela4[[#All],[Cenário]],Tabela4[[#This Row],[Cenário]],Tabela4[[#All],[Status]],Tabela4[[#Headers],[Elo - Em correção ]])</f>
        <v>0</v>
      </c>
      <c r="U613">
        <f>COUNTIFS(Tabela4[[#All],[Cenário]],Tabela4[[#This Row],[Cenário]],Tabela4[[#All],[Status]],Tabela4[[#Headers],[Keyuser - Aguardando tarefa precedente]])</f>
        <v>0</v>
      </c>
      <c r="V613">
        <f>COUNTIFS(Tabela4[[#All],[Cenário]],Tabela4[[#This Row],[Cenário]],Tabela4[[#All],[Status]],Tabela4[[#Headers],[Não liberado  para testes]])</f>
        <v>1</v>
      </c>
      <c r="W613" t="str">
        <f>IF(Tabela4[[#This Row],[Elo - Em correção ]]&gt;0,"Sim","Não")</f>
        <v>Não</v>
      </c>
      <c r="X613" t="str">
        <f>IF(Tabela4[[#This Row],[Keyuser - Aguardando tarefa precedente]]&gt;0,"Sim","Não")</f>
        <v>Não</v>
      </c>
      <c r="Y613" t="str">
        <f>IF(Tabela4[[#This Row],[Não liberado  para testes]]&gt;0,"Sim","Não")</f>
        <v>Sim</v>
      </c>
      <c r="Z613" t="str">
        <f ca="1">IF(Tabela4[[#This Row],[Status]]="Keyuser - Pendente",NETWORKDAYS(Tabela4[[#This Row],[Dt Inicial]],TODAY()),"")</f>
        <v/>
      </c>
      <c r="AA613" t="b">
        <f>AND(Tabela4[[#This Row],[Status]]="Keyuser - Aguardando tarefa precedente",K612="Keyuser - Concluído ")</f>
        <v>0</v>
      </c>
    </row>
    <row r="614" spans="1:27" x14ac:dyDescent="0.25">
      <c r="A614" t="str">
        <f>"OUT-"&amp;IFERROR(MID(Tabela4[[#This Row],[Cenário]],SEARCH("(",Tabela4[[#This Row],[Cenário]])+1,SEARCH(")",Tabela4[[#This Row],[Cenário]])-SEARCH("(",Tabela4[[#This Row],[Cenário]])-1),"")&amp;"_"&amp;ROW()</f>
        <v>OUT-Depósito-ANP_614</v>
      </c>
      <c r="B614" t="s">
        <v>358</v>
      </c>
      <c r="C614" t="s">
        <v>715</v>
      </c>
      <c r="D614" s="5" t="s">
        <v>365</v>
      </c>
      <c r="E614">
        <v>2</v>
      </c>
      <c r="F614" t="s">
        <v>365</v>
      </c>
      <c r="G614" t="s">
        <v>310</v>
      </c>
      <c r="H614" s="9" t="s">
        <v>717</v>
      </c>
      <c r="K614" s="9" t="s">
        <v>271</v>
      </c>
      <c r="L614" s="78">
        <v>46000</v>
      </c>
      <c r="N614" s="78">
        <v>46000</v>
      </c>
      <c r="O614" s="31"/>
      <c r="P614" s="9"/>
      <c r="Q614" s="9">
        <f>COUNTIF(Tabela4[[#All],[Cenário]],Tabela4[[#This Row],[Cenário]])</f>
        <v>6</v>
      </c>
      <c r="R614">
        <f>COUNTIFS(Tabela4[[#All],[Cenário]],Tabela4[[#This Row],[Cenário]],Tabela4[[#All],[Status]],"Keyuser - Concluído ")</f>
        <v>4</v>
      </c>
      <c r="S614" t="str">
        <f>IF(Tabela4[[#This Row],[Tarefas por Cenário]]-Tabela4[[#This Row],[Tarefas Concluídas]]&gt;0,"Não","Sim")</f>
        <v>Não</v>
      </c>
      <c r="T614">
        <f>COUNTIFS(Tabela4[[#All],[Cenário]],Tabela4[[#This Row],[Cenário]],Tabela4[[#All],[Status]],Tabela4[[#Headers],[Elo - Em correção ]])</f>
        <v>0</v>
      </c>
      <c r="U614">
        <f>COUNTIFS(Tabela4[[#All],[Cenário]],Tabela4[[#This Row],[Cenário]],Tabela4[[#All],[Status]],Tabela4[[#Headers],[Keyuser - Aguardando tarefa precedente]])</f>
        <v>0</v>
      </c>
      <c r="V614">
        <f>COUNTIFS(Tabela4[[#All],[Cenário]],Tabela4[[#This Row],[Cenário]],Tabela4[[#All],[Status]],Tabela4[[#Headers],[Não liberado  para testes]])</f>
        <v>1</v>
      </c>
      <c r="W614" t="str">
        <f>IF(Tabela4[[#This Row],[Elo - Em correção ]]&gt;0,"Sim","Não")</f>
        <v>Não</v>
      </c>
      <c r="X614" t="str">
        <f>IF(Tabela4[[#This Row],[Keyuser - Aguardando tarefa precedente]]&gt;0,"Sim","Não")</f>
        <v>Não</v>
      </c>
      <c r="Y614" t="str">
        <f>IF(Tabela4[[#This Row],[Não liberado  para testes]]&gt;0,"Sim","Não")</f>
        <v>Sim</v>
      </c>
      <c r="Z614" t="str">
        <f ca="1">IF(Tabela4[[#This Row],[Status]]="Keyuser - Pendente",NETWORKDAYS(Tabela4[[#This Row],[Dt Inicial]],TODAY()),"")</f>
        <v/>
      </c>
      <c r="AA614" t="b">
        <f>AND(Tabela4[[#This Row],[Status]]="Keyuser - Aguardando tarefa precedente",K613="Keyuser - Concluído ")</f>
        <v>0</v>
      </c>
    </row>
    <row r="615" spans="1:27" x14ac:dyDescent="0.25">
      <c r="A615" t="str">
        <f>"OUT-"&amp;IFERROR(MID(Tabela4[[#This Row],[Cenário]],SEARCH("(",Tabela4[[#This Row],[Cenário]])+1,SEARCH(")",Tabela4[[#This Row],[Cenário]])-SEARCH("(",Tabela4[[#This Row],[Cenário]])-1),"")&amp;"_"&amp;ROW()</f>
        <v>OUT-Depósito-ANP_615</v>
      </c>
      <c r="B615" t="s">
        <v>358</v>
      </c>
      <c r="C615" t="s">
        <v>715</v>
      </c>
      <c r="D615" s="5" t="s">
        <v>368</v>
      </c>
      <c r="E615">
        <v>4</v>
      </c>
      <c r="F615" t="s">
        <v>368</v>
      </c>
      <c r="G615" t="s">
        <v>369</v>
      </c>
      <c r="H615" s="9" t="s">
        <v>718</v>
      </c>
      <c r="K615" s="9" t="s">
        <v>271</v>
      </c>
      <c r="L615" s="78">
        <v>46000</v>
      </c>
      <c r="N615" s="78">
        <v>46000</v>
      </c>
      <c r="O615" s="31"/>
      <c r="P615" s="9"/>
      <c r="Q615" s="9">
        <f>COUNTIF(Tabela4[[#All],[Cenário]],Tabela4[[#This Row],[Cenário]])</f>
        <v>6</v>
      </c>
      <c r="R615">
        <f>COUNTIFS(Tabela4[[#All],[Cenário]],Tabela4[[#This Row],[Cenário]],Tabela4[[#All],[Status]],"Keyuser - Concluído ")</f>
        <v>4</v>
      </c>
      <c r="S615" t="str">
        <f>IF(Tabela4[[#This Row],[Tarefas por Cenário]]-Tabela4[[#This Row],[Tarefas Concluídas]]&gt;0,"Não","Sim")</f>
        <v>Não</v>
      </c>
      <c r="T615">
        <f>COUNTIFS(Tabela4[[#All],[Cenário]],Tabela4[[#This Row],[Cenário]],Tabela4[[#All],[Status]],Tabela4[[#Headers],[Elo - Em correção ]])</f>
        <v>0</v>
      </c>
      <c r="U615">
        <f>COUNTIFS(Tabela4[[#All],[Cenário]],Tabela4[[#This Row],[Cenário]],Tabela4[[#All],[Status]],Tabela4[[#Headers],[Keyuser - Aguardando tarefa precedente]])</f>
        <v>0</v>
      </c>
      <c r="V615">
        <f>COUNTIFS(Tabela4[[#All],[Cenário]],Tabela4[[#This Row],[Cenário]],Tabela4[[#All],[Status]],Tabela4[[#Headers],[Não liberado  para testes]])</f>
        <v>1</v>
      </c>
      <c r="W615" t="str">
        <f>IF(Tabela4[[#This Row],[Elo - Em correção ]]&gt;0,"Sim","Não")</f>
        <v>Não</v>
      </c>
      <c r="X615" t="str">
        <f>IF(Tabela4[[#This Row],[Keyuser - Aguardando tarefa precedente]]&gt;0,"Sim","Não")</f>
        <v>Não</v>
      </c>
      <c r="Y615" t="str">
        <f>IF(Tabela4[[#This Row],[Não liberado  para testes]]&gt;0,"Sim","Não")</f>
        <v>Sim</v>
      </c>
      <c r="Z615" t="str">
        <f ca="1">IF(Tabela4[[#This Row],[Status]]="Keyuser - Pendente",NETWORKDAYS(Tabela4[[#This Row],[Dt Inicial]],TODAY()),"")</f>
        <v/>
      </c>
      <c r="AA615" t="b">
        <f>AND(Tabela4[[#This Row],[Status]]="Keyuser - Aguardando tarefa precedente",K614="Keyuser - Concluído ")</f>
        <v>0</v>
      </c>
    </row>
    <row r="616" spans="1:27" x14ac:dyDescent="0.25">
      <c r="A616" t="str">
        <f>"OUT-"&amp;IFERROR(MID(Tabela4[[#This Row],[Cenário]],SEARCH("(",Tabela4[[#This Row],[Cenário]])+1,SEARCH(")",Tabela4[[#This Row],[Cenário]])-SEARCH("(",Tabela4[[#This Row],[Cenário]])-1),"")&amp;"_"&amp;ROW()</f>
        <v>OUT-Depósito-ANP_616</v>
      </c>
      <c r="B616" t="s">
        <v>358</v>
      </c>
      <c r="C616" t="s">
        <v>715</v>
      </c>
      <c r="D616" s="5" t="s">
        <v>371</v>
      </c>
      <c r="E616">
        <v>5</v>
      </c>
      <c r="F616" t="s">
        <v>435</v>
      </c>
      <c r="G616" t="s">
        <v>287</v>
      </c>
      <c r="H616" s="9" t="s">
        <v>718</v>
      </c>
      <c r="K616" s="9" t="s">
        <v>271</v>
      </c>
      <c r="L616" s="78">
        <v>46001</v>
      </c>
      <c r="N616" s="78">
        <v>46001</v>
      </c>
      <c r="O616" s="31"/>
      <c r="P616" s="9"/>
      <c r="Q616" s="9">
        <f>COUNTIF(Tabela4[[#All],[Cenário]],Tabela4[[#This Row],[Cenário]])</f>
        <v>6</v>
      </c>
      <c r="R616">
        <f>COUNTIFS(Tabela4[[#All],[Cenário]],Tabela4[[#This Row],[Cenário]],Tabela4[[#All],[Status]],"Keyuser - Concluído ")</f>
        <v>4</v>
      </c>
      <c r="S616" t="str">
        <f>IF(Tabela4[[#This Row],[Tarefas por Cenário]]-Tabela4[[#This Row],[Tarefas Concluídas]]&gt;0,"Não","Sim")</f>
        <v>Não</v>
      </c>
      <c r="T616">
        <f>COUNTIFS(Tabela4[[#All],[Cenário]],Tabela4[[#This Row],[Cenário]],Tabela4[[#All],[Status]],Tabela4[[#Headers],[Elo - Em correção ]])</f>
        <v>0</v>
      </c>
      <c r="U616">
        <f>COUNTIFS(Tabela4[[#All],[Cenário]],Tabela4[[#This Row],[Cenário]],Tabela4[[#All],[Status]],Tabela4[[#Headers],[Keyuser - Aguardando tarefa precedente]])</f>
        <v>0</v>
      </c>
      <c r="V616">
        <f>COUNTIFS(Tabela4[[#All],[Cenário]],Tabela4[[#This Row],[Cenário]],Tabela4[[#All],[Status]],Tabela4[[#Headers],[Não liberado  para testes]])</f>
        <v>1</v>
      </c>
      <c r="W616" t="str">
        <f>IF(Tabela4[[#This Row],[Elo - Em correção ]]&gt;0,"Sim","Não")</f>
        <v>Não</v>
      </c>
      <c r="X616" t="str">
        <f>IF(Tabela4[[#This Row],[Keyuser - Aguardando tarefa precedente]]&gt;0,"Sim","Não")</f>
        <v>Não</v>
      </c>
      <c r="Y616" t="str">
        <f>IF(Tabela4[[#This Row],[Não liberado  para testes]]&gt;0,"Sim","Não")</f>
        <v>Sim</v>
      </c>
      <c r="Z616" t="str">
        <f ca="1">IF(Tabela4[[#This Row],[Status]]="Keyuser - Pendente",NETWORKDAYS(Tabela4[[#This Row],[Dt Inicial]],TODAY()),"")</f>
        <v/>
      </c>
      <c r="AA616" t="b">
        <f>AND(Tabela4[[#This Row],[Status]]="Keyuser - Aguardando tarefa precedente",K615="Keyuser - Concluído ")</f>
        <v>0</v>
      </c>
    </row>
    <row r="617" spans="1:27" x14ac:dyDescent="0.25">
      <c r="A617" t="str">
        <f>"OUT-"&amp;IFERROR(MID(Tabela4[[#This Row],[Cenário]],SEARCH("(",Tabela4[[#This Row],[Cenário]])+1,SEARCH(")",Tabela4[[#This Row],[Cenário]])-SEARCH("(",Tabela4[[#This Row],[Cenário]])-1),"")&amp;"_"&amp;ROW()</f>
        <v>OUT-Depósito-ANP_617</v>
      </c>
      <c r="B617" t="s">
        <v>358</v>
      </c>
      <c r="C617" t="s">
        <v>715</v>
      </c>
      <c r="D617" s="5" t="s">
        <v>373</v>
      </c>
      <c r="E617">
        <v>6</v>
      </c>
      <c r="F617" t="s">
        <v>373</v>
      </c>
      <c r="G617" t="s">
        <v>283</v>
      </c>
      <c r="H617" s="9" t="s">
        <v>718</v>
      </c>
      <c r="K617" s="9" t="s">
        <v>294</v>
      </c>
      <c r="L617" s="78">
        <v>46001</v>
      </c>
      <c r="N617" s="78">
        <v>46001</v>
      </c>
      <c r="O617" s="31"/>
      <c r="P617" s="9"/>
      <c r="Q617" s="9">
        <f>COUNTIF(Tabela4[[#All],[Cenário]],Tabela4[[#This Row],[Cenário]])</f>
        <v>6</v>
      </c>
      <c r="R617">
        <f>COUNTIFS(Tabela4[[#All],[Cenário]],Tabela4[[#This Row],[Cenário]],Tabela4[[#All],[Status]],"Keyuser - Concluído ")</f>
        <v>4</v>
      </c>
      <c r="S617" t="str">
        <f>IF(Tabela4[[#This Row],[Tarefas por Cenário]]-Tabela4[[#This Row],[Tarefas Concluídas]]&gt;0,"Não","Sim")</f>
        <v>Não</v>
      </c>
      <c r="T617">
        <f>COUNTIFS(Tabela4[[#All],[Cenário]],Tabela4[[#This Row],[Cenário]],Tabela4[[#All],[Status]],Tabela4[[#Headers],[Elo - Em correção ]])</f>
        <v>0</v>
      </c>
      <c r="U617">
        <f>COUNTIFS(Tabela4[[#All],[Cenário]],Tabela4[[#This Row],[Cenário]],Tabela4[[#All],[Status]],Tabela4[[#Headers],[Keyuser - Aguardando tarefa precedente]])</f>
        <v>0</v>
      </c>
      <c r="V617">
        <f>COUNTIFS(Tabela4[[#All],[Cenário]],Tabela4[[#This Row],[Cenário]],Tabela4[[#All],[Status]],Tabela4[[#Headers],[Não liberado  para testes]])</f>
        <v>1</v>
      </c>
      <c r="W617" t="str">
        <f>IF(Tabela4[[#This Row],[Elo - Em correção ]]&gt;0,"Sim","Não")</f>
        <v>Não</v>
      </c>
      <c r="X617" t="str">
        <f>IF(Tabela4[[#This Row],[Keyuser - Aguardando tarefa precedente]]&gt;0,"Sim","Não")</f>
        <v>Não</v>
      </c>
      <c r="Y617" t="str">
        <f>IF(Tabela4[[#This Row],[Não liberado  para testes]]&gt;0,"Sim","Não")</f>
        <v>Sim</v>
      </c>
      <c r="Z617" t="str">
        <f ca="1">IF(Tabela4[[#This Row],[Status]]="Keyuser - Pendente",NETWORKDAYS(Tabela4[[#This Row],[Dt Inicial]],TODAY()),"")</f>
        <v/>
      </c>
      <c r="AA617" t="b">
        <f>AND(Tabela4[[#This Row],[Status]]="Keyuser - Aguardando tarefa precedente",K616="Keyuser - Concluído ")</f>
        <v>0</v>
      </c>
    </row>
    <row r="618" spans="1:27" x14ac:dyDescent="0.25">
      <c r="A618" t="str">
        <f>"OUT-"&amp;IFERROR(MID(Tabela4[[#This Row],[Cenário]],SEARCH("(",Tabela4[[#This Row],[Cenário]])+1,SEARCH(")",Tabela4[[#This Row],[Cenário]])-SEARCH("(",Tabela4[[#This Row],[Cenário]])-1),"")&amp;"_"&amp;ROW()</f>
        <v>OUT-Depósito-ANP_618</v>
      </c>
      <c r="B618" t="s">
        <v>374</v>
      </c>
      <c r="C618" t="s">
        <v>715</v>
      </c>
      <c r="D618" s="5" t="s">
        <v>286</v>
      </c>
      <c r="E618">
        <v>7</v>
      </c>
      <c r="F618" t="s">
        <v>286</v>
      </c>
      <c r="G618" t="s">
        <v>287</v>
      </c>
      <c r="K618" s="9" t="s">
        <v>262</v>
      </c>
      <c r="N618" s="78"/>
      <c r="O618" s="31"/>
      <c r="P618" s="9"/>
      <c r="Q618" s="9">
        <f>COUNTIF(Tabela4[[#All],[Cenário]],Tabela4[[#This Row],[Cenário]])</f>
        <v>6</v>
      </c>
      <c r="R618">
        <f>COUNTIFS(Tabela4[[#All],[Cenário]],Tabela4[[#This Row],[Cenário]],Tabela4[[#All],[Status]],"Keyuser - Concluído ")</f>
        <v>4</v>
      </c>
      <c r="S618" t="str">
        <f>IF(Tabela4[[#This Row],[Tarefas por Cenário]]-Tabela4[[#This Row],[Tarefas Concluídas]]&gt;0,"Não","Sim")</f>
        <v>Não</v>
      </c>
      <c r="T618">
        <f>COUNTIFS(Tabela4[[#All],[Cenário]],Tabela4[[#This Row],[Cenário]],Tabela4[[#All],[Status]],Tabela4[[#Headers],[Elo - Em correção ]])</f>
        <v>0</v>
      </c>
      <c r="U618">
        <f>COUNTIFS(Tabela4[[#All],[Cenário]],Tabela4[[#This Row],[Cenário]],Tabela4[[#All],[Status]],Tabela4[[#Headers],[Keyuser - Aguardando tarefa precedente]])</f>
        <v>0</v>
      </c>
      <c r="V618">
        <f>COUNTIFS(Tabela4[[#All],[Cenário]],Tabela4[[#This Row],[Cenário]],Tabela4[[#All],[Status]],Tabela4[[#Headers],[Não liberado  para testes]])</f>
        <v>1</v>
      </c>
      <c r="W618" t="str">
        <f>IF(Tabela4[[#This Row],[Elo - Em correção ]]&gt;0,"Sim","Não")</f>
        <v>Não</v>
      </c>
      <c r="X618" t="str">
        <f>IF(Tabela4[[#This Row],[Keyuser - Aguardando tarefa precedente]]&gt;0,"Sim","Não")</f>
        <v>Não</v>
      </c>
      <c r="Y618" t="str">
        <f>IF(Tabela4[[#This Row],[Não liberado  para testes]]&gt;0,"Sim","Não")</f>
        <v>Sim</v>
      </c>
      <c r="Z618" t="str">
        <f ca="1">IF(Tabela4[[#This Row],[Status]]="Keyuser - Pendente",NETWORKDAYS(Tabela4[[#This Row],[Dt Inicial]],TODAY()),"")</f>
        <v/>
      </c>
      <c r="AA618" t="b">
        <f>AND(Tabela4[[#This Row],[Status]]="Keyuser - Aguardando tarefa precedente",K617="Keyuser - Concluído ")</f>
        <v>0</v>
      </c>
    </row>
    <row r="619" spans="1:27" x14ac:dyDescent="0.25">
      <c r="A619" t="str">
        <f>"OUT-"&amp;IFERROR(MID(Tabela4[[#This Row],[Cenário]],SEARCH("(",Tabela4[[#This Row],[Cenário]])+1,SEARCH(")",Tabela4[[#This Row],[Cenário]])-SEARCH("(",Tabela4[[#This Row],[Cenário]])-1),"")&amp;"_"&amp;ROW()</f>
        <v>OUT-Depósito-ANP_619</v>
      </c>
      <c r="B619" t="s">
        <v>358</v>
      </c>
      <c r="C619" t="s">
        <v>719</v>
      </c>
      <c r="D619" t="s">
        <v>720</v>
      </c>
      <c r="E619">
        <v>1</v>
      </c>
      <c r="F619" t="s">
        <v>720</v>
      </c>
      <c r="G619" t="s">
        <v>361</v>
      </c>
      <c r="H619" s="9" t="s">
        <v>721</v>
      </c>
      <c r="K619" s="9" t="s">
        <v>271</v>
      </c>
      <c r="L619" s="78">
        <v>46001</v>
      </c>
      <c r="N619" s="78">
        <v>46001</v>
      </c>
      <c r="O619" s="31"/>
      <c r="P619" s="9"/>
      <c r="Q619" s="9">
        <f>COUNTIF(Tabela4[[#All],[Cenário]],Tabela4[[#This Row],[Cenário]])</f>
        <v>6</v>
      </c>
      <c r="R619">
        <f>COUNTIFS(Tabela4[[#All],[Cenário]],Tabela4[[#This Row],[Cenário]],Tabela4[[#All],[Status]],"Keyuser - Concluído ")</f>
        <v>5</v>
      </c>
      <c r="S619" t="str">
        <f>IF(Tabela4[[#This Row],[Tarefas por Cenário]]-Tabela4[[#This Row],[Tarefas Concluídas]]&gt;0,"Não","Sim")</f>
        <v>Não</v>
      </c>
      <c r="T619">
        <f>COUNTIFS(Tabela4[[#All],[Cenário]],Tabela4[[#This Row],[Cenário]],Tabela4[[#All],[Status]],Tabela4[[#Headers],[Elo - Em correção ]])</f>
        <v>0</v>
      </c>
      <c r="U619">
        <f>COUNTIFS(Tabela4[[#All],[Cenário]],Tabela4[[#This Row],[Cenário]],Tabela4[[#All],[Status]],Tabela4[[#Headers],[Keyuser - Aguardando tarefa precedente]])</f>
        <v>0</v>
      </c>
      <c r="V619">
        <f>COUNTIFS(Tabela4[[#All],[Cenário]],Tabela4[[#This Row],[Cenário]],Tabela4[[#All],[Status]],Tabela4[[#Headers],[Não liberado  para testes]])</f>
        <v>1</v>
      </c>
      <c r="W619" t="str">
        <f>IF(Tabela4[[#This Row],[Elo - Em correção ]]&gt;0,"Sim","Não")</f>
        <v>Não</v>
      </c>
      <c r="X619" t="str">
        <f>IF(Tabela4[[#This Row],[Keyuser - Aguardando tarefa precedente]]&gt;0,"Sim","Não")</f>
        <v>Não</v>
      </c>
      <c r="Y619" t="str">
        <f>IF(Tabela4[[#This Row],[Não liberado  para testes]]&gt;0,"Sim","Não")</f>
        <v>Sim</v>
      </c>
      <c r="Z619" t="str">
        <f ca="1">IF(Tabela4[[#This Row],[Status]]="Keyuser - Pendente",NETWORKDAYS(Tabela4[[#This Row],[Dt Inicial]],TODAY()),"")</f>
        <v/>
      </c>
      <c r="AA619" t="b">
        <f>AND(Tabela4[[#This Row],[Status]]="Keyuser - Aguardando tarefa precedente",K618="Keyuser - Concluído ")</f>
        <v>0</v>
      </c>
    </row>
    <row r="620" spans="1:27" x14ac:dyDescent="0.25">
      <c r="A620" t="str">
        <f>"OUT-"&amp;IFERROR(MID(Tabela4[[#This Row],[Cenário]],SEARCH("(",Tabela4[[#This Row],[Cenário]])+1,SEARCH(")",Tabela4[[#This Row],[Cenário]])-SEARCH("(",Tabela4[[#This Row],[Cenário]])-1),"")&amp;"_"&amp;ROW()</f>
        <v>OUT-Depósito-ANP_620</v>
      </c>
      <c r="B620" t="s">
        <v>358</v>
      </c>
      <c r="C620" t="s">
        <v>719</v>
      </c>
      <c r="D620" s="5" t="s">
        <v>365</v>
      </c>
      <c r="E620">
        <v>2</v>
      </c>
      <c r="F620" t="s">
        <v>365</v>
      </c>
      <c r="G620" t="s">
        <v>310</v>
      </c>
      <c r="H620" s="9" t="s">
        <v>721</v>
      </c>
      <c r="K620" s="9" t="s">
        <v>271</v>
      </c>
      <c r="L620" s="78">
        <v>46001</v>
      </c>
      <c r="N620" s="78">
        <v>46001</v>
      </c>
      <c r="O620" s="31"/>
      <c r="P620" s="9"/>
      <c r="Q620" s="9">
        <f>COUNTIF(Tabela4[[#All],[Cenário]],Tabela4[[#This Row],[Cenário]])</f>
        <v>6</v>
      </c>
      <c r="R620">
        <f>COUNTIFS(Tabela4[[#All],[Cenário]],Tabela4[[#This Row],[Cenário]],Tabela4[[#All],[Status]],"Keyuser - Concluído ")</f>
        <v>5</v>
      </c>
      <c r="S620" t="str">
        <f>IF(Tabela4[[#This Row],[Tarefas por Cenário]]-Tabela4[[#This Row],[Tarefas Concluídas]]&gt;0,"Não","Sim")</f>
        <v>Não</v>
      </c>
      <c r="T620">
        <f>COUNTIFS(Tabela4[[#All],[Cenário]],Tabela4[[#This Row],[Cenário]],Tabela4[[#All],[Status]],Tabela4[[#Headers],[Elo - Em correção ]])</f>
        <v>0</v>
      </c>
      <c r="U620">
        <f>COUNTIFS(Tabela4[[#All],[Cenário]],Tabela4[[#This Row],[Cenário]],Tabela4[[#All],[Status]],Tabela4[[#Headers],[Keyuser - Aguardando tarefa precedente]])</f>
        <v>0</v>
      </c>
      <c r="V620">
        <f>COUNTIFS(Tabela4[[#All],[Cenário]],Tabela4[[#This Row],[Cenário]],Tabela4[[#All],[Status]],Tabela4[[#Headers],[Não liberado  para testes]])</f>
        <v>1</v>
      </c>
      <c r="W620" t="str">
        <f>IF(Tabela4[[#This Row],[Elo - Em correção ]]&gt;0,"Sim","Não")</f>
        <v>Não</v>
      </c>
      <c r="X620" t="str">
        <f>IF(Tabela4[[#This Row],[Keyuser - Aguardando tarefa precedente]]&gt;0,"Sim","Não")</f>
        <v>Não</v>
      </c>
      <c r="Y620" t="str">
        <f>IF(Tabela4[[#This Row],[Não liberado  para testes]]&gt;0,"Sim","Não")</f>
        <v>Sim</v>
      </c>
      <c r="Z620" t="str">
        <f ca="1">IF(Tabela4[[#This Row],[Status]]="Keyuser - Pendente",NETWORKDAYS(Tabela4[[#This Row],[Dt Inicial]],TODAY()),"")</f>
        <v/>
      </c>
      <c r="AA620" t="b">
        <f>AND(Tabela4[[#This Row],[Status]]="Keyuser - Aguardando tarefa precedente",K619="Keyuser - Concluído ")</f>
        <v>0</v>
      </c>
    </row>
    <row r="621" spans="1:27" x14ac:dyDescent="0.25">
      <c r="A621" t="str">
        <f>"OUT-"&amp;IFERROR(MID(Tabela4[[#This Row],[Cenário]],SEARCH("(",Tabela4[[#This Row],[Cenário]])+1,SEARCH(")",Tabela4[[#This Row],[Cenário]])-SEARCH("(",Tabela4[[#This Row],[Cenário]])-1),"")&amp;"_"&amp;ROW()</f>
        <v>OUT-Depósito-ANP_621</v>
      </c>
      <c r="B621" t="s">
        <v>358</v>
      </c>
      <c r="C621" t="s">
        <v>719</v>
      </c>
      <c r="D621" s="5" t="s">
        <v>368</v>
      </c>
      <c r="E621">
        <v>4</v>
      </c>
      <c r="F621" t="s">
        <v>368</v>
      </c>
      <c r="G621" t="s">
        <v>369</v>
      </c>
      <c r="H621" s="9" t="s">
        <v>722</v>
      </c>
      <c r="K621" s="9" t="s">
        <v>271</v>
      </c>
      <c r="L621" s="78">
        <v>46001</v>
      </c>
      <c r="N621" s="78">
        <v>46001</v>
      </c>
      <c r="O621" s="31"/>
      <c r="P621" s="9"/>
      <c r="Q621" s="9">
        <f>COUNTIF(Tabela4[[#All],[Cenário]],Tabela4[[#This Row],[Cenário]])</f>
        <v>6</v>
      </c>
      <c r="R621">
        <f>COUNTIFS(Tabela4[[#All],[Cenário]],Tabela4[[#This Row],[Cenário]],Tabela4[[#All],[Status]],"Keyuser - Concluído ")</f>
        <v>5</v>
      </c>
      <c r="S621" t="str">
        <f>IF(Tabela4[[#This Row],[Tarefas por Cenário]]-Tabela4[[#This Row],[Tarefas Concluídas]]&gt;0,"Não","Sim")</f>
        <v>Não</v>
      </c>
      <c r="T621">
        <f>COUNTIFS(Tabela4[[#All],[Cenário]],Tabela4[[#This Row],[Cenário]],Tabela4[[#All],[Status]],Tabela4[[#Headers],[Elo - Em correção ]])</f>
        <v>0</v>
      </c>
      <c r="U621">
        <f>COUNTIFS(Tabela4[[#All],[Cenário]],Tabela4[[#This Row],[Cenário]],Tabela4[[#All],[Status]],Tabela4[[#Headers],[Keyuser - Aguardando tarefa precedente]])</f>
        <v>0</v>
      </c>
      <c r="V621">
        <f>COUNTIFS(Tabela4[[#All],[Cenário]],Tabela4[[#This Row],[Cenário]],Tabela4[[#All],[Status]],Tabela4[[#Headers],[Não liberado  para testes]])</f>
        <v>1</v>
      </c>
      <c r="W621" t="str">
        <f>IF(Tabela4[[#This Row],[Elo - Em correção ]]&gt;0,"Sim","Não")</f>
        <v>Não</v>
      </c>
      <c r="X621" t="str">
        <f>IF(Tabela4[[#This Row],[Keyuser - Aguardando tarefa precedente]]&gt;0,"Sim","Não")</f>
        <v>Não</v>
      </c>
      <c r="Y621" t="str">
        <f>IF(Tabela4[[#This Row],[Não liberado  para testes]]&gt;0,"Sim","Não")</f>
        <v>Sim</v>
      </c>
      <c r="Z621" t="str">
        <f ca="1">IF(Tabela4[[#This Row],[Status]]="Keyuser - Pendente",NETWORKDAYS(Tabela4[[#This Row],[Dt Inicial]],TODAY()),"")</f>
        <v/>
      </c>
      <c r="AA621" t="b">
        <f>AND(Tabela4[[#This Row],[Status]]="Keyuser - Aguardando tarefa precedente",K620="Keyuser - Concluído ")</f>
        <v>0</v>
      </c>
    </row>
    <row r="622" spans="1:27" x14ac:dyDescent="0.25">
      <c r="A622" t="str">
        <f>"OUT-"&amp;IFERROR(MID(Tabela4[[#This Row],[Cenário]],SEARCH("(",Tabela4[[#This Row],[Cenário]])+1,SEARCH(")",Tabela4[[#This Row],[Cenário]])-SEARCH("(",Tabela4[[#This Row],[Cenário]])-1),"")&amp;"_"&amp;ROW()</f>
        <v>OUT-Depósito-ANP_622</v>
      </c>
      <c r="B622" t="s">
        <v>358</v>
      </c>
      <c r="C622" t="s">
        <v>719</v>
      </c>
      <c r="D622" s="5" t="s">
        <v>371</v>
      </c>
      <c r="E622">
        <v>5</v>
      </c>
      <c r="F622" t="s">
        <v>435</v>
      </c>
      <c r="G622" t="s">
        <v>287</v>
      </c>
      <c r="H622" s="9" t="s">
        <v>722</v>
      </c>
      <c r="K622" s="9" t="s">
        <v>271</v>
      </c>
      <c r="L622" s="78">
        <v>46001</v>
      </c>
      <c r="N622" s="78">
        <v>46001</v>
      </c>
      <c r="O622" s="31"/>
      <c r="P622" s="9"/>
      <c r="Q622" s="9">
        <f>COUNTIF(Tabela4[[#All],[Cenário]],Tabela4[[#This Row],[Cenário]])</f>
        <v>6</v>
      </c>
      <c r="R622">
        <f>COUNTIFS(Tabela4[[#All],[Cenário]],Tabela4[[#This Row],[Cenário]],Tabela4[[#All],[Status]],"Keyuser - Concluído ")</f>
        <v>5</v>
      </c>
      <c r="S622" t="str">
        <f>IF(Tabela4[[#This Row],[Tarefas por Cenário]]-Tabela4[[#This Row],[Tarefas Concluídas]]&gt;0,"Não","Sim")</f>
        <v>Não</v>
      </c>
      <c r="T622">
        <f>COUNTIFS(Tabela4[[#All],[Cenário]],Tabela4[[#This Row],[Cenário]],Tabela4[[#All],[Status]],Tabela4[[#Headers],[Elo - Em correção ]])</f>
        <v>0</v>
      </c>
      <c r="U622">
        <f>COUNTIFS(Tabela4[[#All],[Cenário]],Tabela4[[#This Row],[Cenário]],Tabela4[[#All],[Status]],Tabela4[[#Headers],[Keyuser - Aguardando tarefa precedente]])</f>
        <v>0</v>
      </c>
      <c r="V622">
        <f>COUNTIFS(Tabela4[[#All],[Cenário]],Tabela4[[#This Row],[Cenário]],Tabela4[[#All],[Status]],Tabela4[[#Headers],[Não liberado  para testes]])</f>
        <v>1</v>
      </c>
      <c r="W622" t="str">
        <f>IF(Tabela4[[#This Row],[Elo - Em correção ]]&gt;0,"Sim","Não")</f>
        <v>Não</v>
      </c>
      <c r="X622" t="str">
        <f>IF(Tabela4[[#This Row],[Keyuser - Aguardando tarefa precedente]]&gt;0,"Sim","Não")</f>
        <v>Não</v>
      </c>
      <c r="Y622" t="str">
        <f>IF(Tabela4[[#This Row],[Não liberado  para testes]]&gt;0,"Sim","Não")</f>
        <v>Sim</v>
      </c>
      <c r="Z622" t="str">
        <f ca="1">IF(Tabela4[[#This Row],[Status]]="Keyuser - Pendente",NETWORKDAYS(Tabela4[[#This Row],[Dt Inicial]],TODAY()),"")</f>
        <v/>
      </c>
      <c r="AA622" t="b">
        <f>AND(Tabela4[[#This Row],[Status]]="Keyuser - Aguardando tarefa precedente",K621="Keyuser - Concluído ")</f>
        <v>0</v>
      </c>
    </row>
    <row r="623" spans="1:27" x14ac:dyDescent="0.25">
      <c r="A623" t="str">
        <f>"OUT-"&amp;IFERROR(MID(Tabela4[[#This Row],[Cenário]],SEARCH("(",Tabela4[[#This Row],[Cenário]])+1,SEARCH(")",Tabela4[[#This Row],[Cenário]])-SEARCH("(",Tabela4[[#This Row],[Cenário]])-1),"")&amp;"_"&amp;ROW()</f>
        <v>OUT-Depósito-ANP_623</v>
      </c>
      <c r="B623" t="s">
        <v>358</v>
      </c>
      <c r="C623" t="s">
        <v>719</v>
      </c>
      <c r="D623" s="5" t="s">
        <v>373</v>
      </c>
      <c r="E623">
        <v>6</v>
      </c>
      <c r="F623" t="s">
        <v>373</v>
      </c>
      <c r="G623" t="s">
        <v>283</v>
      </c>
      <c r="H623" s="9" t="s">
        <v>722</v>
      </c>
      <c r="K623" s="9" t="s">
        <v>271</v>
      </c>
      <c r="L623" s="78">
        <v>46001</v>
      </c>
      <c r="N623" s="78">
        <v>46001</v>
      </c>
      <c r="O623" s="31"/>
      <c r="P623" s="9"/>
      <c r="Q623" s="9">
        <f>COUNTIF(Tabela4[[#All],[Cenário]],Tabela4[[#This Row],[Cenário]])</f>
        <v>6</v>
      </c>
      <c r="R623">
        <f>COUNTIFS(Tabela4[[#All],[Cenário]],Tabela4[[#This Row],[Cenário]],Tabela4[[#All],[Status]],"Keyuser - Concluído ")</f>
        <v>5</v>
      </c>
      <c r="S623" t="str">
        <f>IF(Tabela4[[#This Row],[Tarefas por Cenário]]-Tabela4[[#This Row],[Tarefas Concluídas]]&gt;0,"Não","Sim")</f>
        <v>Não</v>
      </c>
      <c r="T623">
        <f>COUNTIFS(Tabela4[[#All],[Cenário]],Tabela4[[#This Row],[Cenário]],Tabela4[[#All],[Status]],Tabela4[[#Headers],[Elo - Em correção ]])</f>
        <v>0</v>
      </c>
      <c r="U623">
        <f>COUNTIFS(Tabela4[[#All],[Cenário]],Tabela4[[#This Row],[Cenário]],Tabela4[[#All],[Status]],Tabela4[[#Headers],[Keyuser - Aguardando tarefa precedente]])</f>
        <v>0</v>
      </c>
      <c r="V623">
        <f>COUNTIFS(Tabela4[[#All],[Cenário]],Tabela4[[#This Row],[Cenário]],Tabela4[[#All],[Status]],Tabela4[[#Headers],[Não liberado  para testes]])</f>
        <v>1</v>
      </c>
      <c r="W623" t="str">
        <f>IF(Tabela4[[#This Row],[Elo - Em correção ]]&gt;0,"Sim","Não")</f>
        <v>Não</v>
      </c>
      <c r="X623" t="str">
        <f>IF(Tabela4[[#This Row],[Keyuser - Aguardando tarefa precedente]]&gt;0,"Sim","Não")</f>
        <v>Não</v>
      </c>
      <c r="Y623" t="str">
        <f>IF(Tabela4[[#This Row],[Não liberado  para testes]]&gt;0,"Sim","Não")</f>
        <v>Sim</v>
      </c>
      <c r="Z623" t="str">
        <f ca="1">IF(Tabela4[[#This Row],[Status]]="Keyuser - Pendente",NETWORKDAYS(Tabela4[[#This Row],[Dt Inicial]],TODAY()),"")</f>
        <v/>
      </c>
      <c r="AA623" t="b">
        <f>AND(Tabela4[[#This Row],[Status]]="Keyuser - Aguardando tarefa precedente",K622="Keyuser - Concluído ")</f>
        <v>0</v>
      </c>
    </row>
    <row r="624" spans="1:27" x14ac:dyDescent="0.25">
      <c r="A624" t="str">
        <f>"OUT-"&amp;IFERROR(MID(Tabela4[[#This Row],[Cenário]],SEARCH("(",Tabela4[[#This Row],[Cenário]])+1,SEARCH(")",Tabela4[[#This Row],[Cenário]])-SEARCH("(",Tabela4[[#This Row],[Cenário]])-1),"")&amp;"_"&amp;ROW()</f>
        <v>OUT-Depósito-ANP_624</v>
      </c>
      <c r="B624" t="s">
        <v>374</v>
      </c>
      <c r="C624" t="s">
        <v>719</v>
      </c>
      <c r="D624" s="5" t="s">
        <v>286</v>
      </c>
      <c r="E624">
        <v>7</v>
      </c>
      <c r="F624" t="s">
        <v>286</v>
      </c>
      <c r="G624" t="s">
        <v>287</v>
      </c>
      <c r="K624" s="9" t="s">
        <v>262</v>
      </c>
      <c r="N624" s="78"/>
      <c r="O624" s="31"/>
      <c r="P624" s="9"/>
      <c r="Q624" s="9">
        <f>COUNTIF(Tabela4[[#All],[Cenário]],Tabela4[[#This Row],[Cenário]])</f>
        <v>6</v>
      </c>
      <c r="R624">
        <f>COUNTIFS(Tabela4[[#All],[Cenário]],Tabela4[[#This Row],[Cenário]],Tabela4[[#All],[Status]],"Keyuser - Concluído ")</f>
        <v>5</v>
      </c>
      <c r="S624" t="str">
        <f>IF(Tabela4[[#This Row],[Tarefas por Cenário]]-Tabela4[[#This Row],[Tarefas Concluídas]]&gt;0,"Não","Sim")</f>
        <v>Não</v>
      </c>
      <c r="T624">
        <f>COUNTIFS(Tabela4[[#All],[Cenário]],Tabela4[[#This Row],[Cenário]],Tabela4[[#All],[Status]],Tabela4[[#Headers],[Elo - Em correção ]])</f>
        <v>0</v>
      </c>
      <c r="U624">
        <f>COUNTIFS(Tabela4[[#All],[Cenário]],Tabela4[[#This Row],[Cenário]],Tabela4[[#All],[Status]],Tabela4[[#Headers],[Keyuser - Aguardando tarefa precedente]])</f>
        <v>0</v>
      </c>
      <c r="V624">
        <f>COUNTIFS(Tabela4[[#All],[Cenário]],Tabela4[[#This Row],[Cenário]],Tabela4[[#All],[Status]],Tabela4[[#Headers],[Não liberado  para testes]])</f>
        <v>1</v>
      </c>
      <c r="W624" t="str">
        <f>IF(Tabela4[[#This Row],[Elo - Em correção ]]&gt;0,"Sim","Não")</f>
        <v>Não</v>
      </c>
      <c r="X624" t="str">
        <f>IF(Tabela4[[#This Row],[Keyuser - Aguardando tarefa precedente]]&gt;0,"Sim","Não")</f>
        <v>Não</v>
      </c>
      <c r="Y624" t="str">
        <f>IF(Tabela4[[#This Row],[Não liberado  para testes]]&gt;0,"Sim","Não")</f>
        <v>Sim</v>
      </c>
      <c r="Z624" t="str">
        <f ca="1">IF(Tabela4[[#This Row],[Status]]="Keyuser - Pendente",NETWORKDAYS(Tabela4[[#This Row],[Dt Inicial]],TODAY()),"")</f>
        <v/>
      </c>
      <c r="AA624" t="b">
        <f>AND(Tabela4[[#This Row],[Status]]="Keyuser - Aguardando tarefa precedente",K623="Keyuser - Concluído ")</f>
        <v>0</v>
      </c>
    </row>
    <row r="625" spans="1:27" x14ac:dyDescent="0.25">
      <c r="A625" t="str">
        <f>"OUT-"&amp;IFERROR(MID(Tabela4[[#This Row],[Cenário]],SEARCH("(",Tabela4[[#This Row],[Cenário]])+1,SEARCH(")",Tabela4[[#This Row],[Cenário]])-SEARCH("(",Tabela4[[#This Row],[Cenário]])-1),"")&amp;"_"&amp;ROW()</f>
        <v>OUT-Depósito-ANP_625</v>
      </c>
      <c r="B625" t="s">
        <v>358</v>
      </c>
      <c r="C625" t="s">
        <v>723</v>
      </c>
      <c r="D625" t="s">
        <v>360</v>
      </c>
      <c r="E625">
        <v>1</v>
      </c>
      <c r="F625" t="s">
        <v>360</v>
      </c>
      <c r="G625" t="s">
        <v>361</v>
      </c>
      <c r="H625" s="80">
        <v>15603738</v>
      </c>
      <c r="K625" s="9" t="s">
        <v>271</v>
      </c>
      <c r="L625" s="78">
        <v>46001</v>
      </c>
      <c r="N625" s="78">
        <v>46001</v>
      </c>
      <c r="O625" s="31"/>
      <c r="P625" s="9"/>
      <c r="Q625" s="9">
        <f>COUNTIF(Tabela4[[#All],[Cenário]],Tabela4[[#This Row],[Cenário]])</f>
        <v>8</v>
      </c>
      <c r="R625">
        <f>COUNTIFS(Tabela4[[#All],[Cenário]],Tabela4[[#This Row],[Cenário]],Tabela4[[#All],[Status]],"Keyuser - Concluído ")</f>
        <v>6</v>
      </c>
      <c r="S625" t="str">
        <f>IF(Tabela4[[#This Row],[Tarefas por Cenário]]-Tabela4[[#This Row],[Tarefas Concluídas]]&gt;0,"Não","Sim")</f>
        <v>Não</v>
      </c>
      <c r="T625">
        <f>COUNTIFS(Tabela4[[#All],[Cenário]],Tabela4[[#This Row],[Cenário]],Tabela4[[#All],[Status]],Tabela4[[#Headers],[Elo - Em correção ]])</f>
        <v>0</v>
      </c>
      <c r="U625">
        <f>COUNTIFS(Tabela4[[#All],[Cenário]],Tabela4[[#This Row],[Cenário]],Tabela4[[#All],[Status]],Tabela4[[#Headers],[Keyuser - Aguardando tarefa precedente]])</f>
        <v>0</v>
      </c>
      <c r="V625">
        <f>COUNTIFS(Tabela4[[#All],[Cenário]],Tabela4[[#This Row],[Cenário]],Tabela4[[#All],[Status]],Tabela4[[#Headers],[Não liberado  para testes]])</f>
        <v>1</v>
      </c>
      <c r="W625" t="str">
        <f>IF(Tabela4[[#This Row],[Elo - Em correção ]]&gt;0,"Sim","Não")</f>
        <v>Não</v>
      </c>
      <c r="X625" t="str">
        <f>IF(Tabela4[[#This Row],[Keyuser - Aguardando tarefa precedente]]&gt;0,"Sim","Não")</f>
        <v>Não</v>
      </c>
      <c r="Y625" t="str">
        <f>IF(Tabela4[[#This Row],[Não liberado  para testes]]&gt;0,"Sim","Não")</f>
        <v>Sim</v>
      </c>
      <c r="Z625" t="str">
        <f ca="1">IF(Tabela4[[#This Row],[Status]]="Keyuser - Pendente",NETWORKDAYS(Tabela4[[#This Row],[Dt Inicial]],TODAY()),"")</f>
        <v/>
      </c>
      <c r="AA625" t="b">
        <f>AND(Tabela4[[#This Row],[Status]]="Keyuser - Aguardando tarefa precedente",K624="Keyuser - Concluído ")</f>
        <v>0</v>
      </c>
    </row>
    <row r="626" spans="1:27" x14ac:dyDescent="0.25">
      <c r="A626" t="str">
        <f>"OUT-"&amp;IFERROR(MID(Tabela4[[#This Row],[Cenário]],SEARCH("(",Tabela4[[#This Row],[Cenário]])+1,SEARCH(")",Tabela4[[#This Row],[Cenário]])-SEARCH("(",Tabela4[[#This Row],[Cenário]])-1),"")&amp;"_"&amp;ROW()</f>
        <v>OUT-Depósito-ANP_626</v>
      </c>
      <c r="B626" t="s">
        <v>358</v>
      </c>
      <c r="C626" t="s">
        <v>723</v>
      </c>
      <c r="D626" t="s">
        <v>365</v>
      </c>
      <c r="E626">
        <v>2</v>
      </c>
      <c r="F626" t="s">
        <v>365</v>
      </c>
      <c r="G626" t="s">
        <v>310</v>
      </c>
      <c r="H626" s="80">
        <v>15603738</v>
      </c>
      <c r="K626" s="9" t="s">
        <v>271</v>
      </c>
      <c r="L626" s="78">
        <v>46001</v>
      </c>
      <c r="N626" s="78">
        <v>46001</v>
      </c>
      <c r="O626" s="31"/>
      <c r="P626" s="9"/>
      <c r="Q626" s="9">
        <f>COUNTIF(Tabela4[[#All],[Cenário]],Tabela4[[#This Row],[Cenário]])</f>
        <v>8</v>
      </c>
      <c r="R626">
        <f>COUNTIFS(Tabela4[[#All],[Cenário]],Tabela4[[#This Row],[Cenário]],Tabela4[[#All],[Status]],"Keyuser - Concluído ")</f>
        <v>6</v>
      </c>
      <c r="S626" t="str">
        <f>IF(Tabela4[[#This Row],[Tarefas por Cenário]]-Tabela4[[#This Row],[Tarefas Concluídas]]&gt;0,"Não","Sim")</f>
        <v>Não</v>
      </c>
      <c r="T626">
        <f>COUNTIFS(Tabela4[[#All],[Cenário]],Tabela4[[#This Row],[Cenário]],Tabela4[[#All],[Status]],Tabela4[[#Headers],[Elo - Em correção ]])</f>
        <v>0</v>
      </c>
      <c r="U626">
        <f>COUNTIFS(Tabela4[[#All],[Cenário]],Tabela4[[#This Row],[Cenário]],Tabela4[[#All],[Status]],Tabela4[[#Headers],[Keyuser - Aguardando tarefa precedente]])</f>
        <v>0</v>
      </c>
      <c r="V626">
        <f>COUNTIFS(Tabela4[[#All],[Cenário]],Tabela4[[#This Row],[Cenário]],Tabela4[[#All],[Status]],Tabela4[[#Headers],[Não liberado  para testes]])</f>
        <v>1</v>
      </c>
      <c r="W626" t="str">
        <f>IF(Tabela4[[#This Row],[Elo - Em correção ]]&gt;0,"Sim","Não")</f>
        <v>Não</v>
      </c>
      <c r="X626" t="str">
        <f>IF(Tabela4[[#This Row],[Keyuser - Aguardando tarefa precedente]]&gt;0,"Sim","Não")</f>
        <v>Não</v>
      </c>
      <c r="Y626" t="str">
        <f>IF(Tabela4[[#This Row],[Não liberado  para testes]]&gt;0,"Sim","Não")</f>
        <v>Sim</v>
      </c>
      <c r="Z626" t="str">
        <f ca="1">IF(Tabela4[[#This Row],[Status]]="Keyuser - Pendente",NETWORKDAYS(Tabela4[[#This Row],[Dt Inicial]],TODAY()),"")</f>
        <v/>
      </c>
      <c r="AA626" t="b">
        <f>AND(Tabela4[[#This Row],[Status]]="Keyuser - Aguardando tarefa precedente",K625="Keyuser - Concluído ")</f>
        <v>0</v>
      </c>
    </row>
    <row r="627" spans="1:27" x14ac:dyDescent="0.25">
      <c r="A627" t="str">
        <f>"OUT-"&amp;IFERROR(MID(Tabela4[[#This Row],[Cenário]],SEARCH("(",Tabela4[[#This Row],[Cenário]])+1,SEARCH(")",Tabela4[[#This Row],[Cenário]])-SEARCH("(",Tabela4[[#This Row],[Cenário]])-1),"")&amp;"_"&amp;ROW()</f>
        <v>OUT-Depósito-ANP_627</v>
      </c>
      <c r="B627" t="s">
        <v>358</v>
      </c>
      <c r="C627" t="s">
        <v>723</v>
      </c>
      <c r="D627" t="s">
        <v>366</v>
      </c>
      <c r="E627">
        <v>3</v>
      </c>
      <c r="F627" t="s">
        <v>366</v>
      </c>
      <c r="G627" t="s">
        <v>367</v>
      </c>
      <c r="K627" s="9" t="s">
        <v>294</v>
      </c>
      <c r="L627" s="78">
        <v>46001</v>
      </c>
      <c r="N627" s="78">
        <v>46001</v>
      </c>
      <c r="O627" s="31"/>
      <c r="P627" s="9"/>
      <c r="Q627" s="9">
        <f>COUNTIF(Tabela4[[#All],[Cenário]],Tabela4[[#This Row],[Cenário]])</f>
        <v>8</v>
      </c>
      <c r="R627">
        <f>COUNTIFS(Tabela4[[#All],[Cenário]],Tabela4[[#This Row],[Cenário]],Tabela4[[#All],[Status]],"Keyuser - Concluído ")</f>
        <v>6</v>
      </c>
      <c r="S627" t="str">
        <f>IF(Tabela4[[#This Row],[Tarefas por Cenário]]-Tabela4[[#This Row],[Tarefas Concluídas]]&gt;0,"Não","Sim")</f>
        <v>Não</v>
      </c>
      <c r="T627">
        <f>COUNTIFS(Tabela4[[#All],[Cenário]],Tabela4[[#This Row],[Cenário]],Tabela4[[#All],[Status]],Tabela4[[#Headers],[Elo - Em correção ]])</f>
        <v>0</v>
      </c>
      <c r="U627">
        <f>COUNTIFS(Tabela4[[#All],[Cenário]],Tabela4[[#This Row],[Cenário]],Tabela4[[#All],[Status]],Tabela4[[#Headers],[Keyuser - Aguardando tarefa precedente]])</f>
        <v>0</v>
      </c>
      <c r="V627">
        <f>COUNTIFS(Tabela4[[#All],[Cenário]],Tabela4[[#This Row],[Cenário]],Tabela4[[#All],[Status]],Tabela4[[#Headers],[Não liberado  para testes]])</f>
        <v>1</v>
      </c>
      <c r="W627" t="str">
        <f>IF(Tabela4[[#This Row],[Elo - Em correção ]]&gt;0,"Sim","Não")</f>
        <v>Não</v>
      </c>
      <c r="X627" t="str">
        <f>IF(Tabela4[[#This Row],[Keyuser - Aguardando tarefa precedente]]&gt;0,"Sim","Não")</f>
        <v>Não</v>
      </c>
      <c r="Y627" t="str">
        <f>IF(Tabela4[[#This Row],[Não liberado  para testes]]&gt;0,"Sim","Não")</f>
        <v>Sim</v>
      </c>
      <c r="Z627" t="str">
        <f ca="1">IF(Tabela4[[#This Row],[Status]]="Keyuser - Pendente",NETWORKDAYS(Tabela4[[#This Row],[Dt Inicial]],TODAY()),"")</f>
        <v/>
      </c>
      <c r="AA627" t="b">
        <f>AND(Tabela4[[#This Row],[Status]]="Keyuser - Aguardando tarefa precedente",K626="Keyuser - Concluído ")</f>
        <v>0</v>
      </c>
    </row>
    <row r="628" spans="1:27" x14ac:dyDescent="0.25">
      <c r="A628" t="str">
        <f>"OUT-"&amp;IFERROR(MID(Tabela4[[#This Row],[Cenário]],SEARCH("(",Tabela4[[#This Row],[Cenário]])+1,SEARCH(")",Tabela4[[#This Row],[Cenário]])-SEARCH("(",Tabela4[[#This Row],[Cenário]])-1),"")&amp;"_"&amp;ROW()</f>
        <v>OUT-Depósito-ANP_628</v>
      </c>
      <c r="B628" t="s">
        <v>358</v>
      </c>
      <c r="C628" t="s">
        <v>723</v>
      </c>
      <c r="D628" t="s">
        <v>368</v>
      </c>
      <c r="E628">
        <v>4</v>
      </c>
      <c r="F628" t="s">
        <v>368</v>
      </c>
      <c r="G628" t="s">
        <v>369</v>
      </c>
      <c r="H628" s="9" t="s">
        <v>724</v>
      </c>
      <c r="K628" s="9" t="s">
        <v>271</v>
      </c>
      <c r="L628" s="78">
        <v>46001</v>
      </c>
      <c r="N628" s="78">
        <v>46001</v>
      </c>
      <c r="O628" s="31"/>
      <c r="P628" s="9"/>
      <c r="Q628" s="9">
        <f>COUNTIF(Tabela4[[#All],[Cenário]],Tabela4[[#This Row],[Cenário]])</f>
        <v>8</v>
      </c>
      <c r="R628">
        <f>COUNTIFS(Tabela4[[#All],[Cenário]],Tabela4[[#This Row],[Cenário]],Tabela4[[#All],[Status]],"Keyuser - Concluído ")</f>
        <v>6</v>
      </c>
      <c r="S628" t="str">
        <f>IF(Tabela4[[#This Row],[Tarefas por Cenário]]-Tabela4[[#This Row],[Tarefas Concluídas]]&gt;0,"Não","Sim")</f>
        <v>Não</v>
      </c>
      <c r="T628">
        <f>COUNTIFS(Tabela4[[#All],[Cenário]],Tabela4[[#This Row],[Cenário]],Tabela4[[#All],[Status]],Tabela4[[#Headers],[Elo - Em correção ]])</f>
        <v>0</v>
      </c>
      <c r="U628">
        <f>COUNTIFS(Tabela4[[#All],[Cenário]],Tabela4[[#This Row],[Cenário]],Tabela4[[#All],[Status]],Tabela4[[#Headers],[Keyuser - Aguardando tarefa precedente]])</f>
        <v>0</v>
      </c>
      <c r="V628">
        <f>COUNTIFS(Tabela4[[#All],[Cenário]],Tabela4[[#This Row],[Cenário]],Tabela4[[#All],[Status]],Tabela4[[#Headers],[Não liberado  para testes]])</f>
        <v>1</v>
      </c>
      <c r="W628" t="str">
        <f>IF(Tabela4[[#This Row],[Elo - Em correção ]]&gt;0,"Sim","Não")</f>
        <v>Não</v>
      </c>
      <c r="X628" t="str">
        <f>IF(Tabela4[[#This Row],[Keyuser - Aguardando tarefa precedente]]&gt;0,"Sim","Não")</f>
        <v>Não</v>
      </c>
      <c r="Y628" t="str">
        <f>IF(Tabela4[[#This Row],[Não liberado  para testes]]&gt;0,"Sim","Não")</f>
        <v>Sim</v>
      </c>
      <c r="Z628" t="str">
        <f ca="1">IF(Tabela4[[#This Row],[Status]]="Keyuser - Pendente",NETWORKDAYS(Tabela4[[#This Row],[Dt Inicial]],TODAY()),"")</f>
        <v/>
      </c>
      <c r="AA628" t="b">
        <f>AND(Tabela4[[#This Row],[Status]]="Keyuser - Aguardando tarefa precedente",K627="Keyuser - Concluído ")</f>
        <v>0</v>
      </c>
    </row>
    <row r="629" spans="1:27" x14ac:dyDescent="0.25">
      <c r="A629" t="str">
        <f>"OUT-"&amp;IFERROR(MID(Tabela4[[#This Row],[Cenário]],SEARCH("(",Tabela4[[#This Row],[Cenário]])+1,SEARCH(")",Tabela4[[#This Row],[Cenário]])-SEARCH("(",Tabela4[[#This Row],[Cenário]])-1),"")&amp;"_"&amp;ROW()</f>
        <v>OUT-Depósito-ANP_629</v>
      </c>
      <c r="B629" t="s">
        <v>358</v>
      </c>
      <c r="C629" t="s">
        <v>723</v>
      </c>
      <c r="D629" t="s">
        <v>371</v>
      </c>
      <c r="E629">
        <v>5</v>
      </c>
      <c r="F629" t="s">
        <v>372</v>
      </c>
      <c r="G629" t="s">
        <v>287</v>
      </c>
      <c r="H629" s="9" t="s">
        <v>724</v>
      </c>
      <c r="K629" s="9" t="s">
        <v>271</v>
      </c>
      <c r="L629" s="78">
        <v>46001</v>
      </c>
      <c r="N629" s="78">
        <v>46001</v>
      </c>
      <c r="O629" s="31"/>
      <c r="P629" s="9"/>
      <c r="Q629" s="9">
        <f>COUNTIF(Tabela4[[#All],[Cenário]],Tabela4[[#This Row],[Cenário]])</f>
        <v>8</v>
      </c>
      <c r="R629">
        <f>COUNTIFS(Tabela4[[#All],[Cenário]],Tabela4[[#This Row],[Cenário]],Tabela4[[#All],[Status]],"Keyuser - Concluído ")</f>
        <v>6</v>
      </c>
      <c r="S629" t="str">
        <f>IF(Tabela4[[#This Row],[Tarefas por Cenário]]-Tabela4[[#This Row],[Tarefas Concluídas]]&gt;0,"Não","Sim")</f>
        <v>Não</v>
      </c>
      <c r="T629">
        <f>COUNTIFS(Tabela4[[#All],[Cenário]],Tabela4[[#This Row],[Cenário]],Tabela4[[#All],[Status]],Tabela4[[#Headers],[Elo - Em correção ]])</f>
        <v>0</v>
      </c>
      <c r="U629">
        <f>COUNTIFS(Tabela4[[#All],[Cenário]],Tabela4[[#This Row],[Cenário]],Tabela4[[#All],[Status]],Tabela4[[#Headers],[Keyuser - Aguardando tarefa precedente]])</f>
        <v>0</v>
      </c>
      <c r="V629">
        <f>COUNTIFS(Tabela4[[#All],[Cenário]],Tabela4[[#This Row],[Cenário]],Tabela4[[#All],[Status]],Tabela4[[#Headers],[Não liberado  para testes]])</f>
        <v>1</v>
      </c>
      <c r="W629" t="str">
        <f>IF(Tabela4[[#This Row],[Elo - Em correção ]]&gt;0,"Sim","Não")</f>
        <v>Não</v>
      </c>
      <c r="X629" t="str">
        <f>IF(Tabela4[[#This Row],[Keyuser - Aguardando tarefa precedente]]&gt;0,"Sim","Não")</f>
        <v>Não</v>
      </c>
      <c r="Y629" t="str">
        <f>IF(Tabela4[[#This Row],[Não liberado  para testes]]&gt;0,"Sim","Não")</f>
        <v>Sim</v>
      </c>
      <c r="Z629" t="str">
        <f ca="1">IF(Tabela4[[#This Row],[Status]]="Keyuser - Pendente",NETWORKDAYS(Tabela4[[#This Row],[Dt Inicial]],TODAY()),"")</f>
        <v/>
      </c>
      <c r="AA629" t="b">
        <f>AND(Tabela4[[#This Row],[Status]]="Keyuser - Aguardando tarefa precedente",K628="Keyuser - Concluído ")</f>
        <v>0</v>
      </c>
    </row>
    <row r="630" spans="1:27" x14ac:dyDescent="0.25">
      <c r="A630" t="str">
        <f>"OUT-"&amp;IFERROR(MID(Tabela4[[#This Row],[Cenário]],SEARCH("(",Tabela4[[#This Row],[Cenário]])+1,SEARCH(")",Tabela4[[#This Row],[Cenário]])-SEARCH("(",Tabela4[[#This Row],[Cenário]])-1),"")&amp;"_"&amp;ROW()</f>
        <v>OUT-Depósito-ANP_630</v>
      </c>
      <c r="B630" t="s">
        <v>358</v>
      </c>
      <c r="C630" t="s">
        <v>723</v>
      </c>
      <c r="D630" t="s">
        <v>373</v>
      </c>
      <c r="E630">
        <v>6</v>
      </c>
      <c r="F630" t="s">
        <v>373</v>
      </c>
      <c r="G630" t="s">
        <v>283</v>
      </c>
      <c r="H630" s="9" t="s">
        <v>724</v>
      </c>
      <c r="K630" s="9" t="s">
        <v>271</v>
      </c>
      <c r="L630" s="78">
        <v>46001</v>
      </c>
      <c r="N630" s="78">
        <v>46001</v>
      </c>
      <c r="O630" s="31"/>
      <c r="P630" s="9"/>
      <c r="Q630" s="9">
        <f>COUNTIF(Tabela4[[#All],[Cenário]],Tabela4[[#This Row],[Cenário]])</f>
        <v>8</v>
      </c>
      <c r="R630">
        <f>COUNTIFS(Tabela4[[#All],[Cenário]],Tabela4[[#This Row],[Cenário]],Tabela4[[#All],[Status]],"Keyuser - Concluído ")</f>
        <v>6</v>
      </c>
      <c r="S630" t="str">
        <f>IF(Tabela4[[#This Row],[Tarefas por Cenário]]-Tabela4[[#This Row],[Tarefas Concluídas]]&gt;0,"Não","Sim")</f>
        <v>Não</v>
      </c>
      <c r="T630">
        <f>COUNTIFS(Tabela4[[#All],[Cenário]],Tabela4[[#This Row],[Cenário]],Tabela4[[#All],[Status]],Tabela4[[#Headers],[Elo - Em correção ]])</f>
        <v>0</v>
      </c>
      <c r="U630">
        <f>COUNTIFS(Tabela4[[#All],[Cenário]],Tabela4[[#This Row],[Cenário]],Tabela4[[#All],[Status]],Tabela4[[#Headers],[Keyuser - Aguardando tarefa precedente]])</f>
        <v>0</v>
      </c>
      <c r="V630">
        <f>COUNTIFS(Tabela4[[#All],[Cenário]],Tabela4[[#This Row],[Cenário]],Tabela4[[#All],[Status]],Tabela4[[#Headers],[Não liberado  para testes]])</f>
        <v>1</v>
      </c>
      <c r="W630" t="str">
        <f>IF(Tabela4[[#This Row],[Elo - Em correção ]]&gt;0,"Sim","Não")</f>
        <v>Não</v>
      </c>
      <c r="X630" t="str">
        <f>IF(Tabela4[[#This Row],[Keyuser - Aguardando tarefa precedente]]&gt;0,"Sim","Não")</f>
        <v>Não</v>
      </c>
      <c r="Y630" t="str">
        <f>IF(Tabela4[[#This Row],[Não liberado  para testes]]&gt;0,"Sim","Não")</f>
        <v>Sim</v>
      </c>
      <c r="Z630" t="str">
        <f ca="1">IF(Tabela4[[#This Row],[Status]]="Keyuser - Pendente",NETWORKDAYS(Tabela4[[#This Row],[Dt Inicial]],TODAY()),"")</f>
        <v/>
      </c>
      <c r="AA630" t="b">
        <f>AND(Tabela4[[#This Row],[Status]]="Keyuser - Aguardando tarefa precedente",K629="Keyuser - Concluído ")</f>
        <v>0</v>
      </c>
    </row>
    <row r="631" spans="1:27" x14ac:dyDescent="0.25">
      <c r="A631" t="str">
        <f>"OUT-"&amp;IFERROR(MID(Tabela4[[#This Row],[Cenário]],SEARCH("(",Tabela4[[#This Row],[Cenário]])+1,SEARCH(")",Tabela4[[#This Row],[Cenário]])-SEARCH("(",Tabela4[[#This Row],[Cenário]])-1),"")&amp;"_"&amp;ROW()</f>
        <v>OUT-Depósito-ANP_631</v>
      </c>
      <c r="B631" t="s">
        <v>374</v>
      </c>
      <c r="C631" t="s">
        <v>723</v>
      </c>
      <c r="D631" t="s">
        <v>286</v>
      </c>
      <c r="E631">
        <v>7</v>
      </c>
      <c r="F631" t="s">
        <v>286</v>
      </c>
      <c r="G631" t="s">
        <v>287</v>
      </c>
      <c r="K631" s="9" t="s">
        <v>262</v>
      </c>
      <c r="N631" s="78"/>
      <c r="O631" s="31"/>
      <c r="P631" s="9"/>
      <c r="Q631" s="9">
        <f>COUNTIF(Tabela4[[#All],[Cenário]],Tabela4[[#This Row],[Cenário]])</f>
        <v>8</v>
      </c>
      <c r="R631">
        <f>COUNTIFS(Tabela4[[#All],[Cenário]],Tabela4[[#This Row],[Cenário]],Tabela4[[#All],[Status]],"Keyuser - Concluído ")</f>
        <v>6</v>
      </c>
      <c r="S631" t="str">
        <f>IF(Tabela4[[#This Row],[Tarefas por Cenário]]-Tabela4[[#This Row],[Tarefas Concluídas]]&gt;0,"Não","Sim")</f>
        <v>Não</v>
      </c>
      <c r="T631">
        <f>COUNTIFS(Tabela4[[#All],[Cenário]],Tabela4[[#This Row],[Cenário]],Tabela4[[#All],[Status]],Tabela4[[#Headers],[Elo - Em correção ]])</f>
        <v>0</v>
      </c>
      <c r="U631">
        <f>COUNTIFS(Tabela4[[#All],[Cenário]],Tabela4[[#This Row],[Cenário]],Tabela4[[#All],[Status]],Tabela4[[#Headers],[Keyuser - Aguardando tarefa precedente]])</f>
        <v>0</v>
      </c>
      <c r="V631">
        <f>COUNTIFS(Tabela4[[#All],[Cenário]],Tabela4[[#This Row],[Cenário]],Tabela4[[#All],[Status]],Tabela4[[#Headers],[Não liberado  para testes]])</f>
        <v>1</v>
      </c>
      <c r="W631" t="str">
        <f>IF(Tabela4[[#This Row],[Elo - Em correção ]]&gt;0,"Sim","Não")</f>
        <v>Não</v>
      </c>
      <c r="X631" t="str">
        <f>IF(Tabela4[[#This Row],[Keyuser - Aguardando tarefa precedente]]&gt;0,"Sim","Não")</f>
        <v>Não</v>
      </c>
      <c r="Y631" t="str">
        <f>IF(Tabela4[[#This Row],[Não liberado  para testes]]&gt;0,"Sim","Não")</f>
        <v>Sim</v>
      </c>
      <c r="Z631" t="str">
        <f ca="1">IF(Tabela4[[#This Row],[Status]]="Keyuser - Pendente",NETWORKDAYS(Tabela4[[#This Row],[Dt Inicial]],TODAY()),"")</f>
        <v/>
      </c>
      <c r="AA631" t="b">
        <f>AND(Tabela4[[#This Row],[Status]]="Keyuser - Aguardando tarefa precedente",K630="Keyuser - Concluído ")</f>
        <v>0</v>
      </c>
    </row>
    <row r="632" spans="1:27" x14ac:dyDescent="0.25">
      <c r="A632" t="str">
        <f>"OUT-"&amp;IFERROR(MID(Tabela4[[#This Row],[Cenário]],SEARCH("(",Tabela4[[#This Row],[Cenário]])+1,SEARCH(")",Tabela4[[#This Row],[Cenário]])-SEARCH("(",Tabela4[[#This Row],[Cenário]])-1),"")&amp;"_"&amp;ROW()</f>
        <v>OUT-Depósito-ANP_632</v>
      </c>
      <c r="B632" t="s">
        <v>358</v>
      </c>
      <c r="C632" t="s">
        <v>723</v>
      </c>
      <c r="D632" t="s">
        <v>375</v>
      </c>
      <c r="E632">
        <v>8</v>
      </c>
      <c r="F632" t="s">
        <v>375</v>
      </c>
      <c r="G632" t="s">
        <v>367</v>
      </c>
      <c r="K632" s="9" t="s">
        <v>271</v>
      </c>
      <c r="L632" s="78">
        <v>46002</v>
      </c>
      <c r="N632" s="78">
        <v>46002</v>
      </c>
      <c r="O632" s="31"/>
      <c r="P632" s="9"/>
      <c r="Q632" s="9">
        <f>COUNTIF(Tabela4[[#All],[Cenário]],Tabela4[[#This Row],[Cenário]])</f>
        <v>8</v>
      </c>
      <c r="R632">
        <f>COUNTIFS(Tabela4[[#All],[Cenário]],Tabela4[[#This Row],[Cenário]],Tabela4[[#All],[Status]],"Keyuser - Concluído ")</f>
        <v>6</v>
      </c>
      <c r="S632" t="str">
        <f>IF(Tabela4[[#This Row],[Tarefas por Cenário]]-Tabela4[[#This Row],[Tarefas Concluídas]]&gt;0,"Não","Sim")</f>
        <v>Não</v>
      </c>
      <c r="T632">
        <f>COUNTIFS(Tabela4[[#All],[Cenário]],Tabela4[[#This Row],[Cenário]],Tabela4[[#All],[Status]],Tabela4[[#Headers],[Elo - Em correção ]])</f>
        <v>0</v>
      </c>
      <c r="U632">
        <f>COUNTIFS(Tabela4[[#All],[Cenário]],Tabela4[[#This Row],[Cenário]],Tabela4[[#All],[Status]],Tabela4[[#Headers],[Keyuser - Aguardando tarefa precedente]])</f>
        <v>0</v>
      </c>
      <c r="V632">
        <f>COUNTIFS(Tabela4[[#All],[Cenário]],Tabela4[[#This Row],[Cenário]],Tabela4[[#All],[Status]],Tabela4[[#Headers],[Não liberado  para testes]])</f>
        <v>1</v>
      </c>
      <c r="W632" t="str">
        <f>IF(Tabela4[[#This Row],[Elo - Em correção ]]&gt;0,"Sim","Não")</f>
        <v>Não</v>
      </c>
      <c r="X632" t="str">
        <f>IF(Tabela4[[#This Row],[Keyuser - Aguardando tarefa precedente]]&gt;0,"Sim","Não")</f>
        <v>Não</v>
      </c>
      <c r="Y632" t="str">
        <f>IF(Tabela4[[#This Row],[Não liberado  para testes]]&gt;0,"Sim","Não")</f>
        <v>Sim</v>
      </c>
      <c r="Z632" t="str">
        <f ca="1">IF(Tabela4[[#This Row],[Status]]="Keyuser - Pendente",NETWORKDAYS(Tabela4[[#This Row],[Dt Inicial]],TODAY()),"")</f>
        <v/>
      </c>
      <c r="AA632" t="b">
        <f>AND(Tabela4[[#This Row],[Status]]="Keyuser - Aguardando tarefa precedente",K631="Keyuser - Concluído ")</f>
        <v>0</v>
      </c>
    </row>
    <row r="633" spans="1:27" x14ac:dyDescent="0.25">
      <c r="A633" t="str">
        <f>"OUT-"&amp;IFERROR(MID(Tabela4[[#This Row],[Cenário]],SEARCH("(",Tabela4[[#This Row],[Cenário]])+1,SEARCH(")",Tabela4[[#This Row],[Cenário]])-SEARCH("(",Tabela4[[#This Row],[Cenário]])-1),"")&amp;"_"&amp;ROW()</f>
        <v>OUT-Depósito-ANP_633</v>
      </c>
      <c r="B633" t="s">
        <v>358</v>
      </c>
      <c r="C633" t="s">
        <v>725</v>
      </c>
      <c r="D633" t="s">
        <v>726</v>
      </c>
      <c r="E633">
        <v>1</v>
      </c>
      <c r="F633" t="s">
        <v>726</v>
      </c>
      <c r="G633" t="s">
        <v>361</v>
      </c>
      <c r="H633" s="80">
        <v>70583991</v>
      </c>
      <c r="K633" s="9" t="s">
        <v>271</v>
      </c>
      <c r="L633" s="78">
        <v>46001</v>
      </c>
      <c r="N633" s="78">
        <v>46001</v>
      </c>
      <c r="O633" s="31"/>
      <c r="P633" s="9"/>
      <c r="Q633" s="9">
        <f>COUNTIF(Tabela4[[#All],[Cenário]],Tabela4[[#This Row],[Cenário]])</f>
        <v>6</v>
      </c>
      <c r="R633">
        <f>COUNTIFS(Tabela4[[#All],[Cenário]],Tabela4[[#This Row],[Cenário]],Tabela4[[#All],[Status]],"Keyuser - Concluído ")</f>
        <v>5</v>
      </c>
      <c r="S633" t="str">
        <f>IF(Tabela4[[#This Row],[Tarefas por Cenário]]-Tabela4[[#This Row],[Tarefas Concluídas]]&gt;0,"Não","Sim")</f>
        <v>Não</v>
      </c>
      <c r="T633">
        <f>COUNTIFS(Tabela4[[#All],[Cenário]],Tabela4[[#This Row],[Cenário]],Tabela4[[#All],[Status]],Tabela4[[#Headers],[Elo - Em correção ]])</f>
        <v>0</v>
      </c>
      <c r="U633">
        <f>COUNTIFS(Tabela4[[#All],[Cenário]],Tabela4[[#This Row],[Cenário]],Tabela4[[#All],[Status]],Tabela4[[#Headers],[Keyuser - Aguardando tarefa precedente]])</f>
        <v>0</v>
      </c>
      <c r="V633">
        <f>COUNTIFS(Tabela4[[#All],[Cenário]],Tabela4[[#This Row],[Cenário]],Tabela4[[#All],[Status]],Tabela4[[#Headers],[Não liberado  para testes]])</f>
        <v>1</v>
      </c>
      <c r="W633" t="str">
        <f>IF(Tabela4[[#This Row],[Elo - Em correção ]]&gt;0,"Sim","Não")</f>
        <v>Não</v>
      </c>
      <c r="X633" t="str">
        <f>IF(Tabela4[[#This Row],[Keyuser - Aguardando tarefa precedente]]&gt;0,"Sim","Não")</f>
        <v>Não</v>
      </c>
      <c r="Y633" t="str">
        <f>IF(Tabela4[[#This Row],[Não liberado  para testes]]&gt;0,"Sim","Não")</f>
        <v>Sim</v>
      </c>
      <c r="Z633" t="str">
        <f ca="1">IF(Tabela4[[#This Row],[Status]]="Keyuser - Pendente",NETWORKDAYS(Tabela4[[#This Row],[Dt Inicial]],TODAY()),"")</f>
        <v/>
      </c>
      <c r="AA633" t="b">
        <f>AND(Tabela4[[#This Row],[Status]]="Keyuser - Aguardando tarefa precedente",K632="Keyuser - Concluído ")</f>
        <v>0</v>
      </c>
    </row>
    <row r="634" spans="1:27" x14ac:dyDescent="0.25">
      <c r="A634" t="str">
        <f>"OUT-"&amp;IFERROR(MID(Tabela4[[#This Row],[Cenário]],SEARCH("(",Tabela4[[#This Row],[Cenário]])+1,SEARCH(")",Tabela4[[#This Row],[Cenário]])-SEARCH("(",Tabela4[[#This Row],[Cenário]])-1),"")&amp;"_"&amp;ROW()</f>
        <v>OUT-Depósito-ANP_634</v>
      </c>
      <c r="B634" t="s">
        <v>358</v>
      </c>
      <c r="C634" t="s">
        <v>725</v>
      </c>
      <c r="D634" s="5" t="s">
        <v>365</v>
      </c>
      <c r="E634">
        <v>2</v>
      </c>
      <c r="F634" t="s">
        <v>365</v>
      </c>
      <c r="G634" t="s">
        <v>310</v>
      </c>
      <c r="H634" s="80">
        <v>70583991</v>
      </c>
      <c r="K634" s="9" t="s">
        <v>271</v>
      </c>
      <c r="L634" s="78">
        <v>46001</v>
      </c>
      <c r="N634" s="78">
        <v>46001</v>
      </c>
      <c r="O634" s="31"/>
      <c r="P634" s="9"/>
      <c r="Q634" s="9">
        <f>COUNTIF(Tabela4[[#All],[Cenário]],Tabela4[[#This Row],[Cenário]])</f>
        <v>6</v>
      </c>
      <c r="R634">
        <f>COUNTIFS(Tabela4[[#All],[Cenário]],Tabela4[[#This Row],[Cenário]],Tabela4[[#All],[Status]],"Keyuser - Concluído ")</f>
        <v>5</v>
      </c>
      <c r="S634" t="str">
        <f>IF(Tabela4[[#This Row],[Tarefas por Cenário]]-Tabela4[[#This Row],[Tarefas Concluídas]]&gt;0,"Não","Sim")</f>
        <v>Não</v>
      </c>
      <c r="T634">
        <f>COUNTIFS(Tabela4[[#All],[Cenário]],Tabela4[[#This Row],[Cenário]],Tabela4[[#All],[Status]],Tabela4[[#Headers],[Elo - Em correção ]])</f>
        <v>0</v>
      </c>
      <c r="U634">
        <f>COUNTIFS(Tabela4[[#All],[Cenário]],Tabela4[[#This Row],[Cenário]],Tabela4[[#All],[Status]],Tabela4[[#Headers],[Keyuser - Aguardando tarefa precedente]])</f>
        <v>0</v>
      </c>
      <c r="V634">
        <f>COUNTIFS(Tabela4[[#All],[Cenário]],Tabela4[[#This Row],[Cenário]],Tabela4[[#All],[Status]],Tabela4[[#Headers],[Não liberado  para testes]])</f>
        <v>1</v>
      </c>
      <c r="W634" t="str">
        <f>IF(Tabela4[[#This Row],[Elo - Em correção ]]&gt;0,"Sim","Não")</f>
        <v>Não</v>
      </c>
      <c r="X634" t="str">
        <f>IF(Tabela4[[#This Row],[Keyuser - Aguardando tarefa precedente]]&gt;0,"Sim","Não")</f>
        <v>Não</v>
      </c>
      <c r="Y634" t="str">
        <f>IF(Tabela4[[#This Row],[Não liberado  para testes]]&gt;0,"Sim","Não")</f>
        <v>Sim</v>
      </c>
      <c r="Z634" t="str">
        <f ca="1">IF(Tabela4[[#This Row],[Status]]="Keyuser - Pendente",NETWORKDAYS(Tabela4[[#This Row],[Dt Inicial]],TODAY()),"")</f>
        <v/>
      </c>
      <c r="AA634" t="b">
        <f>AND(Tabela4[[#This Row],[Status]]="Keyuser - Aguardando tarefa precedente",K633="Keyuser - Concluído ")</f>
        <v>0</v>
      </c>
    </row>
    <row r="635" spans="1:27" x14ac:dyDescent="0.25">
      <c r="A635" t="str">
        <f>"OUT-"&amp;IFERROR(MID(Tabela4[[#This Row],[Cenário]],SEARCH("(",Tabela4[[#This Row],[Cenário]])+1,SEARCH(")",Tabela4[[#This Row],[Cenário]])-SEARCH("(",Tabela4[[#This Row],[Cenário]])-1),"")&amp;"_"&amp;ROW()</f>
        <v>OUT-Depósito-ANP_635</v>
      </c>
      <c r="B635" t="s">
        <v>358</v>
      </c>
      <c r="C635" t="s">
        <v>725</v>
      </c>
      <c r="D635" s="5" t="s">
        <v>368</v>
      </c>
      <c r="E635">
        <v>4</v>
      </c>
      <c r="F635" t="s">
        <v>368</v>
      </c>
      <c r="G635" t="s">
        <v>369</v>
      </c>
      <c r="H635" s="9" t="s">
        <v>727</v>
      </c>
      <c r="K635" s="9" t="s">
        <v>271</v>
      </c>
      <c r="L635" s="78">
        <v>46001</v>
      </c>
      <c r="N635" s="78">
        <v>46001</v>
      </c>
      <c r="O635" s="31"/>
      <c r="P635" s="9"/>
      <c r="Q635" s="9">
        <f>COUNTIF(Tabela4[[#All],[Cenário]],Tabela4[[#This Row],[Cenário]])</f>
        <v>6</v>
      </c>
      <c r="R635">
        <f>COUNTIFS(Tabela4[[#All],[Cenário]],Tabela4[[#This Row],[Cenário]],Tabela4[[#All],[Status]],"Keyuser - Concluído ")</f>
        <v>5</v>
      </c>
      <c r="S635" t="str">
        <f>IF(Tabela4[[#This Row],[Tarefas por Cenário]]-Tabela4[[#This Row],[Tarefas Concluídas]]&gt;0,"Não","Sim")</f>
        <v>Não</v>
      </c>
      <c r="T635">
        <f>COUNTIFS(Tabela4[[#All],[Cenário]],Tabela4[[#This Row],[Cenário]],Tabela4[[#All],[Status]],Tabela4[[#Headers],[Elo - Em correção ]])</f>
        <v>0</v>
      </c>
      <c r="U635">
        <f>COUNTIFS(Tabela4[[#All],[Cenário]],Tabela4[[#This Row],[Cenário]],Tabela4[[#All],[Status]],Tabela4[[#Headers],[Keyuser - Aguardando tarefa precedente]])</f>
        <v>0</v>
      </c>
      <c r="V635">
        <f>COUNTIFS(Tabela4[[#All],[Cenário]],Tabela4[[#This Row],[Cenário]],Tabela4[[#All],[Status]],Tabela4[[#Headers],[Não liberado  para testes]])</f>
        <v>1</v>
      </c>
      <c r="W635" t="str">
        <f>IF(Tabela4[[#This Row],[Elo - Em correção ]]&gt;0,"Sim","Não")</f>
        <v>Não</v>
      </c>
      <c r="X635" t="str">
        <f>IF(Tabela4[[#This Row],[Keyuser - Aguardando tarefa precedente]]&gt;0,"Sim","Não")</f>
        <v>Não</v>
      </c>
      <c r="Y635" t="str">
        <f>IF(Tabela4[[#This Row],[Não liberado  para testes]]&gt;0,"Sim","Não")</f>
        <v>Sim</v>
      </c>
      <c r="Z635" t="str">
        <f ca="1">IF(Tabela4[[#This Row],[Status]]="Keyuser - Pendente",NETWORKDAYS(Tabela4[[#This Row],[Dt Inicial]],TODAY()),"")</f>
        <v/>
      </c>
      <c r="AA635" t="b">
        <f>AND(Tabela4[[#This Row],[Status]]="Keyuser - Aguardando tarefa precedente",K634="Keyuser - Concluído ")</f>
        <v>0</v>
      </c>
    </row>
    <row r="636" spans="1:27" x14ac:dyDescent="0.25">
      <c r="A636" t="str">
        <f>"OUT-"&amp;IFERROR(MID(Tabela4[[#This Row],[Cenário]],SEARCH("(",Tabela4[[#This Row],[Cenário]])+1,SEARCH(")",Tabela4[[#This Row],[Cenário]])-SEARCH("(",Tabela4[[#This Row],[Cenário]])-1),"")&amp;"_"&amp;ROW()</f>
        <v>OUT-Depósito-ANP_636</v>
      </c>
      <c r="B636" t="s">
        <v>358</v>
      </c>
      <c r="C636" t="s">
        <v>725</v>
      </c>
      <c r="D636" s="5" t="s">
        <v>371</v>
      </c>
      <c r="E636">
        <v>5</v>
      </c>
      <c r="F636" t="s">
        <v>435</v>
      </c>
      <c r="G636" t="s">
        <v>287</v>
      </c>
      <c r="H636" s="9" t="s">
        <v>727</v>
      </c>
      <c r="K636" s="9" t="s">
        <v>271</v>
      </c>
      <c r="L636" s="78">
        <v>46001</v>
      </c>
      <c r="N636" s="78">
        <v>46001</v>
      </c>
      <c r="O636" s="31"/>
      <c r="P636" s="9"/>
      <c r="Q636" s="9">
        <f>COUNTIF(Tabela4[[#All],[Cenário]],Tabela4[[#This Row],[Cenário]])</f>
        <v>6</v>
      </c>
      <c r="R636">
        <f>COUNTIFS(Tabela4[[#All],[Cenário]],Tabela4[[#This Row],[Cenário]],Tabela4[[#All],[Status]],"Keyuser - Concluído ")</f>
        <v>5</v>
      </c>
      <c r="S636" t="str">
        <f>IF(Tabela4[[#This Row],[Tarefas por Cenário]]-Tabela4[[#This Row],[Tarefas Concluídas]]&gt;0,"Não","Sim")</f>
        <v>Não</v>
      </c>
      <c r="T636">
        <f>COUNTIFS(Tabela4[[#All],[Cenário]],Tabela4[[#This Row],[Cenário]],Tabela4[[#All],[Status]],Tabela4[[#Headers],[Elo - Em correção ]])</f>
        <v>0</v>
      </c>
      <c r="U636">
        <f>COUNTIFS(Tabela4[[#All],[Cenário]],Tabela4[[#This Row],[Cenário]],Tabela4[[#All],[Status]],Tabela4[[#Headers],[Keyuser - Aguardando tarefa precedente]])</f>
        <v>0</v>
      </c>
      <c r="V636">
        <f>COUNTIFS(Tabela4[[#All],[Cenário]],Tabela4[[#This Row],[Cenário]],Tabela4[[#All],[Status]],Tabela4[[#Headers],[Não liberado  para testes]])</f>
        <v>1</v>
      </c>
      <c r="W636" t="str">
        <f>IF(Tabela4[[#This Row],[Elo - Em correção ]]&gt;0,"Sim","Não")</f>
        <v>Não</v>
      </c>
      <c r="X636" t="str">
        <f>IF(Tabela4[[#This Row],[Keyuser - Aguardando tarefa precedente]]&gt;0,"Sim","Não")</f>
        <v>Não</v>
      </c>
      <c r="Y636" t="str">
        <f>IF(Tabela4[[#This Row],[Não liberado  para testes]]&gt;0,"Sim","Não")</f>
        <v>Sim</v>
      </c>
      <c r="Z636" t="str">
        <f ca="1">IF(Tabela4[[#This Row],[Status]]="Keyuser - Pendente",NETWORKDAYS(Tabela4[[#This Row],[Dt Inicial]],TODAY()),"")</f>
        <v/>
      </c>
      <c r="AA636" t="b">
        <f>AND(Tabela4[[#This Row],[Status]]="Keyuser - Aguardando tarefa precedente",K635="Keyuser - Concluído ")</f>
        <v>0</v>
      </c>
    </row>
    <row r="637" spans="1:27" x14ac:dyDescent="0.25">
      <c r="A637" t="str">
        <f>"OUT-"&amp;IFERROR(MID(Tabela4[[#This Row],[Cenário]],SEARCH("(",Tabela4[[#This Row],[Cenário]])+1,SEARCH(")",Tabela4[[#This Row],[Cenário]])-SEARCH("(",Tabela4[[#This Row],[Cenário]])-1),"")&amp;"_"&amp;ROW()</f>
        <v>OUT-Depósito-ANP_637</v>
      </c>
      <c r="B637" t="s">
        <v>358</v>
      </c>
      <c r="C637" t="s">
        <v>725</v>
      </c>
      <c r="D637" s="5" t="s">
        <v>373</v>
      </c>
      <c r="E637">
        <v>6</v>
      </c>
      <c r="F637" t="s">
        <v>373</v>
      </c>
      <c r="G637" t="s">
        <v>283</v>
      </c>
      <c r="H637" s="9" t="s">
        <v>727</v>
      </c>
      <c r="K637" s="9" t="s">
        <v>271</v>
      </c>
      <c r="L637" s="78">
        <v>46001</v>
      </c>
      <c r="N637" s="78">
        <v>46001</v>
      </c>
      <c r="O637" s="31"/>
      <c r="P637" s="9"/>
      <c r="Q637" s="9">
        <f>COUNTIF(Tabela4[[#All],[Cenário]],Tabela4[[#This Row],[Cenário]])</f>
        <v>6</v>
      </c>
      <c r="R637">
        <f>COUNTIFS(Tabela4[[#All],[Cenário]],Tabela4[[#This Row],[Cenário]],Tabela4[[#All],[Status]],"Keyuser - Concluído ")</f>
        <v>5</v>
      </c>
      <c r="S637" t="str">
        <f>IF(Tabela4[[#This Row],[Tarefas por Cenário]]-Tabela4[[#This Row],[Tarefas Concluídas]]&gt;0,"Não","Sim")</f>
        <v>Não</v>
      </c>
      <c r="T637">
        <f>COUNTIFS(Tabela4[[#All],[Cenário]],Tabela4[[#This Row],[Cenário]],Tabela4[[#All],[Status]],Tabela4[[#Headers],[Elo - Em correção ]])</f>
        <v>0</v>
      </c>
      <c r="U637">
        <f>COUNTIFS(Tabela4[[#All],[Cenário]],Tabela4[[#This Row],[Cenário]],Tabela4[[#All],[Status]],Tabela4[[#Headers],[Keyuser - Aguardando tarefa precedente]])</f>
        <v>0</v>
      </c>
      <c r="V637">
        <f>COUNTIFS(Tabela4[[#All],[Cenário]],Tabela4[[#This Row],[Cenário]],Tabela4[[#All],[Status]],Tabela4[[#Headers],[Não liberado  para testes]])</f>
        <v>1</v>
      </c>
      <c r="W637" t="str">
        <f>IF(Tabela4[[#This Row],[Elo - Em correção ]]&gt;0,"Sim","Não")</f>
        <v>Não</v>
      </c>
      <c r="X637" t="str">
        <f>IF(Tabela4[[#This Row],[Keyuser - Aguardando tarefa precedente]]&gt;0,"Sim","Não")</f>
        <v>Não</v>
      </c>
      <c r="Y637" t="str">
        <f>IF(Tabela4[[#This Row],[Não liberado  para testes]]&gt;0,"Sim","Não")</f>
        <v>Sim</v>
      </c>
      <c r="Z637" t="str">
        <f ca="1">IF(Tabela4[[#This Row],[Status]]="Keyuser - Pendente",NETWORKDAYS(Tabela4[[#This Row],[Dt Inicial]],TODAY()),"")</f>
        <v/>
      </c>
      <c r="AA637" t="b">
        <f>AND(Tabela4[[#This Row],[Status]]="Keyuser - Aguardando tarefa precedente",K636="Keyuser - Concluído ")</f>
        <v>0</v>
      </c>
    </row>
    <row r="638" spans="1:27" x14ac:dyDescent="0.25">
      <c r="A638" t="str">
        <f>"OUT-"&amp;IFERROR(MID(Tabela4[[#This Row],[Cenário]],SEARCH("(",Tabela4[[#This Row],[Cenário]])+1,SEARCH(")",Tabela4[[#This Row],[Cenário]])-SEARCH("(",Tabela4[[#This Row],[Cenário]])-1),"")&amp;"_"&amp;ROW()</f>
        <v>OUT-Depósito-ANP_638</v>
      </c>
      <c r="B638" t="s">
        <v>374</v>
      </c>
      <c r="C638" t="s">
        <v>725</v>
      </c>
      <c r="D638" s="5" t="s">
        <v>286</v>
      </c>
      <c r="E638">
        <v>7</v>
      </c>
      <c r="F638" t="s">
        <v>286</v>
      </c>
      <c r="G638" t="s">
        <v>287</v>
      </c>
      <c r="K638" s="9" t="s">
        <v>262</v>
      </c>
      <c r="N638" s="78"/>
      <c r="O638" s="31"/>
      <c r="P638" s="9"/>
      <c r="Q638" s="9">
        <f>COUNTIF(Tabela4[[#All],[Cenário]],Tabela4[[#This Row],[Cenário]])</f>
        <v>6</v>
      </c>
      <c r="R638">
        <f>COUNTIFS(Tabela4[[#All],[Cenário]],Tabela4[[#This Row],[Cenário]],Tabela4[[#All],[Status]],"Keyuser - Concluído ")</f>
        <v>5</v>
      </c>
      <c r="S638" t="str">
        <f>IF(Tabela4[[#This Row],[Tarefas por Cenário]]-Tabela4[[#This Row],[Tarefas Concluídas]]&gt;0,"Não","Sim")</f>
        <v>Não</v>
      </c>
      <c r="T638">
        <f>COUNTIFS(Tabela4[[#All],[Cenário]],Tabela4[[#This Row],[Cenário]],Tabela4[[#All],[Status]],Tabela4[[#Headers],[Elo - Em correção ]])</f>
        <v>0</v>
      </c>
      <c r="U638">
        <f>COUNTIFS(Tabela4[[#All],[Cenário]],Tabela4[[#This Row],[Cenário]],Tabela4[[#All],[Status]],Tabela4[[#Headers],[Keyuser - Aguardando tarefa precedente]])</f>
        <v>0</v>
      </c>
      <c r="V638">
        <f>COUNTIFS(Tabela4[[#All],[Cenário]],Tabela4[[#This Row],[Cenário]],Tabela4[[#All],[Status]],Tabela4[[#Headers],[Não liberado  para testes]])</f>
        <v>1</v>
      </c>
      <c r="W638" t="str">
        <f>IF(Tabela4[[#This Row],[Elo - Em correção ]]&gt;0,"Sim","Não")</f>
        <v>Não</v>
      </c>
      <c r="X638" t="str">
        <f>IF(Tabela4[[#This Row],[Keyuser - Aguardando tarefa precedente]]&gt;0,"Sim","Não")</f>
        <v>Não</v>
      </c>
      <c r="Y638" t="str">
        <f>IF(Tabela4[[#This Row],[Não liberado  para testes]]&gt;0,"Sim","Não")</f>
        <v>Sim</v>
      </c>
      <c r="Z638" t="str">
        <f ca="1">IF(Tabela4[[#This Row],[Status]]="Keyuser - Pendente",NETWORKDAYS(Tabela4[[#This Row],[Dt Inicial]],TODAY()),"")</f>
        <v/>
      </c>
      <c r="AA638" t="b">
        <f>AND(Tabela4[[#This Row],[Status]]="Keyuser - Aguardando tarefa precedente",K637="Keyuser - Concluído ")</f>
        <v>0</v>
      </c>
    </row>
  </sheetData>
  <phoneticPr fontId="6" type="noConversion"/>
  <conditionalFormatting sqref="H403:H405">
    <cfRule type="cellIs" dxfId="16" priority="17" operator="equal">
      <formula>"pdt"</formula>
    </cfRule>
  </conditionalFormatting>
  <conditionalFormatting sqref="H410:H413">
    <cfRule type="cellIs" dxfId="15" priority="16" operator="equal">
      <formula>"pdt"</formula>
    </cfRule>
  </conditionalFormatting>
  <conditionalFormatting sqref="H418">
    <cfRule type="cellIs" dxfId="14" priority="13" operator="equal">
      <formula>"pdt"</formula>
    </cfRule>
  </conditionalFormatting>
  <conditionalFormatting sqref="H444:H445">
    <cfRule type="cellIs" dxfId="13" priority="15" operator="equal">
      <formula>"pdt"</formula>
    </cfRule>
  </conditionalFormatting>
  <conditionalFormatting sqref="H450">
    <cfRule type="cellIs" dxfId="12" priority="8" operator="equal">
      <formula>"pdt"</formula>
    </cfRule>
  </conditionalFormatting>
  <conditionalFormatting sqref="H459:H461">
    <cfRule type="cellIs" dxfId="11" priority="14" operator="equal">
      <formula>"pdt"</formula>
    </cfRule>
  </conditionalFormatting>
  <conditionalFormatting sqref="H466:H469">
    <cfRule type="cellIs" dxfId="10" priority="9" operator="equal">
      <formula>"pdt"</formula>
    </cfRule>
  </conditionalFormatting>
  <conditionalFormatting sqref="H474">
    <cfRule type="cellIs" dxfId="9" priority="7" operator="equal">
      <formula>"pdt"</formula>
    </cfRule>
  </conditionalFormatting>
  <conditionalFormatting sqref="H607:H608">
    <cfRule type="cellIs" dxfId="8" priority="5" operator="equal">
      <formula>"pdt"</formula>
    </cfRule>
    <cfRule type="cellIs" dxfId="7" priority="6" operator="equal">
      <formula>"(vazio)"</formula>
    </cfRule>
  </conditionalFormatting>
  <conditionalFormatting sqref="H613:H614">
    <cfRule type="cellIs" dxfId="6" priority="3" operator="equal">
      <formula>"pdt"</formula>
    </cfRule>
    <cfRule type="cellIs" dxfId="5" priority="4" operator="equal">
      <formula>"(vazio)"</formula>
    </cfRule>
  </conditionalFormatting>
  <conditionalFormatting sqref="H619:H620">
    <cfRule type="cellIs" dxfId="4" priority="1" operator="equal">
      <formula>"pdt"</formula>
    </cfRule>
    <cfRule type="cellIs" dxfId="3" priority="2" operator="equal">
      <formula>"(vazio)"</formula>
    </cfRule>
  </conditionalFormatting>
  <conditionalFormatting sqref="K1:K1048576">
    <cfRule type="cellIs" dxfId="2" priority="19" operator="equal">
      <formula>"Keyuser - Com problemas "</formula>
    </cfRule>
    <cfRule type="cellIs" dxfId="1" priority="20" operator="equal">
      <formula>"Keyuser - Concluído "</formula>
    </cfRule>
  </conditionalFormatting>
  <hyperlinks>
    <hyperlink ref="G201:G210" r:id="rId1" display="francisco.netto@bpbioenergy.com" xr:uid="{01A9B368-9D16-4A4B-A66F-C1F845293681}"/>
    <hyperlink ref="G212:G213" r:id="rId2" display="francisco.netto@bpbioenergy.com" xr:uid="{6C06526F-656B-4132-B2ED-1A2E33B2F949}"/>
    <hyperlink ref="G220:G225" r:id="rId3" display="francisco.netto@bpbioenergy.com" xr:uid="{8B55B2FB-34BF-4DC1-9922-3C514AE6F525}"/>
    <hyperlink ref="G230" r:id="rId4" display="francisco.netto@bpbioenergy.com" xr:uid="{38D64F78-03B4-4A34-B5E5-6435A1B11A27}"/>
    <hyperlink ref="G234" r:id="rId5" display="francisco.netto@bpbioenergy.com" xr:uid="{A7CB29E7-5E19-44EE-B789-08BD3C59F23B}"/>
    <hyperlink ref="G216" r:id="rId6" display="francisco.netto@bpbioenergy.com" xr:uid="{B29F6D88-A3F1-437A-BA68-D551DCF5229E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7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687A24-89C7-47CA-AD57-1CA06B29A7E2}">
          <x14:formula1>
            <xm:f>Aux!$A:$A</xm:f>
          </x14:formula1>
          <xm:sqref>K2:K638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B4BE-A162-4E73-B1FE-F88146647CC1}">
  <sheetPr codeName="Planilha4">
    <tabColor theme="5"/>
  </sheetPr>
  <dimension ref="A1:Q150"/>
  <sheetViews>
    <sheetView showGridLines="0" topLeftCell="A13" zoomScale="85" zoomScaleNormal="85" workbookViewId="0">
      <selection activeCell="B29" sqref="B29"/>
    </sheetView>
  </sheetViews>
  <sheetFormatPr defaultRowHeight="15" x14ac:dyDescent="0.25"/>
  <cols>
    <col min="1" max="1" width="15.5703125" bestFit="1" customWidth="1"/>
    <col min="2" max="2" width="15.85546875" bestFit="1" customWidth="1"/>
    <col min="3" max="3" width="17.7109375" bestFit="1" customWidth="1"/>
    <col min="4" max="5" width="11" bestFit="1" customWidth="1"/>
    <col min="6" max="6" width="33.42578125" bestFit="1" customWidth="1"/>
    <col min="7" max="7" width="40.5703125" bestFit="1" customWidth="1"/>
    <col min="8" max="8" width="45.5703125" bestFit="1" customWidth="1"/>
    <col min="9" max="9" width="32" bestFit="1" customWidth="1"/>
    <col min="10" max="10" width="11" bestFit="1" customWidth="1"/>
    <col min="11" max="11" width="15.42578125" bestFit="1" customWidth="1"/>
    <col min="12" max="12" width="45.42578125" bestFit="1" customWidth="1"/>
    <col min="13" max="13" width="33.85546875" bestFit="1" customWidth="1"/>
    <col min="14" max="14" width="20" bestFit="1" customWidth="1"/>
    <col min="15" max="15" width="14.28515625" bestFit="1" customWidth="1"/>
    <col min="16" max="16" width="30.5703125" bestFit="1" customWidth="1"/>
    <col min="17" max="18" width="36.5703125" bestFit="1" customWidth="1"/>
    <col min="19" max="19" width="10.140625" bestFit="1" customWidth="1"/>
    <col min="20" max="21" width="10.5703125" bestFit="1" customWidth="1"/>
    <col min="25" max="25" width="30.5703125" bestFit="1" customWidth="1"/>
    <col min="26" max="26" width="36.5703125" bestFit="1" customWidth="1"/>
    <col min="27" max="27" width="8.42578125" bestFit="1" customWidth="1"/>
    <col min="28" max="28" width="9.5703125" bestFit="1" customWidth="1"/>
    <col min="29" max="29" width="10" bestFit="1" customWidth="1"/>
  </cols>
  <sheetData>
    <row r="1" spans="1:13" ht="28.5" x14ac:dyDescent="0.45">
      <c r="A1" s="30" t="s">
        <v>313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x14ac:dyDescent="0.25">
      <c r="H3" s="11" t="s">
        <v>248</v>
      </c>
      <c r="I3" s="9" t="s">
        <v>314</v>
      </c>
      <c r="J3" s="34" t="s">
        <v>315</v>
      </c>
    </row>
    <row r="4" spans="1:13" x14ac:dyDescent="0.25">
      <c r="H4" s="6" t="s">
        <v>271</v>
      </c>
      <c r="I4" s="9">
        <v>528</v>
      </c>
      <c r="J4" s="34">
        <v>0.82888540031397173</v>
      </c>
    </row>
    <row r="5" spans="1:13" x14ac:dyDescent="0.25">
      <c r="H5" s="6" t="s">
        <v>262</v>
      </c>
      <c r="I5" s="9">
        <v>79</v>
      </c>
      <c r="J5" s="34">
        <v>0.12401883830455258</v>
      </c>
    </row>
    <row r="6" spans="1:13" x14ac:dyDescent="0.25">
      <c r="H6" s="6" t="s">
        <v>294</v>
      </c>
      <c r="I6" s="9">
        <v>26</v>
      </c>
      <c r="J6" s="34">
        <v>4.0816326530612242E-2</v>
      </c>
    </row>
    <row r="7" spans="1:13" x14ac:dyDescent="0.25">
      <c r="H7" s="6" t="s">
        <v>261</v>
      </c>
      <c r="I7" s="9">
        <v>3</v>
      </c>
      <c r="J7" s="34">
        <v>4.7095761381475663E-3</v>
      </c>
    </row>
    <row r="8" spans="1:13" x14ac:dyDescent="0.25">
      <c r="H8" s="6" t="s">
        <v>690</v>
      </c>
      <c r="I8" s="9">
        <v>1</v>
      </c>
      <c r="J8" s="34">
        <v>1.5698587127158557E-3</v>
      </c>
    </row>
    <row r="9" spans="1:13" x14ac:dyDescent="0.25">
      <c r="H9" s="6" t="s">
        <v>316</v>
      </c>
      <c r="I9" s="9">
        <v>637</v>
      </c>
      <c r="J9" s="34">
        <v>1</v>
      </c>
    </row>
    <row r="13" spans="1:13" x14ac:dyDescent="0.25">
      <c r="H13" s="44" t="s">
        <v>317</v>
      </c>
      <c r="I13" s="45"/>
    </row>
    <row r="14" spans="1:13" x14ac:dyDescent="0.25">
      <c r="H14" s="42" t="s">
        <v>318</v>
      </c>
      <c r="I14" s="43">
        <v>46003</v>
      </c>
    </row>
    <row r="15" spans="1:13" ht="18.75" x14ac:dyDescent="0.3">
      <c r="H15" s="40" t="s">
        <v>319</v>
      </c>
      <c r="I15" s="70">
        <f ca="1">NETWORKDAYS(TODAY(),I14)</f>
        <v>2</v>
      </c>
    </row>
    <row r="16" spans="1:13" x14ac:dyDescent="0.25">
      <c r="H16" s="40" t="s">
        <v>320</v>
      </c>
      <c r="I16" s="41">
        <f>COUNTIFS(Tabela4[[#All],[Status]],"*")-(COUNTIFS(Tabela4[[#All],[Status]],"Keyuser - Concluído ")+COUNTIFS(Tabela4[[#All],[Status]],"Não se Aplica"))</f>
        <v>84</v>
      </c>
    </row>
    <row r="17" spans="1:11" ht="18.75" x14ac:dyDescent="0.3">
      <c r="H17" s="47" t="s">
        <v>321</v>
      </c>
      <c r="I17" s="46">
        <f ca="1">I16/I15</f>
        <v>42</v>
      </c>
    </row>
    <row r="18" spans="1:11" x14ac:dyDescent="0.25">
      <c r="F18" s="56"/>
    </row>
    <row r="20" spans="1:11" ht="21" x14ac:dyDescent="0.35">
      <c r="H20" s="11" t="s">
        <v>252</v>
      </c>
      <c r="I20" s="81" t="s">
        <v>728</v>
      </c>
      <c r="J20" s="1"/>
      <c r="K20" s="1"/>
    </row>
    <row r="22" spans="1:11" x14ac:dyDescent="0.25">
      <c r="H22" s="11" t="s">
        <v>248</v>
      </c>
      <c r="I22" s="11" t="s">
        <v>244</v>
      </c>
      <c r="J22" s="11" t="s">
        <v>257</v>
      </c>
      <c r="K22" t="s">
        <v>322</v>
      </c>
    </row>
    <row r="23" spans="1:11" x14ac:dyDescent="0.25">
      <c r="H23" s="6" t="s">
        <v>368</v>
      </c>
      <c r="I23" s="6" t="s">
        <v>729</v>
      </c>
      <c r="J23" s="6">
        <v>8</v>
      </c>
      <c r="K23" s="9">
        <v>1</v>
      </c>
    </row>
    <row r="24" spans="1:11" x14ac:dyDescent="0.25">
      <c r="H24" s="6" t="s">
        <v>286</v>
      </c>
      <c r="K24" s="9">
        <v>78</v>
      </c>
    </row>
    <row r="25" spans="1:11" x14ac:dyDescent="0.25">
      <c r="H25" s="6" t="s">
        <v>506</v>
      </c>
      <c r="K25" s="9">
        <v>1</v>
      </c>
    </row>
    <row r="26" spans="1:11" x14ac:dyDescent="0.25">
      <c r="H26" s="6" t="s">
        <v>316</v>
      </c>
      <c r="K26" s="9">
        <v>80</v>
      </c>
    </row>
    <row r="27" spans="1:11" x14ac:dyDescent="0.25">
      <c r="A27" s="53" t="s">
        <v>327</v>
      </c>
      <c r="B27" s="54" t="s">
        <v>328</v>
      </c>
      <c r="C27" s="54" t="s">
        <v>329</v>
      </c>
      <c r="D27" s="54" t="s">
        <v>330</v>
      </c>
    </row>
    <row r="28" spans="1:11" x14ac:dyDescent="0.25">
      <c r="A28" s="31">
        <v>45944</v>
      </c>
      <c r="B28" s="9">
        <f>COUNTIFS(Outbound!N:N,A28,Outbound!K:K,"Keyuser - Concluído ")</f>
        <v>2</v>
      </c>
      <c r="C28" s="9">
        <v>2</v>
      </c>
      <c r="D28" s="52">
        <f t="shared" ref="D28:D31" si="0">B28-C28</f>
        <v>0</v>
      </c>
    </row>
    <row r="29" spans="1:11" x14ac:dyDescent="0.25">
      <c r="A29" s="31">
        <f>A28+1</f>
        <v>45945</v>
      </c>
      <c r="B29" s="9">
        <f>COUNTIFS(Outbound!N:N,A29,Outbound!K:K,"Keyuser - Concluído ")</f>
        <v>7</v>
      </c>
      <c r="C29" s="9">
        <v>7</v>
      </c>
      <c r="D29" s="52">
        <f t="shared" si="0"/>
        <v>0</v>
      </c>
    </row>
    <row r="30" spans="1:11" x14ac:dyDescent="0.25">
      <c r="A30" s="31">
        <v>45946</v>
      </c>
      <c r="B30" s="9">
        <f>COUNTIFS(Outbound!N:N,A30,Outbound!K:K,"Keyuser - Concluído ")</f>
        <v>19</v>
      </c>
      <c r="C30" s="9">
        <v>22</v>
      </c>
      <c r="D30" s="52">
        <f t="shared" si="0"/>
        <v>-3</v>
      </c>
    </row>
    <row r="31" spans="1:11" x14ac:dyDescent="0.25">
      <c r="A31" s="31">
        <v>45947</v>
      </c>
      <c r="B31" s="9">
        <f>COUNTIFS(Outbound!N:N,A31,Outbound!K:K,"Keyuser - Concluído ")</f>
        <v>20</v>
      </c>
      <c r="C31" s="9">
        <v>26</v>
      </c>
      <c r="D31" s="52">
        <f t="shared" si="0"/>
        <v>-6</v>
      </c>
    </row>
    <row r="32" spans="1:11" x14ac:dyDescent="0.25">
      <c r="A32" s="31">
        <v>45950</v>
      </c>
      <c r="B32" s="9">
        <f>COUNTIFS(Outbound!N:N,A32,Outbound!K:K,"Keyuser - Concluído ")</f>
        <v>20</v>
      </c>
      <c r="C32" s="9">
        <v>24</v>
      </c>
      <c r="D32" s="52">
        <f t="shared" ref="D32:D60" si="1">B32-C32</f>
        <v>-4</v>
      </c>
    </row>
    <row r="33" spans="1:4" x14ac:dyDescent="0.25">
      <c r="A33" s="31">
        <v>45951</v>
      </c>
      <c r="B33" s="9">
        <f>COUNTIFS(Outbound!N:N,A33,Outbound!K:K,"Keyuser - Concluído ")</f>
        <v>19</v>
      </c>
      <c r="C33" s="9">
        <v>24</v>
      </c>
      <c r="D33" s="52">
        <f t="shared" si="1"/>
        <v>-5</v>
      </c>
    </row>
    <row r="34" spans="1:4" x14ac:dyDescent="0.25">
      <c r="A34" s="31">
        <v>45952</v>
      </c>
      <c r="B34" s="9">
        <f>COUNTIFS(Outbound!N:N,A34,Outbound!K:K,"Keyuser - Concluído ")</f>
        <v>24</v>
      </c>
      <c r="C34" s="9">
        <v>35</v>
      </c>
      <c r="D34" s="52">
        <f t="shared" si="1"/>
        <v>-11</v>
      </c>
    </row>
    <row r="35" spans="1:4" x14ac:dyDescent="0.25">
      <c r="A35" s="31">
        <v>45953</v>
      </c>
      <c r="B35" s="9">
        <f>COUNTIFS(Outbound!N:N,A35,Outbound!K:K,"Keyuser - Concluído ")</f>
        <v>10</v>
      </c>
      <c r="C35" s="9">
        <v>32</v>
      </c>
      <c r="D35" s="52">
        <f t="shared" si="1"/>
        <v>-22</v>
      </c>
    </row>
    <row r="36" spans="1:4" x14ac:dyDescent="0.25">
      <c r="A36" s="31">
        <v>45954</v>
      </c>
      <c r="B36" s="9">
        <f>COUNTIFS(Outbound!N:N,A36,Outbound!K:K,"Keyuser - Concluído ")</f>
        <v>9</v>
      </c>
      <c r="C36" s="52">
        <v>33</v>
      </c>
      <c r="D36" s="52">
        <f t="shared" si="1"/>
        <v>-24</v>
      </c>
    </row>
    <row r="37" spans="1:4" x14ac:dyDescent="0.25">
      <c r="A37" s="31">
        <v>45957</v>
      </c>
      <c r="B37" s="9">
        <f>COUNTIFS(Outbound!N:N,A37,Outbound!K:K,"Keyuser - Concluído ")</f>
        <v>23</v>
      </c>
      <c r="C37" s="52">
        <v>34</v>
      </c>
      <c r="D37" s="52">
        <f t="shared" si="1"/>
        <v>-11</v>
      </c>
    </row>
    <row r="38" spans="1:4" x14ac:dyDescent="0.25">
      <c r="A38" s="31">
        <v>45958</v>
      </c>
      <c r="B38" s="9">
        <f>COUNTIFS(Outbound!N:N,A38,Outbound!K:K,"Keyuser - Concluído ")</f>
        <v>52</v>
      </c>
      <c r="C38" s="52">
        <v>34</v>
      </c>
      <c r="D38" s="52">
        <f t="shared" si="1"/>
        <v>18</v>
      </c>
    </row>
    <row r="39" spans="1:4" x14ac:dyDescent="0.25">
      <c r="A39" s="31">
        <v>45959</v>
      </c>
      <c r="B39" s="9">
        <f>COUNTIFS(Outbound!N:N,A39,Outbound!K:K,"Keyuser - Concluído ")</f>
        <v>25</v>
      </c>
      <c r="C39" s="52">
        <v>32</v>
      </c>
      <c r="D39" s="52">
        <f t="shared" si="1"/>
        <v>-7</v>
      </c>
    </row>
    <row r="40" spans="1:4" x14ac:dyDescent="0.25">
      <c r="A40" s="31">
        <v>45960</v>
      </c>
      <c r="B40" s="9">
        <f>COUNTIFS(Outbound!N:N,A40,Outbound!K:K,"Keyuser - Concluído ")</f>
        <v>29</v>
      </c>
      <c r="C40" s="52">
        <v>32</v>
      </c>
      <c r="D40" s="52">
        <f t="shared" si="1"/>
        <v>-3</v>
      </c>
    </row>
    <row r="41" spans="1:4" x14ac:dyDescent="0.25">
      <c r="A41" s="31">
        <v>45961</v>
      </c>
      <c r="B41" s="9">
        <f>COUNTIFS(Outbound!N:N,A41,Outbound!K:K,"Keyuser - Concluído ")</f>
        <v>6</v>
      </c>
      <c r="C41" s="52">
        <v>33</v>
      </c>
      <c r="D41" s="52">
        <f t="shared" si="1"/>
        <v>-27</v>
      </c>
    </row>
    <row r="42" spans="1:4" x14ac:dyDescent="0.25">
      <c r="A42" s="31">
        <v>45964</v>
      </c>
      <c r="B42" s="9">
        <f>COUNTIFS(Outbound!N:N,A42,Outbound!K:K,"Keyuser - Concluído ")</f>
        <v>12</v>
      </c>
      <c r="C42" s="52">
        <v>33</v>
      </c>
      <c r="D42" s="52">
        <f t="shared" si="1"/>
        <v>-21</v>
      </c>
    </row>
    <row r="43" spans="1:4" x14ac:dyDescent="0.25">
      <c r="A43" s="31">
        <v>45965</v>
      </c>
      <c r="B43" s="9">
        <f>COUNTIFS(Outbound!N:N,A43,Outbound!K:K,"Keyuser - Concluído ")</f>
        <v>3</v>
      </c>
      <c r="C43" s="52">
        <v>35</v>
      </c>
      <c r="D43" s="52">
        <f t="shared" si="1"/>
        <v>-32</v>
      </c>
    </row>
    <row r="44" spans="1:4" x14ac:dyDescent="0.25">
      <c r="A44" s="31">
        <v>45966</v>
      </c>
      <c r="B44" s="9">
        <f>COUNTIFS(Outbound!N:N,A44,Outbound!K:K,"Keyuser - Concluído ")</f>
        <v>2</v>
      </c>
      <c r="C44" s="52">
        <v>35</v>
      </c>
      <c r="D44" s="52">
        <f t="shared" si="1"/>
        <v>-33</v>
      </c>
    </row>
    <row r="45" spans="1:4" x14ac:dyDescent="0.25">
      <c r="A45" s="31">
        <v>45967</v>
      </c>
      <c r="B45" s="9">
        <f>COUNTIFS(Outbound!N:N,A45,Outbound!K:K,"Keyuser - Concluído ")</f>
        <v>2</v>
      </c>
      <c r="C45" s="52">
        <v>40</v>
      </c>
      <c r="D45" s="52">
        <f t="shared" si="1"/>
        <v>-38</v>
      </c>
    </row>
    <row r="46" spans="1:4" x14ac:dyDescent="0.25">
      <c r="A46" s="31">
        <v>45968</v>
      </c>
      <c r="B46" s="9">
        <f>COUNTIFS(Outbound!N:N,A46,Outbound!K:K,"Keyuser - Concluído ")</f>
        <v>4</v>
      </c>
      <c r="C46" s="52">
        <v>43</v>
      </c>
      <c r="D46" s="52">
        <f t="shared" si="1"/>
        <v>-39</v>
      </c>
    </row>
    <row r="47" spans="1:4" x14ac:dyDescent="0.25">
      <c r="A47" s="31">
        <v>45969</v>
      </c>
      <c r="B47" s="9">
        <f>COUNTIFS(Outbound!N:N,A47,Outbound!K:K,"Keyuser - Concluído ")</f>
        <v>2</v>
      </c>
      <c r="C47" s="52">
        <v>43</v>
      </c>
      <c r="D47" s="52">
        <f t="shared" si="1"/>
        <v>-41</v>
      </c>
    </row>
    <row r="48" spans="1:4" x14ac:dyDescent="0.25">
      <c r="A48" s="31">
        <v>45971</v>
      </c>
      <c r="B48" s="9">
        <f>COUNTIFS(Outbound!N:N,A48,Outbound!K:K,"Keyuser - Concluído ")</f>
        <v>12</v>
      </c>
      <c r="C48" s="52">
        <v>46</v>
      </c>
      <c r="D48" s="52">
        <f t="shared" si="1"/>
        <v>-34</v>
      </c>
    </row>
    <row r="49" spans="1:4" x14ac:dyDescent="0.25">
      <c r="A49" s="31">
        <v>45972</v>
      </c>
      <c r="B49" s="9">
        <f>COUNTIFS(Outbound!N:N,A49,Outbound!K:K,"Keyuser - Concluído ")</f>
        <v>10</v>
      </c>
      <c r="C49" s="52">
        <v>50</v>
      </c>
      <c r="D49" s="52">
        <f t="shared" si="1"/>
        <v>-40</v>
      </c>
    </row>
    <row r="50" spans="1:4" x14ac:dyDescent="0.25">
      <c r="A50" s="31">
        <v>45973</v>
      </c>
      <c r="B50" s="9">
        <f>COUNTIFS(Outbound!N:N,A50,Outbound!K:K,"Keyuser - Concluído ")</f>
        <v>7</v>
      </c>
      <c r="C50" s="52">
        <v>53</v>
      </c>
      <c r="D50" s="52">
        <f t="shared" si="1"/>
        <v>-46</v>
      </c>
    </row>
    <row r="51" spans="1:4" x14ac:dyDescent="0.25">
      <c r="A51" s="31">
        <v>45974</v>
      </c>
      <c r="B51" s="9">
        <f>COUNTIFS(Outbound!N:N,A51,Outbound!K:K,"Keyuser - Concluído ")</f>
        <v>6</v>
      </c>
      <c r="C51" s="52">
        <v>54</v>
      </c>
      <c r="D51" s="52">
        <f t="shared" si="1"/>
        <v>-48</v>
      </c>
    </row>
    <row r="52" spans="1:4" x14ac:dyDescent="0.25">
      <c r="A52" s="31">
        <v>45975</v>
      </c>
      <c r="B52" s="9">
        <f>COUNTIFS(Outbound!N:N,A52,Outbound!K:K,"Keyuser - Concluído ")</f>
        <v>4</v>
      </c>
      <c r="C52" s="52">
        <v>61</v>
      </c>
      <c r="D52" s="52">
        <f t="shared" si="1"/>
        <v>-57</v>
      </c>
    </row>
    <row r="53" spans="1:4" x14ac:dyDescent="0.25">
      <c r="A53" s="31">
        <v>45978</v>
      </c>
      <c r="B53" s="9">
        <f>COUNTIFS(Outbound!N:N,A53,Outbound!K:K,"Keyuser - Concluído ")</f>
        <v>5</v>
      </c>
      <c r="C53" s="52">
        <v>73</v>
      </c>
      <c r="D53" s="52">
        <f t="shared" si="1"/>
        <v>-68</v>
      </c>
    </row>
    <row r="54" spans="1:4" x14ac:dyDescent="0.25">
      <c r="A54" s="31">
        <v>45979</v>
      </c>
      <c r="B54" s="9">
        <f>COUNTIFS(Outbound!N:N,A54,Outbound!K:K,"Keyuser - Concluído ")</f>
        <v>11</v>
      </c>
      <c r="C54" s="52">
        <v>92</v>
      </c>
      <c r="D54" s="52">
        <f t="shared" si="1"/>
        <v>-81</v>
      </c>
    </row>
    <row r="55" spans="1:4" x14ac:dyDescent="0.25">
      <c r="A55" s="31">
        <v>45980</v>
      </c>
      <c r="B55" s="9">
        <f>COUNTIFS(Outbound!N:N,A55,Outbound!K:K,"Keyuser - Concluído ")</f>
        <v>7</v>
      </c>
      <c r="C55" s="52">
        <v>118</v>
      </c>
      <c r="D55" s="52">
        <f t="shared" si="1"/>
        <v>-111</v>
      </c>
    </row>
    <row r="56" spans="1:4" x14ac:dyDescent="0.25">
      <c r="A56" s="31">
        <v>45981</v>
      </c>
      <c r="B56" s="9">
        <f>COUNTIFS(Outbound!N:N,A56,Outbound!K:K,"Keyuser - Concluído ")</f>
        <v>0</v>
      </c>
      <c r="C56" s="52">
        <v>118</v>
      </c>
      <c r="D56" s="52">
        <f t="shared" si="1"/>
        <v>-118</v>
      </c>
    </row>
    <row r="57" spans="1:4" x14ac:dyDescent="0.25">
      <c r="A57" s="31">
        <v>45982</v>
      </c>
      <c r="B57" s="9">
        <f>COUNTIFS(Outbound!N:N,A57,Outbound!K:K,"Keyuser - Concluído ")</f>
        <v>6</v>
      </c>
      <c r="C57" s="52">
        <v>236</v>
      </c>
      <c r="D57" s="52">
        <f t="shared" si="1"/>
        <v>-230</v>
      </c>
    </row>
    <row r="58" spans="1:4" x14ac:dyDescent="0.25">
      <c r="A58" s="31">
        <v>45983</v>
      </c>
      <c r="B58" s="9">
        <f>COUNTIFS(Outbound!N:N,A58,Outbound!K:K,"Keyuser - Concluído ")</f>
        <v>0</v>
      </c>
      <c r="C58" s="52">
        <v>236</v>
      </c>
      <c r="D58" s="52">
        <f t="shared" si="1"/>
        <v>-236</v>
      </c>
    </row>
    <row r="59" spans="1:4" x14ac:dyDescent="0.25">
      <c r="A59" s="31">
        <v>45984</v>
      </c>
      <c r="B59" s="9">
        <f>COUNTIFS(Outbound!N:N,A59,Outbound!K:K,"Keyuser - Concluído ")</f>
        <v>0</v>
      </c>
      <c r="C59" s="52">
        <v>236</v>
      </c>
      <c r="D59" s="52">
        <f t="shared" si="1"/>
        <v>-236</v>
      </c>
    </row>
    <row r="60" spans="1:4" x14ac:dyDescent="0.25">
      <c r="A60" s="31">
        <v>45985</v>
      </c>
      <c r="B60" s="9">
        <f>COUNTIFS(Outbound!N:N,A60,Outbound!K:K,"Keyuser - Concluído ")</f>
        <v>4</v>
      </c>
      <c r="C60" s="52">
        <v>23</v>
      </c>
      <c r="D60" s="52">
        <f t="shared" si="1"/>
        <v>-19</v>
      </c>
    </row>
    <row r="61" spans="1:4" x14ac:dyDescent="0.25">
      <c r="A61" s="31">
        <v>45986</v>
      </c>
      <c r="B61" s="9">
        <f>COUNTIFS(Outbound!N:N,A61,Outbound!K:K,"Keyuser - Concluído ")</f>
        <v>30</v>
      </c>
      <c r="C61" s="52">
        <v>24</v>
      </c>
      <c r="D61" s="52">
        <f t="shared" ref="D61" si="2">B61-C61</f>
        <v>6</v>
      </c>
    </row>
    <row r="62" spans="1:4" ht="14.25" customHeight="1" x14ac:dyDescent="0.25">
      <c r="A62" s="31">
        <v>45987</v>
      </c>
      <c r="B62" s="9">
        <f>COUNTIFS(Outbound!N:N,A62,Outbound!K:K,"Keyuser - Concluído ")</f>
        <v>4</v>
      </c>
      <c r="C62" s="52">
        <v>25</v>
      </c>
      <c r="D62" s="52">
        <f t="shared" ref="D62:D69" si="3">B62-C62</f>
        <v>-21</v>
      </c>
    </row>
    <row r="63" spans="1:4" ht="14.25" customHeight="1" x14ac:dyDescent="0.25">
      <c r="A63" s="31">
        <v>45988</v>
      </c>
      <c r="B63" s="9">
        <f>COUNTIFS(Outbound!N:N,A63,Outbound!K:K,"Keyuser - Concluído ")</f>
        <v>10</v>
      </c>
      <c r="C63" s="52">
        <v>26</v>
      </c>
      <c r="D63" s="52">
        <f t="shared" si="3"/>
        <v>-16</v>
      </c>
    </row>
    <row r="64" spans="1:4" ht="14.25" customHeight="1" x14ac:dyDescent="0.25">
      <c r="A64" s="31">
        <v>45989</v>
      </c>
      <c r="B64" s="9">
        <f>COUNTIFS(Outbound!N:N,A64,Outbound!K:K,"Keyuser - Concluído ")</f>
        <v>16</v>
      </c>
      <c r="C64" s="52">
        <v>27</v>
      </c>
      <c r="D64" s="52">
        <f t="shared" si="3"/>
        <v>-11</v>
      </c>
    </row>
    <row r="65" spans="1:17" ht="14.25" customHeight="1" x14ac:dyDescent="0.25">
      <c r="A65" s="31">
        <v>45990</v>
      </c>
      <c r="B65" s="9">
        <f>COUNTIFS(Outbound!N:N,A65,Outbound!K:K,"Keyuser - Concluído ")</f>
        <v>0</v>
      </c>
      <c r="C65" s="52">
        <v>28</v>
      </c>
      <c r="D65" s="52">
        <f t="shared" si="3"/>
        <v>-28</v>
      </c>
    </row>
    <row r="66" spans="1:17" ht="14.25" customHeight="1" x14ac:dyDescent="0.25">
      <c r="A66" s="31">
        <v>45991</v>
      </c>
      <c r="B66" s="9">
        <f>COUNTIFS(Outbound!N:N,A66,Outbound!K:K,"Keyuser - Concluído ")</f>
        <v>0</v>
      </c>
      <c r="C66" s="52">
        <v>29</v>
      </c>
      <c r="D66" s="52">
        <f t="shared" si="3"/>
        <v>-29</v>
      </c>
    </row>
    <row r="67" spans="1:17" ht="14.25" customHeight="1" x14ac:dyDescent="0.25">
      <c r="A67" s="31">
        <v>45992</v>
      </c>
      <c r="B67" s="9">
        <f>COUNTIFS(Outbound!N:N,A67,Outbound!K:K,"Keyuser - Concluído ")</f>
        <v>5</v>
      </c>
      <c r="C67" s="52">
        <v>30</v>
      </c>
      <c r="D67" s="52">
        <f t="shared" si="3"/>
        <v>-25</v>
      </c>
    </row>
    <row r="68" spans="1:17" ht="14.25" customHeight="1" x14ac:dyDescent="0.25">
      <c r="A68" s="31">
        <v>45993</v>
      </c>
      <c r="B68" s="9">
        <f>COUNTIFS(Outbound!N:N,A68,Outbound!K:K,"Keyuser - Concluído ")</f>
        <v>6</v>
      </c>
      <c r="C68" s="52">
        <v>40</v>
      </c>
      <c r="D68" s="52">
        <f t="shared" si="3"/>
        <v>-34</v>
      </c>
    </row>
    <row r="69" spans="1:17" ht="14.25" customHeight="1" x14ac:dyDescent="0.25">
      <c r="A69" s="31">
        <v>45994</v>
      </c>
      <c r="B69" s="9">
        <f>COUNTIFS(Outbound!N:N,A69,Outbound!K:K,"Keyuser - Concluído ")</f>
        <v>11</v>
      </c>
      <c r="C69" s="52">
        <v>20</v>
      </c>
      <c r="D69" s="52">
        <f t="shared" si="3"/>
        <v>-9</v>
      </c>
    </row>
    <row r="70" spans="1:17" ht="14.25" customHeight="1" x14ac:dyDescent="0.25">
      <c r="A70" s="31">
        <v>45995</v>
      </c>
      <c r="B70" s="9">
        <f>COUNTIFS(Outbound!N:N,A70,Outbound!K:K,"Keyuser - Concluído ")</f>
        <v>15</v>
      </c>
      <c r="C70" s="52">
        <v>21</v>
      </c>
      <c r="D70" s="52">
        <f t="shared" ref="D70:D75" si="4">B70-C70</f>
        <v>-6</v>
      </c>
    </row>
    <row r="71" spans="1:17" ht="14.25" customHeight="1" x14ac:dyDescent="0.25">
      <c r="A71" s="31">
        <v>45996</v>
      </c>
      <c r="B71" s="9">
        <f>COUNTIFS(Outbound!N:N,A71,Outbound!K:K,"Keyuser - Concluído ")</f>
        <v>18</v>
      </c>
      <c r="C71" s="52">
        <v>23</v>
      </c>
      <c r="D71" s="52">
        <f t="shared" si="4"/>
        <v>-5</v>
      </c>
    </row>
    <row r="72" spans="1:17" ht="14.25" customHeight="1" x14ac:dyDescent="0.25">
      <c r="A72" s="31">
        <v>45999</v>
      </c>
      <c r="B72" s="9">
        <f>COUNTIFS(Outbound!N:N,A72,Outbound!K:K,"Keyuser - Concluído ")</f>
        <v>0</v>
      </c>
      <c r="C72" s="52">
        <v>23</v>
      </c>
      <c r="D72" s="52">
        <f t="shared" si="4"/>
        <v>-23</v>
      </c>
    </row>
    <row r="73" spans="1:17" ht="14.25" customHeight="1" x14ac:dyDescent="0.25">
      <c r="A73" s="31">
        <v>46000</v>
      </c>
      <c r="B73" s="9">
        <f>COUNTIFS(Outbound!N:N,A73,Outbound!K:K,"Keyuser - Concluído ")</f>
        <v>4</v>
      </c>
      <c r="C73" s="52">
        <v>26</v>
      </c>
      <c r="D73" s="52">
        <f t="shared" si="4"/>
        <v>-22</v>
      </c>
    </row>
    <row r="74" spans="1:17" ht="14.25" customHeight="1" x14ac:dyDescent="0.25">
      <c r="A74" s="31">
        <v>46001</v>
      </c>
      <c r="B74" s="9">
        <f>COUNTIFS(Outbound!N:N,A74,Outbound!K:K,"Keyuser - Concluído ")</f>
        <v>18</v>
      </c>
      <c r="C74" s="52">
        <v>27</v>
      </c>
      <c r="D74" s="52">
        <f t="shared" si="4"/>
        <v>-9</v>
      </c>
    </row>
    <row r="75" spans="1:17" ht="14.25" customHeight="1" x14ac:dyDescent="0.25">
      <c r="A75" s="31">
        <v>46002</v>
      </c>
      <c r="B75" s="9">
        <f>COUNTIFS(Outbound!N:N,A75,Outbound!K:K,"Keyuser - Concluído ")</f>
        <v>5</v>
      </c>
      <c r="C75" s="52">
        <v>42</v>
      </c>
      <c r="D75" s="52">
        <f t="shared" si="4"/>
        <v>-37</v>
      </c>
    </row>
    <row r="76" spans="1:17" ht="14.25" customHeight="1" x14ac:dyDescent="0.25">
      <c r="A76" s="31"/>
      <c r="B76" s="9"/>
      <c r="C76" s="52"/>
      <c r="D76" s="52"/>
    </row>
    <row r="77" spans="1:17" ht="14.25" customHeight="1" x14ac:dyDescent="0.25">
      <c r="A77" s="31"/>
      <c r="B77" s="9"/>
      <c r="C77" s="52"/>
      <c r="D77" s="52"/>
    </row>
    <row r="78" spans="1:17" ht="14.25" customHeight="1" x14ac:dyDescent="0.25">
      <c r="A78" s="31"/>
      <c r="B78" s="9"/>
      <c r="C78" s="52"/>
      <c r="D78" s="52"/>
    </row>
    <row r="79" spans="1:17" ht="14.25" customHeight="1" x14ac:dyDescent="0.25">
      <c r="A79" s="6"/>
      <c r="B79" s="9"/>
    </row>
    <row r="80" spans="1:17" ht="28.5" x14ac:dyDescent="0.45">
      <c r="A80" s="30" t="s">
        <v>337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Q80" s="59"/>
    </row>
    <row r="82" spans="1:10" x14ac:dyDescent="0.25">
      <c r="A82" s="11" t="s">
        <v>252</v>
      </c>
      <c r="B82" t="s">
        <v>728</v>
      </c>
      <c r="F82" s="11" t="s">
        <v>252</v>
      </c>
      <c r="G82" s="59" t="s">
        <v>261</v>
      </c>
    </row>
    <row r="83" spans="1:10" x14ac:dyDescent="0.25">
      <c r="A83" s="11" t="s">
        <v>245</v>
      </c>
      <c r="B83" t="s">
        <v>728</v>
      </c>
      <c r="F83" s="11" t="s">
        <v>245</v>
      </c>
      <c r="G83" t="s">
        <v>358</v>
      </c>
    </row>
    <row r="85" spans="1:10" x14ac:dyDescent="0.25">
      <c r="A85" s="11" t="s">
        <v>248</v>
      </c>
      <c r="B85" s="11" t="s">
        <v>244</v>
      </c>
      <c r="C85" s="11" t="s">
        <v>1</v>
      </c>
      <c r="D85" t="s">
        <v>314</v>
      </c>
      <c r="F85" s="11" t="s">
        <v>248</v>
      </c>
      <c r="G85" s="11" t="s">
        <v>244</v>
      </c>
      <c r="H85" s="11" t="s">
        <v>24</v>
      </c>
      <c r="I85" s="11" t="s">
        <v>1</v>
      </c>
      <c r="J85" t="s">
        <v>314</v>
      </c>
    </row>
    <row r="86" spans="1:10" x14ac:dyDescent="0.25">
      <c r="A86" t="s">
        <v>316</v>
      </c>
      <c r="F86" s="6" t="s">
        <v>283</v>
      </c>
      <c r="G86" s="6" t="s">
        <v>730</v>
      </c>
      <c r="H86" s="6" t="s">
        <v>373</v>
      </c>
      <c r="I86" s="6" t="s">
        <v>688</v>
      </c>
      <c r="J86" s="9">
        <v>1</v>
      </c>
    </row>
    <row r="87" spans="1:10" x14ac:dyDescent="0.25">
      <c r="F87" s="6" t="s">
        <v>287</v>
      </c>
      <c r="G87" s="6" t="s">
        <v>731</v>
      </c>
      <c r="H87" s="6" t="s">
        <v>371</v>
      </c>
      <c r="I87" s="6" t="s">
        <v>688</v>
      </c>
      <c r="J87" s="9">
        <v>1</v>
      </c>
    </row>
    <row r="88" spans="1:10" x14ac:dyDescent="0.25">
      <c r="F88" s="6" t="s">
        <v>367</v>
      </c>
      <c r="G88" s="6" t="s">
        <v>732</v>
      </c>
      <c r="H88" s="6" t="s">
        <v>375</v>
      </c>
      <c r="I88" s="6" t="s">
        <v>688</v>
      </c>
      <c r="J88" s="9">
        <v>1</v>
      </c>
    </row>
    <row r="89" spans="1:10" x14ac:dyDescent="0.25">
      <c r="F89" s="6" t="s">
        <v>316</v>
      </c>
      <c r="J89" s="9">
        <v>3</v>
      </c>
    </row>
    <row r="99" ht="14.65" customHeight="1" x14ac:dyDescent="0.25"/>
    <row r="100" ht="14.65" customHeight="1" x14ac:dyDescent="0.25"/>
    <row r="101" ht="14.65" customHeight="1" x14ac:dyDescent="0.25"/>
    <row r="102" ht="14.65" customHeight="1" x14ac:dyDescent="0.25"/>
    <row r="103" ht="14.65" customHeight="1" x14ac:dyDescent="0.25"/>
    <row r="104" ht="14.65" customHeight="1" x14ac:dyDescent="0.25"/>
    <row r="105" ht="14.65" customHeight="1" x14ac:dyDescent="0.25"/>
    <row r="106" ht="14.65" customHeight="1" x14ac:dyDescent="0.25"/>
    <row r="107" ht="14.65" customHeight="1" x14ac:dyDescent="0.25"/>
    <row r="108" ht="14.65" customHeight="1" x14ac:dyDescent="0.25"/>
    <row r="109" ht="14.65" customHeight="1" x14ac:dyDescent="0.25"/>
    <row r="110" ht="14.65" customHeight="1" x14ac:dyDescent="0.25"/>
    <row r="111" ht="14.65" customHeight="1" x14ac:dyDescent="0.25"/>
    <row r="112" ht="14.65" customHeight="1" x14ac:dyDescent="0.25"/>
    <row r="113" spans="1:13" ht="14.65" customHeight="1" x14ac:dyDescent="0.25"/>
    <row r="114" spans="1:13" ht="14.65" customHeight="1" x14ac:dyDescent="0.25"/>
    <row r="115" spans="1:13" ht="14.65" customHeight="1" x14ac:dyDescent="0.25"/>
    <row r="116" spans="1:13" ht="14.65" customHeight="1" x14ac:dyDescent="0.25"/>
    <row r="117" spans="1:13" ht="14.65" customHeight="1" x14ac:dyDescent="0.25"/>
    <row r="118" spans="1:13" ht="14.65" customHeight="1" x14ac:dyDescent="0.25"/>
    <row r="119" spans="1:13" ht="14.65" customHeight="1" x14ac:dyDescent="0.25"/>
    <row r="120" spans="1:13" ht="14.65" customHeight="1" x14ac:dyDescent="0.25"/>
    <row r="123" spans="1:13" ht="28.5" x14ac:dyDescent="0.45">
      <c r="A123" s="30" t="s">
        <v>354</v>
      </c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</row>
    <row r="124" spans="1:13" ht="28.5" x14ac:dyDescent="0.45">
      <c r="A124" s="39"/>
      <c r="B124" s="39"/>
      <c r="C124" s="39"/>
      <c r="D124" s="39"/>
      <c r="E124" s="39"/>
      <c r="F124" s="39"/>
      <c r="G124" s="39"/>
      <c r="M124" s="39"/>
    </row>
    <row r="125" spans="1:13" x14ac:dyDescent="0.25">
      <c r="A125" s="11" t="s">
        <v>252</v>
      </c>
      <c r="B125" s="38" t="s">
        <v>728</v>
      </c>
      <c r="C125" t="s">
        <v>356</v>
      </c>
    </row>
    <row r="127" spans="1:13" x14ac:dyDescent="0.25">
      <c r="A127" s="11" t="s">
        <v>248</v>
      </c>
      <c r="B127" s="11" t="s">
        <v>244</v>
      </c>
      <c r="C127" s="11" t="s">
        <v>19</v>
      </c>
      <c r="D127" t="s">
        <v>314</v>
      </c>
    </row>
    <row r="128" spans="1:13" x14ac:dyDescent="0.25">
      <c r="A128" s="6" t="s">
        <v>316</v>
      </c>
      <c r="D128" s="9"/>
    </row>
    <row r="133" spans="1:4" x14ac:dyDescent="0.25">
      <c r="D133" s="9"/>
    </row>
    <row r="138" spans="1:4" x14ac:dyDescent="0.25">
      <c r="A138" s="11" t="s">
        <v>252</v>
      </c>
      <c r="B138" t="s">
        <v>728</v>
      </c>
      <c r="C138" t="s">
        <v>733</v>
      </c>
    </row>
    <row r="140" spans="1:4" x14ac:dyDescent="0.25">
      <c r="A140" s="11" t="s">
        <v>248</v>
      </c>
      <c r="B140" s="11" t="s">
        <v>19</v>
      </c>
      <c r="C140" t="s">
        <v>314</v>
      </c>
    </row>
    <row r="141" spans="1:4" x14ac:dyDescent="0.25">
      <c r="A141" s="6" t="s">
        <v>316</v>
      </c>
    </row>
    <row r="146" spans="1:4" x14ac:dyDescent="0.25">
      <c r="A146" s="11" t="s">
        <v>252</v>
      </c>
      <c r="B146" t="s">
        <v>690</v>
      </c>
      <c r="C146" t="s">
        <v>734</v>
      </c>
    </row>
    <row r="148" spans="1:4" x14ac:dyDescent="0.25">
      <c r="A148" s="11" t="s">
        <v>248</v>
      </c>
      <c r="B148" s="11" t="s">
        <v>244</v>
      </c>
      <c r="C148" s="11" t="s">
        <v>1</v>
      </c>
      <c r="D148" t="s">
        <v>314</v>
      </c>
    </row>
    <row r="149" spans="1:4" x14ac:dyDescent="0.25">
      <c r="A149" t="s">
        <v>377</v>
      </c>
      <c r="B149" t="s">
        <v>729</v>
      </c>
      <c r="C149" t="s">
        <v>688</v>
      </c>
      <c r="D149">
        <v>1</v>
      </c>
    </row>
    <row r="150" spans="1:4" x14ac:dyDescent="0.25">
      <c r="A150" t="s">
        <v>316</v>
      </c>
      <c r="D150">
        <v>1</v>
      </c>
    </row>
  </sheetData>
  <conditionalFormatting pivot="1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{5C92B3F9-2884-45BE-AAFF-9492942D3652}</x14:id>
        </ext>
      </extLst>
    </cfRule>
  </conditionalFormatting>
  <conditionalFormatting pivot="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{9A97FA2C-B000-4E97-BD9F-597F484DFF7E}</x14:id>
        </ext>
      </extLst>
    </cfRule>
  </conditionalFormatting>
  <conditionalFormatting sqref="E228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{B70B21EA-6148-4046-8C10-E19B2F429A92}</x14:id>
        </ext>
      </extLst>
    </cfRule>
  </conditionalFormatting>
  <conditionalFormatting pivot="1" sqref="I7:I8 I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{8ADA1EDA-4040-49B4-A136-C082EBC6405B}</x14:id>
        </ext>
      </extLst>
    </cfRule>
  </conditionalFormatting>
  <conditionalFormatting pivot="1" sqref="I4:I5 I7:I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{186C8D1A-4A79-4331-9F6A-D4C946A50152}</x14:id>
        </ext>
      </extLst>
    </cfRule>
  </conditionalFormatting>
  <conditionalFormatting sqref="U144:U147 U14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{18AD1357-B022-4A5D-954F-843E720E53B8}</x14:id>
        </ext>
      </extLst>
    </cfRule>
  </conditionalFormatting>
  <conditionalFormatting sqref="U146:U148 U14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{AAE86F32-75B5-4069-AD2B-A78D5B149BDF}</x14:id>
        </ext>
      </extLst>
    </cfRule>
  </conditionalFormatting>
  <conditionalFormatting pivot="1" sqref="I4:I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{C478350A-AAC0-4476-8FE2-F2C6E558C23D}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8"/>
  <drawing r:id="rId9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C92B3F9-2884-45BE-AAFF-9492942D36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9A97FA2C-B000-4E97-BD9F-597F484DFF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>
          <x14:cfRule type="dataBar" id="{B70B21EA-6148-4046-8C10-E19B2F429A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E228</xm:sqref>
        </x14:conditionalFormatting>
        <x14:conditionalFormatting xmlns:xm="http://schemas.microsoft.com/office/excel/2006/main" pivot="1">
          <x14:cfRule type="dataBar" id="{8ADA1EDA-4040-49B4-A136-C082EBC640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I7:I8 I5</xm:sqref>
        </x14:conditionalFormatting>
        <x14:conditionalFormatting xmlns:xm="http://schemas.microsoft.com/office/excel/2006/main" pivot="1">
          <x14:cfRule type="dataBar" id="{186C8D1A-4A79-4331-9F6A-D4C946A501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I4:I5 I7:I8</xm:sqref>
        </x14:conditionalFormatting>
        <x14:conditionalFormatting xmlns:xm="http://schemas.microsoft.com/office/excel/2006/main">
          <x14:cfRule type="dataBar" id="{18AD1357-B022-4A5D-954F-843E720E53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U144:U147 U149</xm:sqref>
        </x14:conditionalFormatting>
        <x14:conditionalFormatting xmlns:xm="http://schemas.microsoft.com/office/excel/2006/main">
          <x14:cfRule type="dataBar" id="{AAE86F32-75B5-4069-AD2B-A78D5B149B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U146:U148 U144</xm:sqref>
        </x14:conditionalFormatting>
        <x14:conditionalFormatting xmlns:xm="http://schemas.microsoft.com/office/excel/2006/main" pivot="1">
          <x14:cfRule type="dataBar" id="{C478350A-AAC0-4476-8FE2-F2C6E558C2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I4:I7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8076-94A2-433C-87E5-C17D078CC9EA}">
  <sheetPr codeName="Planilha5"/>
  <dimension ref="A1:L155"/>
  <sheetViews>
    <sheetView zoomScale="80" zoomScaleNormal="80" workbookViewId="0">
      <selection activeCell="C164" sqref="C164"/>
    </sheetView>
  </sheetViews>
  <sheetFormatPr defaultColWidth="9.42578125" defaultRowHeight="15" customHeight="1" x14ac:dyDescent="0.25"/>
  <cols>
    <col min="1" max="1" width="11.42578125" bestFit="1" customWidth="1"/>
    <col min="2" max="2" width="49.5703125" customWidth="1"/>
    <col min="3" max="3" width="41.5703125" customWidth="1"/>
    <col min="4" max="4" width="19.5703125" customWidth="1"/>
    <col min="5" max="5" width="21.5703125" customWidth="1"/>
    <col min="6" max="6" width="13.5703125" bestFit="1" customWidth="1"/>
    <col min="7" max="7" width="34.5703125" bestFit="1" customWidth="1"/>
    <col min="8" max="8" width="20.5703125" bestFit="1" customWidth="1"/>
    <col min="9" max="9" width="12.5703125" customWidth="1"/>
    <col min="10" max="10" width="21.5703125" style="76" bestFit="1" customWidth="1"/>
    <col min="11" max="11" width="159.42578125" style="6" bestFit="1" customWidth="1"/>
  </cols>
  <sheetData>
    <row r="1" spans="1:12" x14ac:dyDescent="0.25">
      <c r="A1" t="s">
        <v>244</v>
      </c>
      <c r="B1" t="s">
        <v>1</v>
      </c>
      <c r="C1" s="61" t="s">
        <v>24</v>
      </c>
      <c r="D1" s="61" t="s">
        <v>248</v>
      </c>
      <c r="E1" s="7" t="s">
        <v>735</v>
      </c>
      <c r="F1" s="7" t="s">
        <v>250</v>
      </c>
      <c r="G1" t="s">
        <v>252</v>
      </c>
      <c r="H1" s="9" t="s">
        <v>253</v>
      </c>
      <c r="I1" s="9" t="s">
        <v>254</v>
      </c>
      <c r="J1" s="8" t="s">
        <v>255</v>
      </c>
      <c r="K1" s="31" t="s">
        <v>19</v>
      </c>
      <c r="L1" s="17" t="s">
        <v>256</v>
      </c>
    </row>
    <row r="2" spans="1:12" x14ac:dyDescent="0.25">
      <c r="A2" t="str">
        <f>"INB-"&amp;MID(Tabela3[[#This Row],[Cenário]],1,2)&amp;"_"&amp;ROW()</f>
        <v>INB-G5_2</v>
      </c>
      <c r="B2" t="s">
        <v>736</v>
      </c>
      <c r="C2" s="6" t="s">
        <v>737</v>
      </c>
      <c r="D2" s="5" t="s">
        <v>308</v>
      </c>
      <c r="E2" s="5">
        <v>20823939</v>
      </c>
      <c r="F2">
        <v>20888620</v>
      </c>
      <c r="G2" t="s">
        <v>271</v>
      </c>
      <c r="H2" s="10">
        <v>45894</v>
      </c>
      <c r="I2" s="9"/>
      <c r="J2" s="8">
        <v>45894</v>
      </c>
    </row>
    <row r="3" spans="1:12" x14ac:dyDescent="0.25">
      <c r="A3" t="str">
        <f>"INB-"&amp;MID(Tabela3[[#This Row],[Cenário]],1,2)&amp;"_"&amp;ROW()</f>
        <v>INB-G5_3</v>
      </c>
      <c r="B3" t="s">
        <v>736</v>
      </c>
      <c r="C3" s="6" t="s">
        <v>738</v>
      </c>
      <c r="D3" s="5" t="s">
        <v>309</v>
      </c>
      <c r="E3" s="62">
        <v>4501888485</v>
      </c>
      <c r="F3">
        <v>4502047216</v>
      </c>
      <c r="G3" t="s">
        <v>271</v>
      </c>
      <c r="H3" s="10">
        <v>45894</v>
      </c>
      <c r="I3" s="9"/>
      <c r="J3" s="8">
        <v>45894</v>
      </c>
    </row>
    <row r="4" spans="1:12" x14ac:dyDescent="0.25">
      <c r="A4" t="str">
        <f>"INB-"&amp;MID(Tabela3[[#This Row],[Cenário]],1,2)&amp;"_"&amp;ROW()</f>
        <v>INB-G5_4</v>
      </c>
      <c r="B4" t="s">
        <v>736</v>
      </c>
      <c r="C4" s="6" t="s">
        <v>739</v>
      </c>
      <c r="D4" s="5" t="s">
        <v>310</v>
      </c>
      <c r="E4" s="62">
        <v>4501888485</v>
      </c>
      <c r="F4" s="5"/>
      <c r="G4" t="s">
        <v>271</v>
      </c>
      <c r="H4" s="10">
        <v>45894</v>
      </c>
      <c r="I4" s="9"/>
      <c r="J4" s="8">
        <v>45894</v>
      </c>
      <c r="K4" s="6" t="s">
        <v>740</v>
      </c>
    </row>
    <row r="5" spans="1:12" x14ac:dyDescent="0.25">
      <c r="A5" t="str">
        <f>"INB-"&amp;MID(Tabela3[[#This Row],[Cenário]],1,2)&amp;"_"&amp;ROW()</f>
        <v>INB-G5_5</v>
      </c>
      <c r="B5" t="s">
        <v>736</v>
      </c>
      <c r="C5" s="6" t="s">
        <v>741</v>
      </c>
      <c r="D5" s="5" t="s">
        <v>270</v>
      </c>
      <c r="E5" s="5">
        <v>183855890</v>
      </c>
      <c r="F5" s="5"/>
      <c r="G5" t="s">
        <v>271</v>
      </c>
      <c r="H5" s="10">
        <v>45986</v>
      </c>
      <c r="I5" s="9"/>
      <c r="J5" s="8">
        <v>45986</v>
      </c>
    </row>
    <row r="6" spans="1:12" x14ac:dyDescent="0.25">
      <c r="A6" t="str">
        <f>"INB-"&amp;MID(Tabela3[[#This Row],[Cenário]],1,2)&amp;"_"&amp;ROW()</f>
        <v>INB-G5_6</v>
      </c>
      <c r="B6" t="s">
        <v>736</v>
      </c>
      <c r="C6" s="6" t="s">
        <v>742</v>
      </c>
      <c r="D6" s="5" t="s">
        <v>270</v>
      </c>
      <c r="E6" s="5">
        <v>5026020869</v>
      </c>
      <c r="F6" s="5"/>
      <c r="G6" t="s">
        <v>271</v>
      </c>
      <c r="H6" s="10">
        <v>45986</v>
      </c>
      <c r="I6" s="9"/>
      <c r="J6" s="8">
        <v>45986</v>
      </c>
    </row>
    <row r="7" spans="1:12" x14ac:dyDescent="0.25">
      <c r="A7" t="str">
        <f>"INB-"&amp;MID(Tabela3[[#This Row],[Cenário]],1,2)&amp;"_"&amp;ROW()</f>
        <v>INB-G5_7</v>
      </c>
      <c r="B7" t="s">
        <v>736</v>
      </c>
      <c r="C7" s="6" t="s">
        <v>743</v>
      </c>
      <c r="D7" s="5" t="s">
        <v>311</v>
      </c>
      <c r="E7" s="63"/>
      <c r="F7" s="63"/>
      <c r="G7" t="s">
        <v>271</v>
      </c>
      <c r="H7" s="9"/>
      <c r="I7" s="9"/>
      <c r="J7" s="10">
        <v>45789</v>
      </c>
    </row>
    <row r="8" spans="1:12" x14ac:dyDescent="0.25">
      <c r="A8" t="str">
        <f>"INB-"&amp;MID(Tabela3[[#This Row],[Cenário]],1,2)&amp;"_"&amp;ROW()</f>
        <v>INB-G5_8</v>
      </c>
      <c r="B8" t="s">
        <v>736</v>
      </c>
      <c r="C8" s="6" t="s">
        <v>744</v>
      </c>
      <c r="D8" s="5" t="s">
        <v>270</v>
      </c>
      <c r="E8" s="5">
        <v>5109666465</v>
      </c>
      <c r="F8" s="5"/>
      <c r="G8" t="s">
        <v>271</v>
      </c>
      <c r="H8" s="10">
        <v>45986</v>
      </c>
      <c r="I8" s="9"/>
      <c r="J8" s="8">
        <v>45986</v>
      </c>
    </row>
    <row r="9" spans="1:12" x14ac:dyDescent="0.25">
      <c r="A9" t="str">
        <f>"INB-"&amp;MID(Tabela3[[#This Row],[Cenário]],1,2)&amp;"_"&amp;ROW()</f>
        <v>INB-G5_9</v>
      </c>
      <c r="B9" t="s">
        <v>736</v>
      </c>
      <c r="C9" s="6" t="s">
        <v>745</v>
      </c>
      <c r="D9" s="5" t="s">
        <v>312</v>
      </c>
      <c r="E9">
        <v>46482548</v>
      </c>
      <c r="F9" s="5"/>
      <c r="G9" t="s">
        <v>271</v>
      </c>
      <c r="H9" s="10">
        <v>45986</v>
      </c>
      <c r="I9" s="9"/>
      <c r="J9" s="8">
        <v>45986</v>
      </c>
    </row>
    <row r="10" spans="1:12" x14ac:dyDescent="0.25">
      <c r="A10" t="str">
        <f>"INB-"&amp;MID(Tabela3[[#This Row],[Cenário]],1,2)&amp;"_"&amp;ROW()</f>
        <v>INB-G5_10</v>
      </c>
      <c r="B10" t="s">
        <v>736</v>
      </c>
      <c r="C10" s="6" t="s">
        <v>373</v>
      </c>
      <c r="D10" s="5" t="s">
        <v>283</v>
      </c>
      <c r="E10">
        <v>46482548</v>
      </c>
      <c r="F10" s="5"/>
      <c r="G10" t="s">
        <v>271</v>
      </c>
      <c r="H10" s="10" t="s">
        <v>539</v>
      </c>
      <c r="I10" s="9"/>
      <c r="J10" s="8">
        <v>45986</v>
      </c>
    </row>
    <row r="11" spans="1:12" x14ac:dyDescent="0.25">
      <c r="A11" t="str">
        <f>"INB-"&amp;MID(Tabela3[[#This Row],[Cenário]],1,2)&amp;"_"&amp;ROW()</f>
        <v>INB-G5_11</v>
      </c>
      <c r="B11" t="s">
        <v>736</v>
      </c>
      <c r="C11" s="6" t="s">
        <v>286</v>
      </c>
      <c r="D11" s="5" t="s">
        <v>312</v>
      </c>
      <c r="E11" s="5"/>
      <c r="F11" s="5"/>
      <c r="G11" t="s">
        <v>262</v>
      </c>
      <c r="H11" s="10"/>
      <c r="I11" s="9"/>
      <c r="J11" s="8"/>
    </row>
    <row r="12" spans="1:12" x14ac:dyDescent="0.25">
      <c r="A12" t="str">
        <f>"INB-"&amp;MID(Tabela3[[#This Row],[Cenário]],1,2)&amp;"_"&amp;ROW()</f>
        <v>INB-G5_12</v>
      </c>
      <c r="B12" t="s">
        <v>736</v>
      </c>
      <c r="C12" s="6" t="s">
        <v>375</v>
      </c>
      <c r="D12" s="5" t="s">
        <v>285</v>
      </c>
      <c r="E12" s="5"/>
      <c r="F12" s="5"/>
      <c r="G12" t="s">
        <v>271</v>
      </c>
      <c r="H12" s="10">
        <v>45996</v>
      </c>
      <c r="I12" s="9"/>
      <c r="J12" s="10">
        <v>45996</v>
      </c>
      <c r="K12" s="6" t="s">
        <v>746</v>
      </c>
    </row>
    <row r="13" spans="1:12" x14ac:dyDescent="0.25">
      <c r="A13" t="str">
        <f>"INB-"&amp;MID(Tabela3[[#This Row],[Cenário]],1,2)&amp;"_"&amp;ROW()</f>
        <v>INB-C9_13</v>
      </c>
      <c r="B13" t="s">
        <v>747</v>
      </c>
      <c r="C13" s="6" t="s">
        <v>737</v>
      </c>
      <c r="D13" s="5" t="s">
        <v>308</v>
      </c>
      <c r="E13" s="62">
        <v>20823938</v>
      </c>
      <c r="F13">
        <v>20873836</v>
      </c>
      <c r="G13" t="s">
        <v>271</v>
      </c>
      <c r="H13" s="10">
        <v>45895</v>
      </c>
      <c r="I13" s="9"/>
      <c r="J13" s="8">
        <v>45895</v>
      </c>
      <c r="K13"/>
    </row>
    <row r="14" spans="1:12" x14ac:dyDescent="0.25">
      <c r="A14" t="str">
        <f>"INB-"&amp;MID(Tabela3[[#This Row],[Cenário]],1,2)&amp;"_"&amp;ROW()</f>
        <v>INB-C9_14</v>
      </c>
      <c r="B14" t="s">
        <v>747</v>
      </c>
      <c r="C14" s="6" t="s">
        <v>738</v>
      </c>
      <c r="D14" s="5" t="s">
        <v>309</v>
      </c>
      <c r="E14" s="5">
        <v>4501888489</v>
      </c>
      <c r="F14">
        <v>4502006931</v>
      </c>
      <c r="G14" t="s">
        <v>271</v>
      </c>
      <c r="H14" s="10">
        <v>45895</v>
      </c>
      <c r="I14" s="9"/>
      <c r="J14" s="8">
        <v>45895</v>
      </c>
      <c r="K14"/>
    </row>
    <row r="15" spans="1:12" x14ac:dyDescent="0.25">
      <c r="A15" t="str">
        <f>"INB-"&amp;MID(Tabela3[[#This Row],[Cenário]],1,2)&amp;"_"&amp;ROW()</f>
        <v>INB-C9_15</v>
      </c>
      <c r="B15" t="s">
        <v>747</v>
      </c>
      <c r="C15" s="6" t="s">
        <v>739</v>
      </c>
      <c r="D15" s="5" t="s">
        <v>310</v>
      </c>
      <c r="E15" s="5">
        <v>4501888489</v>
      </c>
      <c r="F15" s="62"/>
      <c r="G15" t="s">
        <v>271</v>
      </c>
      <c r="H15" s="10">
        <v>45895</v>
      </c>
      <c r="I15" s="9"/>
      <c r="J15" s="8">
        <v>45895</v>
      </c>
      <c r="K15"/>
    </row>
    <row r="16" spans="1:12" x14ac:dyDescent="0.25">
      <c r="A16" t="str">
        <f>"INB-"&amp;MID(Tabela3[[#This Row],[Cenário]],1,2)&amp;"_"&amp;ROW()</f>
        <v>INB-C9_16</v>
      </c>
      <c r="B16" t="s">
        <v>747</v>
      </c>
      <c r="C16" s="6" t="s">
        <v>741</v>
      </c>
      <c r="D16" s="5" t="s">
        <v>270</v>
      </c>
      <c r="E16" s="5">
        <v>183855853</v>
      </c>
      <c r="F16" s="5"/>
      <c r="G16" t="s">
        <v>271</v>
      </c>
      <c r="H16" s="10">
        <v>45973</v>
      </c>
      <c r="I16" s="9"/>
      <c r="J16" s="8">
        <v>45973</v>
      </c>
      <c r="K16"/>
    </row>
    <row r="17" spans="1:11" x14ac:dyDescent="0.25">
      <c r="A17" t="str">
        <f>"INB-"&amp;MID(Tabela3[[#This Row],[Cenário]],1,2)&amp;"_"&amp;ROW()</f>
        <v>INB-C9_17</v>
      </c>
      <c r="B17" t="s">
        <v>747</v>
      </c>
      <c r="C17" s="6" t="s">
        <v>742</v>
      </c>
      <c r="D17" s="5" t="s">
        <v>270</v>
      </c>
      <c r="E17" s="5">
        <v>5026020839</v>
      </c>
      <c r="F17" s="5"/>
      <c r="G17" t="s">
        <v>271</v>
      </c>
      <c r="H17" s="10">
        <v>45973</v>
      </c>
      <c r="I17" s="9"/>
      <c r="J17" s="8">
        <v>45973</v>
      </c>
      <c r="K17"/>
    </row>
    <row r="18" spans="1:11" x14ac:dyDescent="0.25">
      <c r="A18" t="str">
        <f>"INB-"&amp;MID(Tabela3[[#This Row],[Cenário]],1,2)&amp;"_"&amp;ROW()</f>
        <v>INB-C9_18</v>
      </c>
      <c r="B18" t="s">
        <v>747</v>
      </c>
      <c r="C18" s="6" t="s">
        <v>743</v>
      </c>
      <c r="D18" s="5" t="s">
        <v>311</v>
      </c>
      <c r="E18" s="63"/>
      <c r="F18" s="63"/>
      <c r="G18" t="s">
        <v>271</v>
      </c>
      <c r="H18" s="10">
        <v>46002</v>
      </c>
      <c r="I18" s="9"/>
      <c r="J18" s="10">
        <v>45973</v>
      </c>
      <c r="K18"/>
    </row>
    <row r="19" spans="1:11" x14ac:dyDescent="0.25">
      <c r="A19" t="str">
        <f>"INB-"&amp;MID(Tabela3[[#This Row],[Cenário]],1,2)&amp;"_"&amp;ROW()</f>
        <v>INB-C9_19</v>
      </c>
      <c r="B19" t="s">
        <v>747</v>
      </c>
      <c r="C19" s="6" t="s">
        <v>744</v>
      </c>
      <c r="D19" s="5" t="s">
        <v>270</v>
      </c>
      <c r="E19" s="5">
        <v>5109666390</v>
      </c>
      <c r="F19" s="5"/>
      <c r="G19" t="s">
        <v>271</v>
      </c>
      <c r="H19" s="10">
        <v>46002</v>
      </c>
      <c r="I19" s="9"/>
      <c r="J19" s="8">
        <v>46002</v>
      </c>
      <c r="K19" s="19" t="s">
        <v>748</v>
      </c>
    </row>
    <row r="20" spans="1:11" x14ac:dyDescent="0.25">
      <c r="A20" t="str">
        <f>"INB-"&amp;MID(Tabela3[[#This Row],[Cenário]],1,2)&amp;"_"&amp;ROW()</f>
        <v>INB-C9_20</v>
      </c>
      <c r="B20" t="s">
        <v>747</v>
      </c>
      <c r="C20" s="6" t="s">
        <v>745</v>
      </c>
      <c r="D20" s="5" t="s">
        <v>312</v>
      </c>
      <c r="E20">
        <v>46482526</v>
      </c>
      <c r="G20" t="s">
        <v>271</v>
      </c>
      <c r="H20" s="10"/>
      <c r="I20" s="9"/>
      <c r="J20" s="8">
        <v>45982</v>
      </c>
      <c r="K20"/>
    </row>
    <row r="21" spans="1:11" x14ac:dyDescent="0.25">
      <c r="A21" t="str">
        <f>"INB-"&amp;MID(Tabela3[[#This Row],[Cenário]],1,2)&amp;"_"&amp;ROW()</f>
        <v>INB-C9_21</v>
      </c>
      <c r="B21" t="s">
        <v>747</v>
      </c>
      <c r="C21" s="6" t="s">
        <v>373</v>
      </c>
      <c r="D21" s="5" t="s">
        <v>283</v>
      </c>
      <c r="E21">
        <v>46482526</v>
      </c>
      <c r="F21" s="5"/>
      <c r="G21" t="s">
        <v>271</v>
      </c>
      <c r="H21" s="10" t="s">
        <v>539</v>
      </c>
      <c r="I21" s="9"/>
      <c r="J21" s="8">
        <v>45986</v>
      </c>
      <c r="K21"/>
    </row>
    <row r="22" spans="1:11" x14ac:dyDescent="0.25">
      <c r="A22" t="str">
        <f>"INB-"&amp;MID(Tabela3[[#This Row],[Cenário]],1,2)&amp;"_"&amp;ROW()</f>
        <v>INB-C9_22</v>
      </c>
      <c r="B22" t="s">
        <v>747</v>
      </c>
      <c r="C22" s="6" t="s">
        <v>286</v>
      </c>
      <c r="D22" s="5" t="s">
        <v>312</v>
      </c>
      <c r="E22" s="5"/>
      <c r="F22" s="5"/>
      <c r="G22" t="s">
        <v>262</v>
      </c>
      <c r="H22" s="10"/>
      <c r="I22" s="9"/>
      <c r="J22" s="8"/>
      <c r="K22"/>
    </row>
    <row r="23" spans="1:11" x14ac:dyDescent="0.25">
      <c r="A23" t="str">
        <f>"INB-"&amp;MID(Tabela3[[#This Row],[Cenário]],1,2)&amp;"_"&amp;ROW()</f>
        <v>INB-C9_23</v>
      </c>
      <c r="B23" t="s">
        <v>747</v>
      </c>
      <c r="C23" s="6" t="s">
        <v>375</v>
      </c>
      <c r="D23" s="5" t="s">
        <v>285</v>
      </c>
      <c r="E23" s="5"/>
      <c r="F23" s="5"/>
      <c r="G23" t="s">
        <v>271</v>
      </c>
      <c r="H23" s="10">
        <v>45996</v>
      </c>
      <c r="I23" s="9"/>
      <c r="J23" s="8">
        <v>45996</v>
      </c>
      <c r="K23" s="6" t="s">
        <v>746</v>
      </c>
    </row>
    <row r="24" spans="1:11" x14ac:dyDescent="0.25">
      <c r="A24" t="str">
        <f>"INB-"&amp;MID(Tabela3[[#This Row],[Cenário]],1,2)&amp;"_"&amp;ROW()</f>
        <v>INB-P9_24</v>
      </c>
      <c r="B24" t="s">
        <v>749</v>
      </c>
      <c r="C24" s="6" t="s">
        <v>737</v>
      </c>
      <c r="D24" s="5" t="s">
        <v>308</v>
      </c>
      <c r="E24" s="62">
        <v>20823943</v>
      </c>
      <c r="F24">
        <v>20879177</v>
      </c>
      <c r="G24" t="s">
        <v>271</v>
      </c>
      <c r="H24" s="10">
        <v>45896</v>
      </c>
      <c r="I24" s="9"/>
      <c r="J24" s="8">
        <v>45896</v>
      </c>
      <c r="K24"/>
    </row>
    <row r="25" spans="1:11" x14ac:dyDescent="0.25">
      <c r="A25" t="str">
        <f>"INB-"&amp;MID(Tabela3[[#This Row],[Cenário]],1,2)&amp;"_"&amp;ROW()</f>
        <v>INB-P9_25</v>
      </c>
      <c r="B25" t="s">
        <v>749</v>
      </c>
      <c r="C25" s="6" t="s">
        <v>738</v>
      </c>
      <c r="D25" s="5" t="s">
        <v>309</v>
      </c>
      <c r="E25" s="5">
        <v>4501888501</v>
      </c>
      <c r="F25">
        <v>4502029501</v>
      </c>
      <c r="G25" t="s">
        <v>271</v>
      </c>
      <c r="H25" s="10">
        <v>45897</v>
      </c>
      <c r="I25" s="9"/>
      <c r="J25" s="8">
        <v>45897</v>
      </c>
      <c r="K25"/>
    </row>
    <row r="26" spans="1:11" x14ac:dyDescent="0.25">
      <c r="A26" t="str">
        <f>"INB-"&amp;MID(Tabela3[[#This Row],[Cenário]],1,2)&amp;"_"&amp;ROW()</f>
        <v>INB-P9_26</v>
      </c>
      <c r="B26" t="s">
        <v>749</v>
      </c>
      <c r="C26" s="6" t="s">
        <v>739</v>
      </c>
      <c r="D26" s="5" t="s">
        <v>310</v>
      </c>
      <c r="E26" s="5">
        <v>4501888501</v>
      </c>
      <c r="F26" s="62"/>
      <c r="G26" t="s">
        <v>271</v>
      </c>
      <c r="H26" s="10">
        <v>45897</v>
      </c>
      <c r="I26" s="9"/>
      <c r="J26" s="8">
        <v>45897</v>
      </c>
      <c r="K26" t="s">
        <v>750</v>
      </c>
    </row>
    <row r="27" spans="1:11" x14ac:dyDescent="0.25">
      <c r="A27" t="str">
        <f>"INB-"&amp;MID(Tabela3[[#This Row],[Cenário]],1,2)&amp;"_"&amp;ROW()</f>
        <v>INB-P9_27</v>
      </c>
      <c r="B27" t="s">
        <v>749</v>
      </c>
      <c r="C27" s="6" t="s">
        <v>741</v>
      </c>
      <c r="D27" s="5" t="s">
        <v>270</v>
      </c>
      <c r="E27" s="5"/>
      <c r="F27" s="5">
        <v>46482589</v>
      </c>
      <c r="G27" t="s">
        <v>271</v>
      </c>
      <c r="H27" s="10"/>
      <c r="I27" s="9"/>
      <c r="J27" s="8">
        <v>45982</v>
      </c>
      <c r="K27"/>
    </row>
    <row r="28" spans="1:11" x14ac:dyDescent="0.25">
      <c r="A28" t="str">
        <f>"INB-"&amp;MID(Tabela3[[#This Row],[Cenário]],1,2)&amp;"_"&amp;ROW()</f>
        <v>INB-P9_28</v>
      </c>
      <c r="B28" t="s">
        <v>749</v>
      </c>
      <c r="C28" s="6" t="s">
        <v>742</v>
      </c>
      <c r="D28" s="5" t="s">
        <v>270</v>
      </c>
      <c r="E28" s="5"/>
      <c r="F28" s="5">
        <v>5026020879</v>
      </c>
      <c r="G28" t="s">
        <v>271</v>
      </c>
      <c r="H28" s="10"/>
      <c r="I28" s="9"/>
      <c r="J28" s="8">
        <v>45982</v>
      </c>
      <c r="K28"/>
    </row>
    <row r="29" spans="1:11" x14ac:dyDescent="0.25">
      <c r="A29" t="str">
        <f>"INB-"&amp;MID(Tabela3[[#This Row],[Cenário]],1,2)&amp;"_"&amp;ROW()</f>
        <v>INB-P9_29</v>
      </c>
      <c r="B29" t="s">
        <v>749</v>
      </c>
      <c r="C29" s="6" t="s">
        <v>743</v>
      </c>
      <c r="D29" s="5" t="s">
        <v>311</v>
      </c>
      <c r="E29" s="63"/>
      <c r="F29" s="63"/>
      <c r="G29" t="s">
        <v>271</v>
      </c>
      <c r="H29" s="10">
        <v>45789</v>
      </c>
      <c r="I29" s="9"/>
      <c r="J29" s="10">
        <v>45789</v>
      </c>
      <c r="K29"/>
    </row>
    <row r="30" spans="1:11" x14ac:dyDescent="0.25">
      <c r="A30" t="str">
        <f>"INB-"&amp;MID(Tabela3[[#This Row],[Cenário]],1,2)&amp;"_"&amp;ROW()</f>
        <v>INB-P9_30</v>
      </c>
      <c r="B30" t="s">
        <v>749</v>
      </c>
      <c r="C30" s="6" t="s">
        <v>744</v>
      </c>
      <c r="D30" s="5" t="s">
        <v>270</v>
      </c>
      <c r="E30" s="5"/>
      <c r="F30" s="5">
        <v>5109666476</v>
      </c>
      <c r="G30" t="s">
        <v>271</v>
      </c>
      <c r="H30" s="10"/>
      <c r="I30" s="9"/>
      <c r="J30" s="8">
        <v>45982</v>
      </c>
      <c r="K30"/>
    </row>
    <row r="31" spans="1:11" x14ac:dyDescent="0.25">
      <c r="A31" t="str">
        <f>"INB-"&amp;MID(Tabela3[[#This Row],[Cenário]],1,2)&amp;"_"&amp;ROW()</f>
        <v>INB-P9_31</v>
      </c>
      <c r="B31" t="s">
        <v>749</v>
      </c>
      <c r="C31" s="6" t="s">
        <v>745</v>
      </c>
      <c r="D31" s="5" t="s">
        <v>312</v>
      </c>
      <c r="E31">
        <v>46482778</v>
      </c>
      <c r="F31" s="5"/>
      <c r="G31" t="s">
        <v>271</v>
      </c>
      <c r="H31" s="10"/>
      <c r="I31" s="9"/>
      <c r="J31" s="8"/>
      <c r="K31" t="s">
        <v>751</v>
      </c>
    </row>
    <row r="32" spans="1:11" x14ac:dyDescent="0.25">
      <c r="A32" t="str">
        <f>"INB-"&amp;MID(Tabela3[[#This Row],[Cenário]],1,2)&amp;"_"&amp;ROW()</f>
        <v>INB-P9_32</v>
      </c>
      <c r="B32" t="s">
        <v>749</v>
      </c>
      <c r="C32" s="6" t="s">
        <v>373</v>
      </c>
      <c r="D32" s="5" t="s">
        <v>283</v>
      </c>
      <c r="E32">
        <v>46482778</v>
      </c>
      <c r="F32" s="5"/>
      <c r="G32" t="s">
        <v>271</v>
      </c>
      <c r="H32" s="10">
        <v>45912</v>
      </c>
      <c r="I32" s="9"/>
      <c r="J32" s="8">
        <v>45912</v>
      </c>
      <c r="K32"/>
    </row>
    <row r="33" spans="1:11" x14ac:dyDescent="0.25">
      <c r="A33" t="str">
        <f>"INB-"&amp;MID(Tabela3[[#This Row],[Cenário]],1,2)&amp;"_"&amp;ROW()</f>
        <v>INB-P9_33</v>
      </c>
      <c r="B33" t="s">
        <v>749</v>
      </c>
      <c r="C33" s="6" t="s">
        <v>286</v>
      </c>
      <c r="D33" s="5" t="s">
        <v>312</v>
      </c>
      <c r="E33" s="5"/>
      <c r="F33" s="5"/>
      <c r="G33" t="s">
        <v>262</v>
      </c>
      <c r="H33" s="10"/>
      <c r="I33" s="9"/>
      <c r="J33" s="8"/>
      <c r="K33"/>
    </row>
    <row r="34" spans="1:11" x14ac:dyDescent="0.25">
      <c r="A34" t="str">
        <f>"INB-"&amp;MID(Tabela3[[#This Row],[Cenário]],1,2)&amp;"_"&amp;ROW()</f>
        <v>INB-P9_34</v>
      </c>
      <c r="B34" t="s">
        <v>749</v>
      </c>
      <c r="C34" s="6" t="s">
        <v>375</v>
      </c>
      <c r="D34" s="5" t="s">
        <v>285</v>
      </c>
      <c r="E34" s="5"/>
      <c r="F34" s="5"/>
      <c r="G34" t="s">
        <v>271</v>
      </c>
      <c r="H34" s="10"/>
      <c r="I34" s="9"/>
      <c r="J34" s="8"/>
      <c r="K34" s="6" t="s">
        <v>746</v>
      </c>
    </row>
    <row r="35" spans="1:11" x14ac:dyDescent="0.25">
      <c r="A35" t="str">
        <f>"INB-"&amp;MID(Tabela3[[#This Row],[Cenário]],1,2)&amp;"_"&amp;ROW()</f>
        <v>INB-P1_35</v>
      </c>
      <c r="B35" t="s">
        <v>752</v>
      </c>
      <c r="C35" t="s">
        <v>737</v>
      </c>
      <c r="D35" s="5" t="s">
        <v>308</v>
      </c>
      <c r="E35" s="62">
        <v>20823990</v>
      </c>
      <c r="F35" s="62"/>
      <c r="G35" t="s">
        <v>271</v>
      </c>
      <c r="H35" s="10">
        <v>45924</v>
      </c>
      <c r="I35" s="9"/>
      <c r="J35" s="8">
        <v>45924</v>
      </c>
      <c r="K35"/>
    </row>
    <row r="36" spans="1:11" x14ac:dyDescent="0.25">
      <c r="A36" t="str">
        <f>"INB-"&amp;MID(Tabela3[[#This Row],[Cenário]],1,2)&amp;"_"&amp;ROW()</f>
        <v>INB-P1_36</v>
      </c>
      <c r="B36" t="s">
        <v>752</v>
      </c>
      <c r="C36" t="s">
        <v>738</v>
      </c>
      <c r="D36" s="5" t="s">
        <v>309</v>
      </c>
      <c r="E36" s="62">
        <v>4501888783</v>
      </c>
      <c r="F36">
        <v>4502035270</v>
      </c>
      <c r="G36" t="s">
        <v>271</v>
      </c>
      <c r="H36" s="10">
        <v>45924</v>
      </c>
      <c r="I36" s="9"/>
      <c r="J36" s="8">
        <v>45924</v>
      </c>
      <c r="K36"/>
    </row>
    <row r="37" spans="1:11" x14ac:dyDescent="0.25">
      <c r="A37" t="str">
        <f>"INB-"&amp;MID(Tabela3[[#This Row],[Cenário]],1,2)&amp;"_"&amp;ROW()</f>
        <v>INB-P1_37</v>
      </c>
      <c r="B37" t="s">
        <v>752</v>
      </c>
      <c r="C37" t="s">
        <v>739</v>
      </c>
      <c r="D37" s="5" t="s">
        <v>310</v>
      </c>
      <c r="E37" s="5">
        <v>4501888783</v>
      </c>
      <c r="F37" s="5"/>
      <c r="G37" t="s">
        <v>271</v>
      </c>
      <c r="H37" s="10">
        <v>45924</v>
      </c>
      <c r="I37" s="9"/>
      <c r="J37" s="8">
        <v>45924</v>
      </c>
      <c r="K37" t="s">
        <v>753</v>
      </c>
    </row>
    <row r="38" spans="1:11" x14ac:dyDescent="0.25">
      <c r="A38" t="str">
        <f>"INB-"&amp;MID(Tabela3[[#This Row],[Cenário]],1,2)&amp;"_"&amp;ROW()</f>
        <v>INB-P1_38</v>
      </c>
      <c r="B38" t="s">
        <v>752</v>
      </c>
      <c r="C38" t="s">
        <v>741</v>
      </c>
      <c r="D38" s="5" t="s">
        <v>270</v>
      </c>
      <c r="E38" s="5"/>
      <c r="F38" s="5">
        <v>46482595</v>
      </c>
      <c r="G38" t="s">
        <v>271</v>
      </c>
      <c r="H38" s="10"/>
      <c r="I38" s="9"/>
      <c r="J38" s="8">
        <v>45982</v>
      </c>
      <c r="K38"/>
    </row>
    <row r="39" spans="1:11" x14ac:dyDescent="0.25">
      <c r="A39" t="str">
        <f>"INB-"&amp;MID(Tabela3[[#This Row],[Cenário]],1,2)&amp;"_"&amp;ROW()</f>
        <v>INB-P1_39</v>
      </c>
      <c r="B39" t="s">
        <v>752</v>
      </c>
      <c r="C39" t="s">
        <v>742</v>
      </c>
      <c r="D39" s="5" t="s">
        <v>270</v>
      </c>
      <c r="E39" s="5"/>
      <c r="F39" s="5">
        <v>5026020881</v>
      </c>
      <c r="G39" t="s">
        <v>271</v>
      </c>
      <c r="H39" s="10"/>
      <c r="I39" s="9"/>
      <c r="J39" s="8">
        <v>45982</v>
      </c>
      <c r="K39"/>
    </row>
    <row r="40" spans="1:11" x14ac:dyDescent="0.25">
      <c r="A40" t="str">
        <f>"INB-"&amp;MID(Tabela3[[#This Row],[Cenário]],1,2)&amp;"_"&amp;ROW()</f>
        <v>INB-P1_40</v>
      </c>
      <c r="B40" t="s">
        <v>752</v>
      </c>
      <c r="C40" t="s">
        <v>743</v>
      </c>
      <c r="D40" s="5" t="s">
        <v>311</v>
      </c>
      <c r="E40" s="63"/>
      <c r="F40" s="63"/>
      <c r="G40" t="s">
        <v>271</v>
      </c>
      <c r="H40" s="10">
        <v>46002</v>
      </c>
      <c r="I40" s="9"/>
      <c r="J40" s="10">
        <v>46002</v>
      </c>
      <c r="K40"/>
    </row>
    <row r="41" spans="1:11" x14ac:dyDescent="0.25">
      <c r="A41" t="str">
        <f>"INB-"&amp;MID(Tabela3[[#This Row],[Cenário]],1,2)&amp;"_"&amp;ROW()</f>
        <v>INB-P1_41</v>
      </c>
      <c r="B41" t="s">
        <v>752</v>
      </c>
      <c r="C41" t="s">
        <v>744</v>
      </c>
      <c r="D41" s="5" t="s">
        <v>270</v>
      </c>
      <c r="E41" s="5"/>
      <c r="F41" s="5">
        <v>5109666479</v>
      </c>
      <c r="G41" t="s">
        <v>271</v>
      </c>
      <c r="H41" s="10"/>
      <c r="I41" s="9"/>
      <c r="J41" s="8">
        <v>45982</v>
      </c>
      <c r="K41"/>
    </row>
    <row r="42" spans="1:11" x14ac:dyDescent="0.25">
      <c r="A42" t="str">
        <f>"INB-"&amp;MID(Tabela3[[#This Row],[Cenário]],1,2)&amp;"_"&amp;ROW()</f>
        <v>INB-P1_42</v>
      </c>
      <c r="B42" t="s">
        <v>752</v>
      </c>
      <c r="C42" t="s">
        <v>745</v>
      </c>
      <c r="D42" s="5" t="s">
        <v>312</v>
      </c>
      <c r="E42">
        <v>46482595</v>
      </c>
      <c r="F42" s="5"/>
      <c r="G42" t="s">
        <v>271</v>
      </c>
      <c r="H42" s="10"/>
      <c r="I42" s="9"/>
      <c r="J42" s="8">
        <v>45982</v>
      </c>
      <c r="K42"/>
    </row>
    <row r="43" spans="1:11" x14ac:dyDescent="0.25">
      <c r="A43" t="str">
        <f>"INB-"&amp;MID(Tabela3[[#This Row],[Cenário]],1,2)&amp;"_"&amp;ROW()</f>
        <v>INB-P1_43</v>
      </c>
      <c r="B43" t="s">
        <v>752</v>
      </c>
      <c r="C43" t="s">
        <v>373</v>
      </c>
      <c r="D43" s="5" t="s">
        <v>283</v>
      </c>
      <c r="E43">
        <v>46482595</v>
      </c>
      <c r="F43" s="5"/>
      <c r="G43" t="s">
        <v>271</v>
      </c>
      <c r="H43" s="10">
        <v>45759</v>
      </c>
      <c r="I43" s="9"/>
      <c r="J43" s="8">
        <v>45759</v>
      </c>
      <c r="K43"/>
    </row>
    <row r="44" spans="1:11" x14ac:dyDescent="0.25">
      <c r="A44" t="str">
        <f>"INB-"&amp;MID(Tabela3[[#This Row],[Cenário]],1,2)&amp;"_"&amp;ROW()</f>
        <v>INB-P1_44</v>
      </c>
      <c r="B44" t="s">
        <v>752</v>
      </c>
      <c r="C44" t="s">
        <v>286</v>
      </c>
      <c r="D44" s="5" t="s">
        <v>312</v>
      </c>
      <c r="E44" s="5"/>
      <c r="F44" s="5"/>
      <c r="G44" t="s">
        <v>262</v>
      </c>
      <c r="H44" s="10"/>
      <c r="I44" s="9"/>
      <c r="J44" s="8"/>
      <c r="K44"/>
    </row>
    <row r="45" spans="1:11" x14ac:dyDescent="0.25">
      <c r="A45" t="str">
        <f>"INB-"&amp;MID(Tabela3[[#This Row],[Cenário]],1,2)&amp;"_"&amp;ROW()</f>
        <v>INB-P1_45</v>
      </c>
      <c r="B45" t="s">
        <v>752</v>
      </c>
      <c r="C45" t="s">
        <v>375</v>
      </c>
      <c r="D45" s="5" t="s">
        <v>285</v>
      </c>
      <c r="E45" s="5"/>
      <c r="F45" s="5"/>
      <c r="G45" t="s">
        <v>271</v>
      </c>
      <c r="H45" s="10">
        <v>45996</v>
      </c>
      <c r="I45" s="9"/>
      <c r="J45" s="8">
        <v>45996</v>
      </c>
      <c r="K45" s="6" t="s">
        <v>746</v>
      </c>
    </row>
    <row r="46" spans="1:11" x14ac:dyDescent="0.25">
      <c r="A46" t="str">
        <f>"INB-"&amp;MID(Tabela3[[#This Row],[Cenário]],1,2)&amp;"_"&amp;ROW()</f>
        <v>INB-CG_46</v>
      </c>
      <c r="B46" t="s">
        <v>754</v>
      </c>
      <c r="C46" t="s">
        <v>737</v>
      </c>
      <c r="D46" s="5" t="s">
        <v>308</v>
      </c>
      <c r="E46" s="5">
        <v>20823991</v>
      </c>
      <c r="F46" s="62"/>
      <c r="G46" t="s">
        <v>271</v>
      </c>
      <c r="H46" s="10">
        <v>45926</v>
      </c>
      <c r="I46" s="9"/>
      <c r="J46" s="8">
        <v>45926</v>
      </c>
      <c r="K46"/>
    </row>
    <row r="47" spans="1:11" x14ac:dyDescent="0.25">
      <c r="A47" t="str">
        <f>"INB-"&amp;MID(Tabela3[[#This Row],[Cenário]],1,2)&amp;"_"&amp;ROW()</f>
        <v>INB-CG_47</v>
      </c>
      <c r="B47" t="s">
        <v>754</v>
      </c>
      <c r="C47" t="s">
        <v>738</v>
      </c>
      <c r="D47" s="5" t="s">
        <v>309</v>
      </c>
      <c r="E47" s="5">
        <v>4501888784</v>
      </c>
      <c r="F47" s="62">
        <v>4502016063</v>
      </c>
      <c r="G47" t="s">
        <v>271</v>
      </c>
      <c r="H47" s="10">
        <v>45926</v>
      </c>
      <c r="I47" s="9"/>
      <c r="J47" s="8">
        <v>45926</v>
      </c>
      <c r="K47"/>
    </row>
    <row r="48" spans="1:11" x14ac:dyDescent="0.25">
      <c r="A48" t="str">
        <f>"INB-"&amp;MID(Tabela3[[#This Row],[Cenário]],1,2)&amp;"_"&amp;ROW()</f>
        <v>INB-CG_48</v>
      </c>
      <c r="B48" t="s">
        <v>754</v>
      </c>
      <c r="C48" t="s">
        <v>739</v>
      </c>
      <c r="D48" s="5" t="s">
        <v>310</v>
      </c>
      <c r="E48" s="5">
        <v>4501888784</v>
      </c>
      <c r="F48" s="5"/>
      <c r="G48" t="s">
        <v>271</v>
      </c>
      <c r="H48" s="10">
        <v>45926</v>
      </c>
      <c r="I48" s="9"/>
      <c r="J48" s="8">
        <v>45926</v>
      </c>
      <c r="K48" t="s">
        <v>755</v>
      </c>
    </row>
    <row r="49" spans="1:11" x14ac:dyDescent="0.25">
      <c r="A49" t="str">
        <f>"INB-"&amp;MID(Tabela3[[#This Row],[Cenário]],1,2)&amp;"_"&amp;ROW()</f>
        <v>INB-CG_49</v>
      </c>
      <c r="B49" t="s">
        <v>754</v>
      </c>
      <c r="C49" t="s">
        <v>741</v>
      </c>
      <c r="D49" s="5" t="s">
        <v>270</v>
      </c>
      <c r="E49" s="5"/>
      <c r="F49" s="5">
        <v>46482649</v>
      </c>
      <c r="G49" t="s">
        <v>271</v>
      </c>
      <c r="H49" s="10"/>
      <c r="I49" s="9"/>
      <c r="J49" s="8">
        <v>45982</v>
      </c>
      <c r="K49"/>
    </row>
    <row r="50" spans="1:11" x14ac:dyDescent="0.25">
      <c r="A50" t="str">
        <f>"INB-"&amp;MID(Tabela3[[#This Row],[Cenário]],1,2)&amp;"_"&amp;ROW()</f>
        <v>INB-CG_50</v>
      </c>
      <c r="B50" t="s">
        <v>754</v>
      </c>
      <c r="C50" t="s">
        <v>742</v>
      </c>
      <c r="D50" s="5" t="s">
        <v>270</v>
      </c>
      <c r="E50" s="5"/>
      <c r="F50" s="5">
        <v>5026020900</v>
      </c>
      <c r="G50" t="s">
        <v>271</v>
      </c>
      <c r="H50" s="10"/>
      <c r="I50" s="9"/>
      <c r="J50" s="8">
        <v>45982</v>
      </c>
      <c r="K50"/>
    </row>
    <row r="51" spans="1:11" x14ac:dyDescent="0.25">
      <c r="A51" t="str">
        <f>"INB-"&amp;MID(Tabela3[[#This Row],[Cenário]],1,2)&amp;"_"&amp;ROW()</f>
        <v>INB-CG_51</v>
      </c>
      <c r="B51" t="s">
        <v>754</v>
      </c>
      <c r="C51" t="s">
        <v>743</v>
      </c>
      <c r="D51" s="5" t="s">
        <v>311</v>
      </c>
      <c r="E51" s="63"/>
      <c r="F51" s="63"/>
      <c r="G51" t="s">
        <v>271</v>
      </c>
      <c r="H51" s="10">
        <v>46002</v>
      </c>
      <c r="I51" s="9"/>
      <c r="J51" s="10">
        <v>46002</v>
      </c>
      <c r="K51"/>
    </row>
    <row r="52" spans="1:11" x14ac:dyDescent="0.25">
      <c r="A52" t="str">
        <f>"INB-"&amp;MID(Tabela3[[#This Row],[Cenário]],1,2)&amp;"_"&amp;ROW()</f>
        <v>INB-CG_52</v>
      </c>
      <c r="B52" t="s">
        <v>754</v>
      </c>
      <c r="C52" t="s">
        <v>744</v>
      </c>
      <c r="D52" s="5" t="s">
        <v>270</v>
      </c>
      <c r="E52" s="5"/>
      <c r="F52" s="5">
        <v>5109666554</v>
      </c>
      <c r="G52" t="s">
        <v>271</v>
      </c>
      <c r="H52" s="10"/>
      <c r="I52" s="9"/>
      <c r="J52" s="8">
        <v>45982</v>
      </c>
      <c r="K52"/>
    </row>
    <row r="53" spans="1:11" x14ac:dyDescent="0.25">
      <c r="A53" t="str">
        <f>"INB-"&amp;MID(Tabela3[[#This Row],[Cenário]],1,2)&amp;"_"&amp;ROW()</f>
        <v>INB-CG_53</v>
      </c>
      <c r="B53" t="s">
        <v>754</v>
      </c>
      <c r="C53" t="s">
        <v>745</v>
      </c>
      <c r="D53" s="5" t="s">
        <v>312</v>
      </c>
      <c r="E53">
        <v>46482649</v>
      </c>
      <c r="F53" s="5"/>
      <c r="G53" t="s">
        <v>271</v>
      </c>
      <c r="H53" s="10"/>
      <c r="I53" s="9"/>
      <c r="J53" s="8">
        <v>45994</v>
      </c>
      <c r="K53"/>
    </row>
    <row r="54" spans="1:11" x14ac:dyDescent="0.25">
      <c r="A54" t="str">
        <f>"INB-"&amp;MID(Tabela3[[#This Row],[Cenário]],1,2)&amp;"_"&amp;ROW()</f>
        <v>INB-CG_54</v>
      </c>
      <c r="B54" t="s">
        <v>754</v>
      </c>
      <c r="C54" t="s">
        <v>373</v>
      </c>
      <c r="D54" s="5" t="s">
        <v>283</v>
      </c>
      <c r="E54" s="5"/>
      <c r="F54" s="5"/>
      <c r="G54" t="s">
        <v>271</v>
      </c>
      <c r="H54" s="10">
        <v>45759</v>
      </c>
      <c r="I54" s="9"/>
      <c r="J54" s="8">
        <v>45759</v>
      </c>
      <c r="K54"/>
    </row>
    <row r="55" spans="1:11" x14ac:dyDescent="0.25">
      <c r="A55" t="str">
        <f>"INB-"&amp;MID(Tabela3[[#This Row],[Cenário]],1,2)&amp;"_"&amp;ROW()</f>
        <v>INB-CG_55</v>
      </c>
      <c r="B55" t="s">
        <v>754</v>
      </c>
      <c r="C55" t="s">
        <v>286</v>
      </c>
      <c r="D55" s="5" t="s">
        <v>312</v>
      </c>
      <c r="E55" s="5"/>
      <c r="F55" s="5"/>
      <c r="G55" t="s">
        <v>262</v>
      </c>
      <c r="H55" s="10"/>
      <c r="I55" s="9"/>
      <c r="J55" s="8"/>
      <c r="K55"/>
    </row>
    <row r="56" spans="1:11" x14ac:dyDescent="0.25">
      <c r="A56" t="str">
        <f>"INB-"&amp;MID(Tabela3[[#This Row],[Cenário]],1,2)&amp;"_"&amp;ROW()</f>
        <v>INB-CG_56</v>
      </c>
      <c r="B56" t="s">
        <v>754</v>
      </c>
      <c r="C56" t="s">
        <v>375</v>
      </c>
      <c r="D56" s="5" t="s">
        <v>285</v>
      </c>
      <c r="E56" s="5"/>
      <c r="F56" s="5"/>
      <c r="G56" t="s">
        <v>271</v>
      </c>
      <c r="H56" s="10">
        <v>45996</v>
      </c>
      <c r="I56" s="9"/>
      <c r="J56" s="8">
        <v>45996</v>
      </c>
      <c r="K56" s="6" t="s">
        <v>746</v>
      </c>
    </row>
    <row r="57" spans="1:11" x14ac:dyDescent="0.25">
      <c r="A57" t="str">
        <f>"INB-"&amp;MID(Tabela3[[#This Row],[Cenário]],1,2)&amp;"_"&amp;ROW()</f>
        <v>INB-C8_57</v>
      </c>
      <c r="B57" t="s">
        <v>756</v>
      </c>
      <c r="C57" t="s">
        <v>737</v>
      </c>
      <c r="D57" s="5" t="s">
        <v>308</v>
      </c>
      <c r="E57" s="62">
        <v>20823992</v>
      </c>
      <c r="F57" s="62"/>
      <c r="G57" t="s">
        <v>271</v>
      </c>
      <c r="H57" s="10">
        <v>45926</v>
      </c>
      <c r="I57" s="9"/>
      <c r="J57" s="8">
        <v>45926</v>
      </c>
      <c r="K57"/>
    </row>
    <row r="58" spans="1:11" x14ac:dyDescent="0.25">
      <c r="A58" t="str">
        <f>"INB-"&amp;MID(Tabela3[[#This Row],[Cenário]],1,2)&amp;"_"&amp;ROW()</f>
        <v>INB-C8_58</v>
      </c>
      <c r="B58" t="s">
        <v>756</v>
      </c>
      <c r="C58" t="s">
        <v>738</v>
      </c>
      <c r="D58" s="5" t="s">
        <v>309</v>
      </c>
      <c r="E58" s="5">
        <v>4501888975</v>
      </c>
      <c r="F58" s="62">
        <v>4502021394</v>
      </c>
      <c r="G58" t="s">
        <v>271</v>
      </c>
      <c r="H58" s="10">
        <v>45926</v>
      </c>
      <c r="I58" s="9"/>
      <c r="J58" s="8">
        <v>45926</v>
      </c>
    </row>
    <row r="59" spans="1:11" x14ac:dyDescent="0.25">
      <c r="A59" t="str">
        <f>"INB-"&amp;MID(Tabela3[[#This Row],[Cenário]],1,2)&amp;"_"&amp;ROW()</f>
        <v>INB-C8_59</v>
      </c>
      <c r="B59" t="s">
        <v>756</v>
      </c>
      <c r="C59" t="s">
        <v>739</v>
      </c>
      <c r="D59" s="5" t="s">
        <v>310</v>
      </c>
      <c r="E59" s="5">
        <v>4501888975</v>
      </c>
      <c r="F59" s="5"/>
      <c r="G59" t="s">
        <v>271</v>
      </c>
      <c r="H59" s="10">
        <v>45926</v>
      </c>
      <c r="I59" s="9"/>
      <c r="J59" s="8">
        <v>45926</v>
      </c>
      <c r="K59" t="s">
        <v>757</v>
      </c>
    </row>
    <row r="60" spans="1:11" x14ac:dyDescent="0.25">
      <c r="A60" t="str">
        <f>"INB-"&amp;MID(Tabela3[[#This Row],[Cenário]],1,2)&amp;"_"&amp;ROW()</f>
        <v>INB-C8_60</v>
      </c>
      <c r="B60" t="s">
        <v>756</v>
      </c>
      <c r="C60" t="s">
        <v>741</v>
      </c>
      <c r="D60" s="5" t="s">
        <v>270</v>
      </c>
      <c r="E60" s="5">
        <v>183855846</v>
      </c>
      <c r="F60" s="5">
        <v>46482650</v>
      </c>
      <c r="G60" t="s">
        <v>271</v>
      </c>
      <c r="H60" s="10">
        <v>45958</v>
      </c>
      <c r="I60" s="9"/>
      <c r="J60" s="8">
        <v>45958</v>
      </c>
      <c r="K60"/>
    </row>
    <row r="61" spans="1:11" x14ac:dyDescent="0.25">
      <c r="A61" t="str">
        <f>"INB-"&amp;MID(Tabela3[[#This Row],[Cenário]],1,2)&amp;"_"&amp;ROW()</f>
        <v>INB-C8_61</v>
      </c>
      <c r="B61" t="s">
        <v>756</v>
      </c>
      <c r="C61" t="s">
        <v>742</v>
      </c>
      <c r="D61" s="5" t="s">
        <v>270</v>
      </c>
      <c r="E61" s="5"/>
      <c r="F61" s="5">
        <v>5026020901</v>
      </c>
      <c r="G61" t="s">
        <v>271</v>
      </c>
      <c r="H61" s="10">
        <v>45958</v>
      </c>
      <c r="I61" s="9"/>
      <c r="J61" s="8">
        <v>45958</v>
      </c>
      <c r="K61"/>
    </row>
    <row r="62" spans="1:11" x14ac:dyDescent="0.25">
      <c r="A62" t="str">
        <f>"INB-"&amp;MID(Tabela3[[#This Row],[Cenário]],1,2)&amp;"_"&amp;ROW()</f>
        <v>INB-C8_62</v>
      </c>
      <c r="B62" t="s">
        <v>756</v>
      </c>
      <c r="C62" t="s">
        <v>743</v>
      </c>
      <c r="D62" s="5" t="s">
        <v>311</v>
      </c>
      <c r="E62" s="63"/>
      <c r="F62" s="63"/>
      <c r="G62" t="s">
        <v>356</v>
      </c>
      <c r="H62" s="10">
        <v>45912</v>
      </c>
      <c r="I62" s="9"/>
      <c r="J62" s="9"/>
      <c r="K62" t="s">
        <v>758</v>
      </c>
    </row>
    <row r="63" spans="1:11" x14ac:dyDescent="0.25">
      <c r="A63" t="str">
        <f>"INB-"&amp;MID(Tabela3[[#This Row],[Cenário]],1,2)&amp;"_"&amp;ROW()</f>
        <v>INB-C8_63</v>
      </c>
      <c r="B63" t="s">
        <v>756</v>
      </c>
      <c r="C63" t="s">
        <v>744</v>
      </c>
      <c r="D63" s="5" t="s">
        <v>270</v>
      </c>
      <c r="E63" s="5"/>
      <c r="F63" s="5">
        <v>5109666555</v>
      </c>
      <c r="G63" t="s">
        <v>271</v>
      </c>
      <c r="H63" s="10"/>
      <c r="I63" s="9"/>
      <c r="J63" s="8">
        <v>45982</v>
      </c>
      <c r="K63"/>
    </row>
    <row r="64" spans="1:11" x14ac:dyDescent="0.25">
      <c r="A64" t="str">
        <f>"INB-"&amp;MID(Tabela3[[#This Row],[Cenário]],1,2)&amp;"_"&amp;ROW()</f>
        <v>INB-C8_64</v>
      </c>
      <c r="B64" t="s">
        <v>756</v>
      </c>
      <c r="C64" t="s">
        <v>745</v>
      </c>
      <c r="D64" s="5" t="s">
        <v>312</v>
      </c>
      <c r="E64">
        <v>46482650</v>
      </c>
      <c r="F64" s="5"/>
      <c r="G64" t="s">
        <v>271</v>
      </c>
      <c r="H64" s="10"/>
      <c r="I64" s="9"/>
      <c r="J64" s="8">
        <v>45994</v>
      </c>
      <c r="K64"/>
    </row>
    <row r="65" spans="1:11" x14ac:dyDescent="0.25">
      <c r="A65" t="str">
        <f>"INB-"&amp;MID(Tabela3[[#This Row],[Cenário]],1,2)&amp;"_"&amp;ROW()</f>
        <v>INB-C8_65</v>
      </c>
      <c r="B65" t="s">
        <v>756</v>
      </c>
      <c r="C65" t="s">
        <v>373</v>
      </c>
      <c r="D65" s="5" t="s">
        <v>283</v>
      </c>
      <c r="E65" s="5"/>
      <c r="F65" s="5"/>
      <c r="G65" t="s">
        <v>271</v>
      </c>
      <c r="H65" s="10">
        <v>45759</v>
      </c>
      <c r="I65" s="9"/>
      <c r="J65" s="8">
        <v>45759</v>
      </c>
      <c r="K65"/>
    </row>
    <row r="66" spans="1:11" x14ac:dyDescent="0.25">
      <c r="A66" t="str">
        <f>"INB-"&amp;MID(Tabela3[[#This Row],[Cenário]],1,2)&amp;"_"&amp;ROW()</f>
        <v>INB-C8_66</v>
      </c>
      <c r="B66" t="s">
        <v>756</v>
      </c>
      <c r="C66" t="s">
        <v>286</v>
      </c>
      <c r="D66" s="5" t="s">
        <v>312</v>
      </c>
      <c r="E66" s="5"/>
      <c r="F66" s="5"/>
      <c r="G66" t="s">
        <v>262</v>
      </c>
      <c r="H66" s="10"/>
      <c r="I66" s="9"/>
      <c r="J66" s="8"/>
      <c r="K66"/>
    </row>
    <row r="67" spans="1:11" x14ac:dyDescent="0.25">
      <c r="A67" t="str">
        <f>"INB-"&amp;MID(Tabela3[[#This Row],[Cenário]],1,2)&amp;"_"&amp;ROW()</f>
        <v>INB-C8_67</v>
      </c>
      <c r="B67" t="s">
        <v>756</v>
      </c>
      <c r="C67" t="s">
        <v>375</v>
      </c>
      <c r="D67" s="5" t="s">
        <v>285</v>
      </c>
      <c r="E67" s="5"/>
      <c r="F67" s="5"/>
      <c r="G67" t="s">
        <v>271</v>
      </c>
      <c r="H67" s="10">
        <v>45996</v>
      </c>
      <c r="I67" s="9"/>
      <c r="J67" s="8">
        <v>45996</v>
      </c>
      <c r="K67" s="6" t="s">
        <v>746</v>
      </c>
    </row>
    <row r="68" spans="1:11" x14ac:dyDescent="0.25">
      <c r="A68" t="str">
        <f>"INB-"&amp;MID(Tabela3[[#This Row],[Cenário]],1,2)&amp;"_"&amp;ROW()</f>
        <v>INB-IP_68</v>
      </c>
      <c r="B68" t="s">
        <v>759</v>
      </c>
      <c r="C68" t="s">
        <v>737</v>
      </c>
      <c r="D68" s="5" t="s">
        <v>308</v>
      </c>
      <c r="E68" s="62">
        <v>20823997</v>
      </c>
      <c r="F68" s="62"/>
      <c r="G68" t="s">
        <v>271</v>
      </c>
      <c r="H68" s="10">
        <v>45919</v>
      </c>
      <c r="I68" s="9"/>
      <c r="J68" s="8">
        <v>45919</v>
      </c>
    </row>
    <row r="69" spans="1:11" x14ac:dyDescent="0.25">
      <c r="A69" t="str">
        <f>"INB-"&amp;MID(Tabela3[[#This Row],[Cenário]],1,2)&amp;"_"&amp;ROW()</f>
        <v>INB-IP_69</v>
      </c>
      <c r="B69" t="s">
        <v>759</v>
      </c>
      <c r="C69" t="s">
        <v>738</v>
      </c>
      <c r="D69" s="5" t="s">
        <v>309</v>
      </c>
      <c r="E69" s="62">
        <v>4501888831</v>
      </c>
      <c r="F69" s="62">
        <v>4501978724</v>
      </c>
      <c r="G69" t="s">
        <v>271</v>
      </c>
      <c r="H69" s="10">
        <v>45936</v>
      </c>
      <c r="I69" s="9"/>
      <c r="J69" s="8">
        <v>45936</v>
      </c>
    </row>
    <row r="70" spans="1:11" x14ac:dyDescent="0.25">
      <c r="A70" t="str">
        <f>"INB-"&amp;MID(Tabela3[[#This Row],[Cenário]],1,2)&amp;"_"&amp;ROW()</f>
        <v>INB-IP_70</v>
      </c>
      <c r="B70" t="s">
        <v>759</v>
      </c>
      <c r="C70" t="s">
        <v>739</v>
      </c>
      <c r="D70" s="5" t="s">
        <v>310</v>
      </c>
      <c r="E70" s="62">
        <v>4501888831</v>
      </c>
      <c r="F70" s="62">
        <v>4501978724</v>
      </c>
      <c r="G70" t="s">
        <v>271</v>
      </c>
      <c r="H70" s="10">
        <v>45936</v>
      </c>
      <c r="I70" s="9"/>
      <c r="J70" s="8">
        <v>45936</v>
      </c>
      <c r="K70" t="s">
        <v>760</v>
      </c>
    </row>
    <row r="71" spans="1:11" x14ac:dyDescent="0.25">
      <c r="A71" t="str">
        <f>"INB-"&amp;MID(Tabela3[[#This Row],[Cenário]],1,2)&amp;"_"&amp;ROW()</f>
        <v>INB-IP_71</v>
      </c>
      <c r="B71" t="s">
        <v>759</v>
      </c>
      <c r="C71" t="s">
        <v>741</v>
      </c>
      <c r="D71" s="5" t="s">
        <v>270</v>
      </c>
      <c r="E71" s="5"/>
      <c r="F71" s="5">
        <v>46482707</v>
      </c>
      <c r="G71" t="s">
        <v>271</v>
      </c>
      <c r="H71" s="10"/>
      <c r="I71" s="9"/>
      <c r="J71" s="8">
        <v>45995</v>
      </c>
      <c r="K71"/>
    </row>
    <row r="72" spans="1:11" x14ac:dyDescent="0.25">
      <c r="A72" t="str">
        <f>"INB-"&amp;MID(Tabela3[[#This Row],[Cenário]],1,2)&amp;"_"&amp;ROW()</f>
        <v>INB-IP_72</v>
      </c>
      <c r="B72" t="s">
        <v>759</v>
      </c>
      <c r="C72" t="s">
        <v>742</v>
      </c>
      <c r="D72" s="5" t="s">
        <v>270</v>
      </c>
      <c r="E72" s="5"/>
      <c r="F72" s="5">
        <v>46482707</v>
      </c>
      <c r="G72" t="s">
        <v>271</v>
      </c>
      <c r="H72" s="10"/>
      <c r="I72" s="9"/>
      <c r="J72" s="8">
        <v>45995</v>
      </c>
      <c r="K72"/>
    </row>
    <row r="73" spans="1:11" x14ac:dyDescent="0.25">
      <c r="A73" t="str">
        <f>"INB-"&amp;MID(Tabela3[[#This Row],[Cenário]],1,2)&amp;"_"&amp;ROW()</f>
        <v>INB-IP_73</v>
      </c>
      <c r="B73" t="s">
        <v>759</v>
      </c>
      <c r="C73" t="s">
        <v>743</v>
      </c>
      <c r="D73" s="5" t="s">
        <v>311</v>
      </c>
      <c r="E73" s="63"/>
      <c r="F73" s="63"/>
      <c r="G73" t="s">
        <v>271</v>
      </c>
      <c r="H73" s="10">
        <v>45912</v>
      </c>
      <c r="I73" s="9"/>
      <c r="J73" s="10">
        <v>45912</v>
      </c>
      <c r="K73"/>
    </row>
    <row r="74" spans="1:11" x14ac:dyDescent="0.25">
      <c r="A74" t="str">
        <f>"INB-"&amp;MID(Tabela3[[#This Row],[Cenário]],1,2)&amp;"_"&amp;ROW()</f>
        <v>INB-IP_74</v>
      </c>
      <c r="B74" t="s">
        <v>759</v>
      </c>
      <c r="C74" t="s">
        <v>744</v>
      </c>
      <c r="D74" s="5" t="s">
        <v>270</v>
      </c>
      <c r="E74" s="5"/>
      <c r="F74" s="5">
        <v>46482707</v>
      </c>
      <c r="G74" t="s">
        <v>271</v>
      </c>
      <c r="H74" s="10"/>
      <c r="I74" s="9"/>
      <c r="J74" s="8">
        <v>45995</v>
      </c>
      <c r="K74"/>
    </row>
    <row r="75" spans="1:11" x14ac:dyDescent="0.25">
      <c r="A75" t="str">
        <f>"INB-"&amp;MID(Tabela3[[#This Row],[Cenário]],1,2)&amp;"_"&amp;ROW()</f>
        <v>INB-IP_75</v>
      </c>
      <c r="B75" t="s">
        <v>759</v>
      </c>
      <c r="C75" t="s">
        <v>745</v>
      </c>
      <c r="D75" s="5" t="s">
        <v>312</v>
      </c>
      <c r="E75">
        <v>46482589</v>
      </c>
      <c r="F75" s="5"/>
      <c r="G75" t="s">
        <v>260</v>
      </c>
      <c r="H75" s="10"/>
      <c r="I75" s="9"/>
      <c r="J75" s="8"/>
      <c r="K75" t="s">
        <v>761</v>
      </c>
    </row>
    <row r="76" spans="1:11" x14ac:dyDescent="0.25">
      <c r="A76" t="str">
        <f>"INB-"&amp;MID(Tabela3[[#This Row],[Cenário]],1,2)&amp;"_"&amp;ROW()</f>
        <v>INB-IP_76</v>
      </c>
      <c r="B76" t="s">
        <v>759</v>
      </c>
      <c r="C76" t="s">
        <v>373</v>
      </c>
      <c r="D76" s="5" t="s">
        <v>283</v>
      </c>
      <c r="E76" s="5"/>
      <c r="F76" s="5"/>
      <c r="G76" t="s">
        <v>261</v>
      </c>
      <c r="H76" s="10"/>
      <c r="I76" s="9"/>
      <c r="J76" s="8"/>
      <c r="K76"/>
    </row>
    <row r="77" spans="1:11" x14ac:dyDescent="0.25">
      <c r="A77" t="str">
        <f>"INB-"&amp;MID(Tabela3[[#This Row],[Cenário]],1,2)&amp;"_"&amp;ROW()</f>
        <v>INB-IP_77</v>
      </c>
      <c r="B77" t="s">
        <v>759</v>
      </c>
      <c r="C77" t="s">
        <v>286</v>
      </c>
      <c r="D77" s="5" t="s">
        <v>312</v>
      </c>
      <c r="E77" s="5"/>
      <c r="F77" s="5"/>
      <c r="G77" t="s">
        <v>262</v>
      </c>
      <c r="H77" s="10"/>
      <c r="I77" s="9"/>
      <c r="J77" s="8"/>
      <c r="K77"/>
    </row>
    <row r="78" spans="1:11" x14ac:dyDescent="0.25">
      <c r="A78" t="str">
        <f>"INB-"&amp;MID(Tabela3[[#This Row],[Cenário]],1,2)&amp;"_"&amp;ROW()</f>
        <v>INB-IP_78</v>
      </c>
      <c r="B78" t="s">
        <v>759</v>
      </c>
      <c r="C78" t="s">
        <v>375</v>
      </c>
      <c r="D78" s="5" t="s">
        <v>285</v>
      </c>
      <c r="E78" s="5"/>
      <c r="F78" s="5"/>
      <c r="G78" t="s">
        <v>261</v>
      </c>
      <c r="H78" s="10"/>
      <c r="I78" s="9"/>
      <c r="J78" s="8"/>
      <c r="K78"/>
    </row>
    <row r="79" spans="1:11" x14ac:dyDescent="0.25">
      <c r="A79" t="str">
        <f>"INB-"&amp;MID(Tabela3[[#This Row],[Cenário]],1,2)&amp;"_"&amp;ROW()</f>
        <v>INB-P0_79</v>
      </c>
      <c r="B79" t="s">
        <v>762</v>
      </c>
      <c r="C79" t="s">
        <v>737</v>
      </c>
      <c r="D79" s="5" t="s">
        <v>308</v>
      </c>
      <c r="E79" s="62">
        <v>20823994</v>
      </c>
      <c r="F79" s="62"/>
      <c r="G79" t="s">
        <v>271</v>
      </c>
      <c r="H79" s="10">
        <v>45925</v>
      </c>
      <c r="I79" s="9"/>
      <c r="J79" s="8">
        <v>45925</v>
      </c>
      <c r="K79" s="19"/>
    </row>
    <row r="80" spans="1:11" x14ac:dyDescent="0.25">
      <c r="A80" t="str">
        <f>"INB-"&amp;MID(Tabela3[[#This Row],[Cenário]],1,2)&amp;"_"&amp;ROW()</f>
        <v>INB-P0_80</v>
      </c>
      <c r="B80" t="s">
        <v>762</v>
      </c>
      <c r="C80" t="s">
        <v>738</v>
      </c>
      <c r="D80" s="5" t="s">
        <v>309</v>
      </c>
      <c r="E80" s="5">
        <v>4501888797</v>
      </c>
      <c r="F80" s="62">
        <v>4502057503</v>
      </c>
      <c r="G80" t="s">
        <v>271</v>
      </c>
      <c r="H80" s="10">
        <v>45925</v>
      </c>
      <c r="I80" s="9"/>
      <c r="J80" s="8">
        <v>45925</v>
      </c>
      <c r="K80"/>
    </row>
    <row r="81" spans="1:11" x14ac:dyDescent="0.25">
      <c r="A81" t="str">
        <f>"INB-"&amp;MID(Tabela3[[#This Row],[Cenário]],1,2)&amp;"_"&amp;ROW()</f>
        <v>INB-P0_81</v>
      </c>
      <c r="B81" t="s">
        <v>762</v>
      </c>
      <c r="C81" t="s">
        <v>739</v>
      </c>
      <c r="D81" s="5" t="s">
        <v>310</v>
      </c>
      <c r="E81" s="5">
        <v>4501888797</v>
      </c>
      <c r="F81" s="62">
        <v>4502057503</v>
      </c>
      <c r="G81" t="s">
        <v>271</v>
      </c>
      <c r="H81" s="10">
        <v>45925</v>
      </c>
      <c r="I81" s="9"/>
      <c r="J81" s="8">
        <v>45925</v>
      </c>
      <c r="K81" t="s">
        <v>763</v>
      </c>
    </row>
    <row r="82" spans="1:11" x14ac:dyDescent="0.25">
      <c r="A82" t="str">
        <f>"INB-"&amp;MID(Tabela3[[#This Row],[Cenário]],1,2)&amp;"_"&amp;ROW()</f>
        <v>INB-P0_82</v>
      </c>
      <c r="B82" t="s">
        <v>762</v>
      </c>
      <c r="C82" t="s">
        <v>741</v>
      </c>
      <c r="D82" s="5" t="s">
        <v>270</v>
      </c>
      <c r="E82" s="5"/>
      <c r="F82" s="5">
        <v>46482708</v>
      </c>
      <c r="G82" t="s">
        <v>271</v>
      </c>
      <c r="H82" s="10"/>
      <c r="I82" s="9"/>
      <c r="J82" s="8">
        <v>45995</v>
      </c>
      <c r="K82"/>
    </row>
    <row r="83" spans="1:11" x14ac:dyDescent="0.25">
      <c r="A83" t="str">
        <f>"INB-"&amp;MID(Tabela3[[#This Row],[Cenário]],1,2)&amp;"_"&amp;ROW()</f>
        <v>INB-P0_83</v>
      </c>
      <c r="B83" t="s">
        <v>762</v>
      </c>
      <c r="C83" t="s">
        <v>742</v>
      </c>
      <c r="D83" s="5" t="s">
        <v>270</v>
      </c>
      <c r="E83" s="5"/>
      <c r="F83" s="5">
        <v>46482708</v>
      </c>
      <c r="G83" t="s">
        <v>271</v>
      </c>
      <c r="H83" s="10"/>
      <c r="I83" s="9"/>
      <c r="J83" s="8">
        <v>45995</v>
      </c>
      <c r="K83"/>
    </row>
    <row r="84" spans="1:11" x14ac:dyDescent="0.25">
      <c r="A84" t="str">
        <f>"INB-"&amp;MID(Tabela3[[#This Row],[Cenário]],1,2)&amp;"_"&amp;ROW()</f>
        <v>INB-P0_84</v>
      </c>
      <c r="B84" t="s">
        <v>762</v>
      </c>
      <c r="C84" t="s">
        <v>743</v>
      </c>
      <c r="D84" s="5" t="s">
        <v>311</v>
      </c>
      <c r="E84" s="63"/>
      <c r="F84" s="63"/>
      <c r="G84" t="s">
        <v>271</v>
      </c>
      <c r="H84" s="10">
        <v>45912</v>
      </c>
      <c r="I84" s="9"/>
      <c r="J84" s="10">
        <v>45912</v>
      </c>
      <c r="K84"/>
    </row>
    <row r="85" spans="1:11" x14ac:dyDescent="0.25">
      <c r="A85" t="str">
        <f>"INB-"&amp;MID(Tabela3[[#This Row],[Cenário]],1,2)&amp;"_"&amp;ROW()</f>
        <v>INB-P0_85</v>
      </c>
      <c r="B85" t="s">
        <v>762</v>
      </c>
      <c r="C85" t="s">
        <v>744</v>
      </c>
      <c r="D85" s="5" t="s">
        <v>270</v>
      </c>
      <c r="E85" s="5"/>
      <c r="F85" s="5">
        <v>46482708</v>
      </c>
      <c r="G85" t="s">
        <v>271</v>
      </c>
      <c r="H85" s="10"/>
      <c r="I85" s="9"/>
      <c r="J85" s="8">
        <v>45995</v>
      </c>
      <c r="K85"/>
    </row>
    <row r="86" spans="1:11" x14ac:dyDescent="0.25">
      <c r="A86" t="str">
        <f>"INB-"&amp;MID(Tabela3[[#This Row],[Cenário]],1,2)&amp;"_"&amp;ROW()</f>
        <v>INB-P0_86</v>
      </c>
      <c r="B86" t="s">
        <v>762</v>
      </c>
      <c r="C86" t="s">
        <v>745</v>
      </c>
      <c r="D86" s="5" t="s">
        <v>312</v>
      </c>
      <c r="E86" s="5">
        <v>46482708</v>
      </c>
      <c r="F86" s="5"/>
      <c r="G86" t="s">
        <v>271</v>
      </c>
      <c r="H86" s="10"/>
      <c r="I86" s="9"/>
      <c r="J86" s="8"/>
      <c r="K86"/>
    </row>
    <row r="87" spans="1:11" x14ac:dyDescent="0.25">
      <c r="A87" t="str">
        <f>"INB-"&amp;MID(Tabela3[[#This Row],[Cenário]],1,2)&amp;"_"&amp;ROW()</f>
        <v>INB-P0_87</v>
      </c>
      <c r="B87" t="s">
        <v>762</v>
      </c>
      <c r="C87" t="s">
        <v>373</v>
      </c>
      <c r="D87" s="5" t="s">
        <v>283</v>
      </c>
      <c r="E87" s="5">
        <v>46482708</v>
      </c>
      <c r="F87" s="5"/>
      <c r="G87" t="s">
        <v>271</v>
      </c>
      <c r="H87" s="10">
        <v>45789</v>
      </c>
      <c r="I87" s="9"/>
      <c r="J87" s="8">
        <v>45789</v>
      </c>
      <c r="K87"/>
    </row>
    <row r="88" spans="1:11" x14ac:dyDescent="0.25">
      <c r="A88" t="str">
        <f>"INB-"&amp;MID(Tabela3[[#This Row],[Cenário]],1,2)&amp;"_"&amp;ROW()</f>
        <v>INB-P0_88</v>
      </c>
      <c r="B88" t="s">
        <v>762</v>
      </c>
      <c r="C88" t="s">
        <v>286</v>
      </c>
      <c r="D88" s="5" t="s">
        <v>312</v>
      </c>
      <c r="E88" s="5"/>
      <c r="F88" s="5"/>
      <c r="G88" t="s">
        <v>262</v>
      </c>
      <c r="H88" s="10"/>
      <c r="I88" s="9"/>
      <c r="J88" s="8"/>
      <c r="K88"/>
    </row>
    <row r="89" spans="1:11" x14ac:dyDescent="0.25">
      <c r="A89" t="str">
        <f>"INB-"&amp;MID(Tabela3[[#This Row],[Cenário]],1,2)&amp;"_"&amp;ROW()</f>
        <v>INB-P0_89</v>
      </c>
      <c r="B89" t="s">
        <v>762</v>
      </c>
      <c r="C89" t="s">
        <v>375</v>
      </c>
      <c r="D89" s="5" t="s">
        <v>285</v>
      </c>
      <c r="E89" s="5"/>
      <c r="F89" s="5"/>
      <c r="G89" t="s">
        <v>275</v>
      </c>
      <c r="H89" s="10"/>
      <c r="I89" s="9"/>
      <c r="J89" s="8"/>
      <c r="K89"/>
    </row>
    <row r="90" spans="1:11" ht="15.75" customHeight="1" x14ac:dyDescent="0.25">
      <c r="A90" t="str">
        <f>"INB-"&amp;MID(Tabela3[[#This Row],[Cenário]],1,2)&amp;"_"&amp;ROW()</f>
        <v>INB-CS_90</v>
      </c>
      <c r="B90" t="s">
        <v>764</v>
      </c>
      <c r="C90" t="s">
        <v>737</v>
      </c>
      <c r="D90" s="5" t="s">
        <v>308</v>
      </c>
      <c r="E90" s="62">
        <v>20823995</v>
      </c>
      <c r="F90" s="62"/>
      <c r="G90" t="s">
        <v>271</v>
      </c>
      <c r="H90" s="10">
        <v>45936</v>
      </c>
      <c r="I90" s="9"/>
      <c r="J90" s="8">
        <v>45936</v>
      </c>
      <c r="K90" s="19"/>
    </row>
    <row r="91" spans="1:11" x14ac:dyDescent="0.25">
      <c r="A91" t="str">
        <f>"INB-"&amp;MID(Tabela3[[#This Row],[Cenário]],1,2)&amp;"_"&amp;ROW()</f>
        <v>INB-CS_91</v>
      </c>
      <c r="B91" t="s">
        <v>764</v>
      </c>
      <c r="C91" t="s">
        <v>738</v>
      </c>
      <c r="D91" s="5" t="s">
        <v>309</v>
      </c>
      <c r="E91" s="62">
        <v>4501888830</v>
      </c>
      <c r="F91" s="62">
        <v>4502011662</v>
      </c>
      <c r="G91" t="s">
        <v>271</v>
      </c>
      <c r="H91" s="10">
        <v>45936</v>
      </c>
      <c r="I91" s="9"/>
      <c r="J91" s="8">
        <v>45936</v>
      </c>
      <c r="K91"/>
    </row>
    <row r="92" spans="1:11" x14ac:dyDescent="0.25">
      <c r="A92" t="str">
        <f>"INB-"&amp;MID(Tabela3[[#This Row],[Cenário]],1,2)&amp;"_"&amp;ROW()</f>
        <v>INB-CS_92</v>
      </c>
      <c r="B92" t="s">
        <v>764</v>
      </c>
      <c r="C92" t="s">
        <v>739</v>
      </c>
      <c r="D92" s="5" t="s">
        <v>310</v>
      </c>
      <c r="E92" s="62">
        <v>4501888830</v>
      </c>
      <c r="F92" s="62">
        <v>4502011662</v>
      </c>
      <c r="G92" t="s">
        <v>271</v>
      </c>
      <c r="H92" s="10">
        <v>45936</v>
      </c>
      <c r="I92" s="9"/>
      <c r="J92" s="8">
        <v>45936</v>
      </c>
      <c r="K92" t="s">
        <v>765</v>
      </c>
    </row>
    <row r="93" spans="1:11" x14ac:dyDescent="0.25">
      <c r="A93" t="str">
        <f>"INB-"&amp;MID(Tabela3[[#This Row],[Cenário]],1,2)&amp;"_"&amp;ROW()</f>
        <v>INB-CS_93</v>
      </c>
      <c r="B93" t="s">
        <v>764</v>
      </c>
      <c r="C93" t="s">
        <v>741</v>
      </c>
      <c r="D93" s="5" t="s">
        <v>270</v>
      </c>
      <c r="E93" s="5"/>
      <c r="F93" s="5">
        <v>46482709</v>
      </c>
      <c r="G93" t="s">
        <v>271</v>
      </c>
      <c r="H93" s="10"/>
      <c r="I93" s="9"/>
      <c r="J93" s="8">
        <v>45995</v>
      </c>
      <c r="K93"/>
    </row>
    <row r="94" spans="1:11" x14ac:dyDescent="0.25">
      <c r="A94" t="str">
        <f>"INB-"&amp;MID(Tabela3[[#This Row],[Cenário]],1,2)&amp;"_"&amp;ROW()</f>
        <v>INB-CS_94</v>
      </c>
      <c r="B94" t="s">
        <v>764</v>
      </c>
      <c r="C94" t="s">
        <v>742</v>
      </c>
      <c r="D94" s="5" t="s">
        <v>270</v>
      </c>
      <c r="E94" s="5"/>
      <c r="F94" s="5">
        <v>46482709</v>
      </c>
      <c r="G94" t="s">
        <v>271</v>
      </c>
      <c r="H94" s="10"/>
      <c r="I94" s="9"/>
      <c r="J94" s="8">
        <v>45995</v>
      </c>
      <c r="K94"/>
    </row>
    <row r="95" spans="1:11" x14ac:dyDescent="0.25">
      <c r="A95" t="str">
        <f>"INB-"&amp;MID(Tabela3[[#This Row],[Cenário]],1,2)&amp;"_"&amp;ROW()</f>
        <v>INB-CS_95</v>
      </c>
      <c r="B95" t="s">
        <v>764</v>
      </c>
      <c r="C95" t="s">
        <v>743</v>
      </c>
      <c r="D95" s="5" t="s">
        <v>311</v>
      </c>
      <c r="E95" s="63"/>
      <c r="F95" s="63"/>
      <c r="G95" t="s">
        <v>271</v>
      </c>
      <c r="H95" s="10">
        <v>45912</v>
      </c>
      <c r="I95" s="9"/>
      <c r="J95" s="10">
        <v>45912</v>
      </c>
      <c r="K95"/>
    </row>
    <row r="96" spans="1:11" x14ac:dyDescent="0.25">
      <c r="A96" t="str">
        <f>"INB-"&amp;MID(Tabela3[[#This Row],[Cenário]],1,2)&amp;"_"&amp;ROW()</f>
        <v>INB-CS_96</v>
      </c>
      <c r="B96" t="s">
        <v>764</v>
      </c>
      <c r="C96" t="s">
        <v>744</v>
      </c>
      <c r="D96" s="5" t="s">
        <v>270</v>
      </c>
      <c r="E96" s="5"/>
      <c r="F96" s="5">
        <v>46482709</v>
      </c>
      <c r="G96" t="s">
        <v>271</v>
      </c>
      <c r="H96" s="10"/>
      <c r="I96" s="9"/>
      <c r="J96" s="8">
        <v>45995</v>
      </c>
      <c r="K96"/>
    </row>
    <row r="97" spans="1:11" x14ac:dyDescent="0.25">
      <c r="A97" t="str">
        <f>"INB-"&amp;MID(Tabela3[[#This Row],[Cenário]],1,2)&amp;"_"&amp;ROW()</f>
        <v>INB-CS_97</v>
      </c>
      <c r="B97" t="s">
        <v>764</v>
      </c>
      <c r="C97" t="s">
        <v>745</v>
      </c>
      <c r="D97" s="5" t="s">
        <v>312</v>
      </c>
      <c r="E97">
        <v>46482709</v>
      </c>
      <c r="F97" s="5"/>
      <c r="G97" t="s">
        <v>271</v>
      </c>
      <c r="H97" s="10"/>
      <c r="I97" s="9"/>
      <c r="J97" s="8"/>
      <c r="K97"/>
    </row>
    <row r="98" spans="1:11" x14ac:dyDescent="0.25">
      <c r="A98" t="str">
        <f>"INB-"&amp;MID(Tabela3[[#This Row],[Cenário]],1,2)&amp;"_"&amp;ROW()</f>
        <v>INB-CS_98</v>
      </c>
      <c r="B98" t="s">
        <v>764</v>
      </c>
      <c r="C98" t="s">
        <v>373</v>
      </c>
      <c r="D98" s="5" t="s">
        <v>283</v>
      </c>
      <c r="E98" s="5"/>
      <c r="F98" s="5"/>
      <c r="G98" t="s">
        <v>271</v>
      </c>
      <c r="H98" s="10">
        <v>45996</v>
      </c>
      <c r="I98" s="9"/>
      <c r="J98" s="8">
        <v>45996</v>
      </c>
      <c r="K98"/>
    </row>
    <row r="99" spans="1:11" x14ac:dyDescent="0.25">
      <c r="A99" t="str">
        <f>"INB-"&amp;MID(Tabela3[[#This Row],[Cenário]],1,2)&amp;"_"&amp;ROW()</f>
        <v>INB-CS_99</v>
      </c>
      <c r="B99" t="s">
        <v>764</v>
      </c>
      <c r="C99" t="s">
        <v>286</v>
      </c>
      <c r="D99" s="5" t="s">
        <v>312</v>
      </c>
      <c r="E99" s="5"/>
      <c r="F99" s="5"/>
      <c r="G99" t="s">
        <v>262</v>
      </c>
      <c r="H99" s="10"/>
      <c r="I99" s="9"/>
      <c r="J99" s="8"/>
      <c r="K99"/>
    </row>
    <row r="100" spans="1:11" x14ac:dyDescent="0.25">
      <c r="A100" t="str">
        <f>"INB-"&amp;MID(Tabela3[[#This Row],[Cenário]],1,2)&amp;"_"&amp;ROW()</f>
        <v>INB-CS_100</v>
      </c>
      <c r="B100" t="s">
        <v>764</v>
      </c>
      <c r="C100" t="s">
        <v>375</v>
      </c>
      <c r="D100" s="5" t="s">
        <v>285</v>
      </c>
      <c r="E100" s="5"/>
      <c r="F100" s="5"/>
      <c r="G100" t="s">
        <v>271</v>
      </c>
      <c r="H100" s="10">
        <v>45996</v>
      </c>
      <c r="I100" s="9"/>
      <c r="J100" s="10">
        <v>45996</v>
      </c>
      <c r="K100" s="6" t="s">
        <v>746</v>
      </c>
    </row>
    <row r="101" spans="1:11" ht="12.75" customHeight="1" x14ac:dyDescent="0.25">
      <c r="A101" t="str">
        <f>"INB-"&amp;MID(Tabela3[[#This Row],[Cenário]],1,2)&amp;"_"&amp;ROW()</f>
        <v>INB-T2_101</v>
      </c>
      <c r="B101" t="s">
        <v>766</v>
      </c>
      <c r="C101" t="s">
        <v>737</v>
      </c>
      <c r="D101" s="5" t="s">
        <v>308</v>
      </c>
      <c r="E101" s="67" t="s">
        <v>767</v>
      </c>
      <c r="F101" s="66" t="s">
        <v>767</v>
      </c>
      <c r="G101" t="s">
        <v>271</v>
      </c>
      <c r="H101" s="10">
        <v>45936</v>
      </c>
      <c r="I101" s="9"/>
      <c r="J101" s="8">
        <v>45936</v>
      </c>
      <c r="K101" s="19"/>
    </row>
    <row r="102" spans="1:11" x14ac:dyDescent="0.25">
      <c r="A102" t="str">
        <f>"INB-"&amp;MID(Tabela3[[#This Row],[Cenário]],1,2)&amp;"_"&amp;ROW()</f>
        <v>INB-T2_102</v>
      </c>
      <c r="B102" t="s">
        <v>766</v>
      </c>
      <c r="C102" t="s">
        <v>738</v>
      </c>
      <c r="D102" s="5" t="s">
        <v>309</v>
      </c>
      <c r="E102" s="62">
        <v>4501888828</v>
      </c>
      <c r="F102" s="62">
        <v>4501941581</v>
      </c>
      <c r="G102" t="s">
        <v>271</v>
      </c>
      <c r="H102" s="10">
        <v>45936</v>
      </c>
      <c r="I102" s="9"/>
      <c r="J102" s="8">
        <v>45936</v>
      </c>
      <c r="K102"/>
    </row>
    <row r="103" spans="1:11" x14ac:dyDescent="0.25">
      <c r="A103" t="str">
        <f>"INB-"&amp;MID(Tabela3[[#This Row],[Cenário]],1,2)&amp;"_"&amp;ROW()</f>
        <v>INB-T2_103</v>
      </c>
      <c r="B103" t="s">
        <v>766</v>
      </c>
      <c r="C103" t="s">
        <v>739</v>
      </c>
      <c r="D103" s="5" t="s">
        <v>310</v>
      </c>
      <c r="E103" s="62">
        <v>4501888828</v>
      </c>
      <c r="F103" s="62">
        <v>4501941581</v>
      </c>
      <c r="G103" t="s">
        <v>271</v>
      </c>
      <c r="H103" s="10">
        <v>45936</v>
      </c>
      <c r="I103" s="9"/>
      <c r="J103" s="8">
        <v>45936</v>
      </c>
      <c r="K103" t="s">
        <v>768</v>
      </c>
    </row>
    <row r="104" spans="1:11" x14ac:dyDescent="0.25">
      <c r="A104" t="str">
        <f>"INB-"&amp;MID(Tabela3[[#This Row],[Cenário]],1,2)&amp;"_"&amp;ROW()</f>
        <v>INB-T2_104</v>
      </c>
      <c r="B104" t="s">
        <v>766</v>
      </c>
      <c r="C104" t="s">
        <v>741</v>
      </c>
      <c r="D104" s="5" t="s">
        <v>270</v>
      </c>
      <c r="E104" s="5"/>
      <c r="F104" s="5">
        <v>46482710</v>
      </c>
      <c r="G104" t="s">
        <v>271</v>
      </c>
      <c r="H104" s="10"/>
      <c r="I104" s="9"/>
      <c r="J104" s="8">
        <v>45995</v>
      </c>
      <c r="K104"/>
    </row>
    <row r="105" spans="1:11" x14ac:dyDescent="0.25">
      <c r="A105" t="str">
        <f>"INB-"&amp;MID(Tabela3[[#This Row],[Cenário]],1,2)&amp;"_"&amp;ROW()</f>
        <v>INB-T2_105</v>
      </c>
      <c r="B105" t="s">
        <v>766</v>
      </c>
      <c r="C105" t="s">
        <v>742</v>
      </c>
      <c r="D105" s="5" t="s">
        <v>270</v>
      </c>
      <c r="E105" s="5"/>
      <c r="F105" s="5">
        <v>46482710</v>
      </c>
      <c r="G105" t="s">
        <v>271</v>
      </c>
      <c r="H105" s="10"/>
      <c r="I105" s="9"/>
      <c r="J105" s="8">
        <v>45995</v>
      </c>
      <c r="K105"/>
    </row>
    <row r="106" spans="1:11" x14ac:dyDescent="0.25">
      <c r="A106" t="str">
        <f>"INB-"&amp;MID(Tabela3[[#This Row],[Cenário]],1,2)&amp;"_"&amp;ROW()</f>
        <v>INB-T2_106</v>
      </c>
      <c r="B106" t="s">
        <v>766</v>
      </c>
      <c r="C106" t="s">
        <v>743</v>
      </c>
      <c r="D106" s="5" t="s">
        <v>311</v>
      </c>
      <c r="E106" s="63"/>
      <c r="F106" s="63"/>
      <c r="G106" t="s">
        <v>356</v>
      </c>
      <c r="H106" s="10">
        <v>45912</v>
      </c>
      <c r="I106" s="9"/>
      <c r="J106" s="9"/>
      <c r="K106" t="s">
        <v>769</v>
      </c>
    </row>
    <row r="107" spans="1:11" x14ac:dyDescent="0.25">
      <c r="A107" t="str">
        <f>"INB-"&amp;MID(Tabela3[[#This Row],[Cenário]],1,2)&amp;"_"&amp;ROW()</f>
        <v>INB-T2_107</v>
      </c>
      <c r="B107" t="s">
        <v>766</v>
      </c>
      <c r="C107" t="s">
        <v>744</v>
      </c>
      <c r="D107" s="5" t="s">
        <v>270</v>
      </c>
      <c r="E107" s="5"/>
      <c r="F107" s="5">
        <v>46482710</v>
      </c>
      <c r="G107" t="s">
        <v>271</v>
      </c>
      <c r="H107" s="10"/>
      <c r="I107" s="9"/>
      <c r="J107" s="8">
        <v>45995</v>
      </c>
      <c r="K107"/>
    </row>
    <row r="108" spans="1:11" x14ac:dyDescent="0.25">
      <c r="A108" t="str">
        <f>"INB-"&amp;MID(Tabela3[[#This Row],[Cenário]],1,2)&amp;"_"&amp;ROW()</f>
        <v>INB-T2_108</v>
      </c>
      <c r="B108" t="s">
        <v>766</v>
      </c>
      <c r="C108" t="s">
        <v>745</v>
      </c>
      <c r="D108" s="5" t="s">
        <v>312</v>
      </c>
      <c r="E108" s="5">
        <v>46482710</v>
      </c>
      <c r="F108" s="5"/>
      <c r="G108" t="s">
        <v>271</v>
      </c>
      <c r="H108" s="10"/>
      <c r="I108" s="9"/>
      <c r="J108" s="8"/>
      <c r="K108"/>
    </row>
    <row r="109" spans="1:11" x14ac:dyDescent="0.25">
      <c r="A109" t="str">
        <f>"INB-"&amp;MID(Tabela3[[#This Row],[Cenário]],1,2)&amp;"_"&amp;ROW()</f>
        <v>INB-T2_109</v>
      </c>
      <c r="B109" t="s">
        <v>766</v>
      </c>
      <c r="C109" t="s">
        <v>373</v>
      </c>
      <c r="D109" s="5" t="s">
        <v>283</v>
      </c>
      <c r="E109" s="5">
        <v>46482710</v>
      </c>
      <c r="F109" s="5"/>
      <c r="G109" t="s">
        <v>271</v>
      </c>
      <c r="H109" s="10">
        <v>45789</v>
      </c>
      <c r="I109" s="9"/>
      <c r="J109" s="8">
        <v>45789</v>
      </c>
      <c r="K109"/>
    </row>
    <row r="110" spans="1:11" x14ac:dyDescent="0.25">
      <c r="A110" t="str">
        <f>"INB-"&amp;MID(Tabela3[[#This Row],[Cenário]],1,2)&amp;"_"&amp;ROW()</f>
        <v>INB-T2_110</v>
      </c>
      <c r="B110" t="s">
        <v>766</v>
      </c>
      <c r="C110" t="s">
        <v>286</v>
      </c>
      <c r="D110" s="5" t="s">
        <v>312</v>
      </c>
      <c r="E110" s="5"/>
      <c r="F110" s="5"/>
      <c r="G110" t="s">
        <v>262</v>
      </c>
      <c r="H110" s="10"/>
      <c r="I110" s="9"/>
      <c r="J110" s="8"/>
      <c r="K110"/>
    </row>
    <row r="111" spans="1:11" x14ac:dyDescent="0.25">
      <c r="A111" t="str">
        <f>"INB-"&amp;MID(Tabela3[[#This Row],[Cenário]],1,2)&amp;"_"&amp;ROW()</f>
        <v>INB-T2_111</v>
      </c>
      <c r="B111" t="s">
        <v>766</v>
      </c>
      <c r="C111" t="s">
        <v>375</v>
      </c>
      <c r="D111" s="5" t="s">
        <v>285</v>
      </c>
      <c r="E111" s="5"/>
      <c r="F111" s="5"/>
      <c r="G111" t="s">
        <v>275</v>
      </c>
      <c r="H111" s="10"/>
      <c r="I111" s="9"/>
      <c r="J111" s="8"/>
      <c r="K111"/>
    </row>
    <row r="112" spans="1:11" x14ac:dyDescent="0.25">
      <c r="A112" t="str">
        <f>"INB-"&amp;MID(Tabela3[[#This Row],[Cenário]],1,2)&amp;"_"&amp;ROW()</f>
        <v>INB-P2_112</v>
      </c>
      <c r="B112" t="s">
        <v>770</v>
      </c>
      <c r="C112" t="s">
        <v>737</v>
      </c>
      <c r="D112" s="5" t="s">
        <v>308</v>
      </c>
      <c r="E112" s="66" t="s">
        <v>767</v>
      </c>
      <c r="F112" s="63"/>
      <c r="G112" t="s">
        <v>271</v>
      </c>
      <c r="H112" s="10">
        <v>45960</v>
      </c>
      <c r="I112" s="9"/>
      <c r="J112" s="8">
        <v>45960</v>
      </c>
      <c r="K112"/>
    </row>
    <row r="113" spans="1:11" x14ac:dyDescent="0.25">
      <c r="A113" t="str">
        <f>"INB-"&amp;MID(Tabela3[[#This Row],[Cenário]],1,2)&amp;"_"&amp;ROW()</f>
        <v>INB-P2_113</v>
      </c>
      <c r="B113" t="s">
        <v>770</v>
      </c>
      <c r="C113" t="s">
        <v>738</v>
      </c>
      <c r="D113" s="5" t="s">
        <v>309</v>
      </c>
      <c r="E113" s="62">
        <v>4501888980</v>
      </c>
      <c r="F113" s="63"/>
      <c r="G113" t="s">
        <v>271</v>
      </c>
      <c r="H113" s="10">
        <v>45960</v>
      </c>
      <c r="I113" s="9"/>
      <c r="J113" s="8">
        <v>45960</v>
      </c>
      <c r="K113"/>
    </row>
    <row r="114" spans="1:11" x14ac:dyDescent="0.25">
      <c r="A114" t="str">
        <f>"INB-"&amp;MID(Tabela3[[#This Row],[Cenário]],1,2)&amp;"_"&amp;ROW()</f>
        <v>INB-P2_114</v>
      </c>
      <c r="B114" t="s">
        <v>770</v>
      </c>
      <c r="C114" t="s">
        <v>739</v>
      </c>
      <c r="D114" s="5" t="s">
        <v>310</v>
      </c>
      <c r="E114" s="62">
        <v>4501888980</v>
      </c>
      <c r="F114" s="5"/>
      <c r="G114" t="s">
        <v>271</v>
      </c>
      <c r="H114" s="10">
        <v>45961</v>
      </c>
      <c r="I114" s="9"/>
      <c r="J114" s="8">
        <v>45961</v>
      </c>
      <c r="K114"/>
    </row>
    <row r="115" spans="1:11" x14ac:dyDescent="0.25">
      <c r="A115" t="str">
        <f>"INB-"&amp;MID(Tabela3[[#This Row],[Cenário]],1,2)&amp;"_"&amp;ROW()</f>
        <v>INB-P2_115</v>
      </c>
      <c r="B115" t="s">
        <v>770</v>
      </c>
      <c r="C115" t="s">
        <v>741</v>
      </c>
      <c r="D115" s="5" t="s">
        <v>270</v>
      </c>
      <c r="E115" s="5">
        <v>183855852</v>
      </c>
      <c r="F115" s="5"/>
      <c r="G115" t="s">
        <v>271</v>
      </c>
      <c r="H115" s="10">
        <v>45961</v>
      </c>
      <c r="I115" s="9"/>
      <c r="J115" s="8">
        <v>45961</v>
      </c>
      <c r="K115"/>
    </row>
    <row r="116" spans="1:11" x14ac:dyDescent="0.25">
      <c r="A116" t="str">
        <f>"INB-"&amp;MID(Tabela3[[#This Row],[Cenário]],1,2)&amp;"_"&amp;ROW()</f>
        <v>INB-P2_116</v>
      </c>
      <c r="B116" t="s">
        <v>770</v>
      </c>
      <c r="C116" t="s">
        <v>742</v>
      </c>
      <c r="D116" s="5" t="s">
        <v>270</v>
      </c>
      <c r="E116" s="5">
        <v>5026020559</v>
      </c>
      <c r="F116" s="5"/>
      <c r="G116" t="s">
        <v>271</v>
      </c>
      <c r="H116" s="10">
        <v>45972</v>
      </c>
      <c r="I116" s="9"/>
      <c r="J116" s="8">
        <v>45972</v>
      </c>
      <c r="K116"/>
    </row>
    <row r="117" spans="1:11" x14ac:dyDescent="0.25">
      <c r="A117" t="str">
        <f>"INB-"&amp;MID(Tabela3[[#This Row],[Cenário]],1,2)&amp;"_"&amp;ROW()</f>
        <v>INB-P2_117</v>
      </c>
      <c r="B117" t="s">
        <v>770</v>
      </c>
      <c r="C117" t="s">
        <v>743</v>
      </c>
      <c r="D117" s="5" t="s">
        <v>311</v>
      </c>
      <c r="E117" s="63"/>
      <c r="F117" s="63"/>
      <c r="G117" t="s">
        <v>271</v>
      </c>
      <c r="H117" s="9"/>
      <c r="I117" s="9"/>
      <c r="J117" s="9"/>
      <c r="K117"/>
    </row>
    <row r="118" spans="1:11" x14ac:dyDescent="0.25">
      <c r="A118" t="str">
        <f>"INB-"&amp;MID(Tabela3[[#This Row],[Cenário]],1,2)&amp;"_"&amp;ROW()</f>
        <v>INB-P2_118</v>
      </c>
      <c r="B118" t="s">
        <v>770</v>
      </c>
      <c r="C118" t="s">
        <v>744</v>
      </c>
      <c r="D118" s="5" t="s">
        <v>270</v>
      </c>
      <c r="E118" s="5">
        <v>5109666389</v>
      </c>
      <c r="F118" s="5"/>
      <c r="G118" t="s">
        <v>271</v>
      </c>
      <c r="H118" s="10">
        <v>45972</v>
      </c>
      <c r="I118" s="9"/>
      <c r="J118" s="8">
        <v>45972</v>
      </c>
      <c r="K118"/>
    </row>
    <row r="119" spans="1:11" x14ac:dyDescent="0.25">
      <c r="A119" t="str">
        <f>"INB-"&amp;MID(Tabela3[[#This Row],[Cenário]],1,2)&amp;"_"&amp;ROW()</f>
        <v>INB-P2_119</v>
      </c>
      <c r="B119" t="s">
        <v>770</v>
      </c>
      <c r="C119" t="s">
        <v>745</v>
      </c>
      <c r="D119" s="5" t="s">
        <v>312</v>
      </c>
      <c r="E119">
        <v>46482770</v>
      </c>
      <c r="F119" s="5"/>
      <c r="G119" t="s">
        <v>260</v>
      </c>
      <c r="H119" s="10"/>
      <c r="I119" s="9"/>
      <c r="J119" s="8"/>
      <c r="K119" t="s">
        <v>771</v>
      </c>
    </row>
    <row r="120" spans="1:11" x14ac:dyDescent="0.25">
      <c r="A120" t="str">
        <f>"INB-"&amp;MID(Tabela3[[#This Row],[Cenário]],1,2)&amp;"_"&amp;ROW()</f>
        <v>INB-P2_120</v>
      </c>
      <c r="B120" t="s">
        <v>770</v>
      </c>
      <c r="C120" t="s">
        <v>373</v>
      </c>
      <c r="D120" s="5" t="s">
        <v>283</v>
      </c>
      <c r="E120" s="5"/>
      <c r="F120" s="5"/>
      <c r="G120" t="s">
        <v>261</v>
      </c>
      <c r="H120" s="10"/>
      <c r="I120" s="9"/>
      <c r="J120" s="8">
        <v>45989</v>
      </c>
      <c r="K120"/>
    </row>
    <row r="121" spans="1:11" x14ac:dyDescent="0.25">
      <c r="A121" t="str">
        <f>"INB-"&amp;MID(Tabela3[[#This Row],[Cenário]],1,2)&amp;"_"&amp;ROW()</f>
        <v>INB-P2_121</v>
      </c>
      <c r="B121" t="s">
        <v>770</v>
      </c>
      <c r="C121" t="s">
        <v>286</v>
      </c>
      <c r="D121" s="5" t="s">
        <v>312</v>
      </c>
      <c r="E121" s="5"/>
      <c r="F121" s="5"/>
      <c r="G121" t="s">
        <v>262</v>
      </c>
      <c r="H121" s="10"/>
      <c r="I121" s="9"/>
      <c r="J121" s="8"/>
      <c r="K121"/>
    </row>
    <row r="122" spans="1:11" x14ac:dyDescent="0.25">
      <c r="A122" t="str">
        <f>"INB-"&amp;MID(Tabela3[[#This Row],[Cenário]],1,2)&amp;"_"&amp;ROW()</f>
        <v>INB-P2_122</v>
      </c>
      <c r="B122" t="s">
        <v>770</v>
      </c>
      <c r="C122" t="s">
        <v>375</v>
      </c>
      <c r="D122" s="5" t="s">
        <v>285</v>
      </c>
      <c r="E122" s="5"/>
      <c r="F122" s="5"/>
      <c r="G122" t="s">
        <v>275</v>
      </c>
      <c r="H122" s="10"/>
      <c r="I122" s="9"/>
      <c r="J122" s="8"/>
      <c r="K122"/>
    </row>
    <row r="123" spans="1:11" x14ac:dyDescent="0.25">
      <c r="A123" t="str">
        <f>"INB-"&amp;MID(Tabela3[[#This Row],[Cenário]],1,2)&amp;"_"&amp;ROW()</f>
        <v>INB-P2_123</v>
      </c>
      <c r="B123" t="s">
        <v>772</v>
      </c>
      <c r="C123" t="s">
        <v>737</v>
      </c>
      <c r="D123" s="5" t="s">
        <v>308</v>
      </c>
      <c r="E123" s="65" t="s">
        <v>767</v>
      </c>
      <c r="F123" s="5"/>
      <c r="G123" t="s">
        <v>271</v>
      </c>
      <c r="H123" s="10">
        <v>45936</v>
      </c>
      <c r="I123" s="9"/>
      <c r="J123" s="8">
        <v>45936</v>
      </c>
      <c r="K123"/>
    </row>
    <row r="124" spans="1:11" x14ac:dyDescent="0.25">
      <c r="A124" t="str">
        <f>"INB-"&amp;MID(Tabela3[[#This Row],[Cenário]],1,2)&amp;"_"&amp;ROW()</f>
        <v>INB-P2_124</v>
      </c>
      <c r="B124" t="s">
        <v>772</v>
      </c>
      <c r="C124" t="s">
        <v>738</v>
      </c>
      <c r="D124" s="5" t="s">
        <v>309</v>
      </c>
      <c r="E124" s="5">
        <v>4501888827</v>
      </c>
      <c r="F124" s="5">
        <v>4501959709</v>
      </c>
      <c r="G124" t="s">
        <v>271</v>
      </c>
      <c r="H124" s="10">
        <v>45936</v>
      </c>
      <c r="I124" s="9"/>
      <c r="J124" s="8">
        <v>45936</v>
      </c>
      <c r="K124"/>
    </row>
    <row r="125" spans="1:11" x14ac:dyDescent="0.25">
      <c r="A125" t="str">
        <f>"INB-"&amp;MID(Tabela3[[#This Row],[Cenário]],1,2)&amp;"_"&amp;ROW()</f>
        <v>INB-P2_125</v>
      </c>
      <c r="B125" t="s">
        <v>772</v>
      </c>
      <c r="C125" t="s">
        <v>739</v>
      </c>
      <c r="D125" s="5" t="s">
        <v>310</v>
      </c>
      <c r="E125" s="5">
        <v>4501888827</v>
      </c>
      <c r="F125" s="5">
        <v>4501959709</v>
      </c>
      <c r="G125" t="s">
        <v>271</v>
      </c>
      <c r="H125" s="10">
        <v>45936</v>
      </c>
      <c r="I125" s="9"/>
      <c r="J125" s="8">
        <v>45936</v>
      </c>
      <c r="K125" t="s">
        <v>773</v>
      </c>
    </row>
    <row r="126" spans="1:11" x14ac:dyDescent="0.25">
      <c r="A126" t="str">
        <f>"INB-"&amp;MID(Tabela3[[#This Row],[Cenário]],1,2)&amp;"_"&amp;ROW()</f>
        <v>INB-P2_126</v>
      </c>
      <c r="B126" t="s">
        <v>772</v>
      </c>
      <c r="C126" t="s">
        <v>741</v>
      </c>
      <c r="D126" s="5" t="s">
        <v>270</v>
      </c>
      <c r="E126" s="5"/>
      <c r="F126" s="5">
        <v>46482711</v>
      </c>
      <c r="G126" t="s">
        <v>271</v>
      </c>
      <c r="H126" s="10"/>
      <c r="I126" s="9"/>
      <c r="J126" s="8">
        <v>45995</v>
      </c>
      <c r="K126"/>
    </row>
    <row r="127" spans="1:11" x14ac:dyDescent="0.25">
      <c r="A127" t="str">
        <f>"INB-"&amp;MID(Tabela3[[#This Row],[Cenário]],1,2)&amp;"_"&amp;ROW()</f>
        <v>INB-P2_127</v>
      </c>
      <c r="B127" t="s">
        <v>772</v>
      </c>
      <c r="C127" t="s">
        <v>742</v>
      </c>
      <c r="D127" s="5" t="s">
        <v>270</v>
      </c>
      <c r="E127" s="5"/>
      <c r="F127" s="5">
        <v>46482711</v>
      </c>
      <c r="G127" t="s">
        <v>271</v>
      </c>
      <c r="H127" s="10"/>
      <c r="I127" s="9"/>
      <c r="J127" s="8">
        <v>45995</v>
      </c>
      <c r="K127"/>
    </row>
    <row r="128" spans="1:11" x14ac:dyDescent="0.25">
      <c r="A128" t="str">
        <f>"INB-"&amp;MID(Tabela3[[#This Row],[Cenário]],1,2)&amp;"_"&amp;ROW()</f>
        <v>INB-P2_128</v>
      </c>
      <c r="B128" t="s">
        <v>772</v>
      </c>
      <c r="C128" t="s">
        <v>743</v>
      </c>
      <c r="D128" s="5" t="s">
        <v>311</v>
      </c>
      <c r="E128" s="63"/>
      <c r="F128" s="63"/>
      <c r="G128" t="s">
        <v>271</v>
      </c>
      <c r="H128" s="10">
        <v>45912</v>
      </c>
      <c r="I128" s="9"/>
      <c r="J128" s="10">
        <v>45912</v>
      </c>
      <c r="K128"/>
    </row>
    <row r="129" spans="1:11" x14ac:dyDescent="0.25">
      <c r="A129" t="str">
        <f>"INB-"&amp;MID(Tabela3[[#This Row],[Cenário]],1,2)&amp;"_"&amp;ROW()</f>
        <v>INB-P2_129</v>
      </c>
      <c r="B129" t="s">
        <v>772</v>
      </c>
      <c r="C129" t="s">
        <v>744</v>
      </c>
      <c r="D129" s="5" t="s">
        <v>270</v>
      </c>
      <c r="E129" s="5"/>
      <c r="F129" s="5">
        <v>46482711</v>
      </c>
      <c r="G129" t="s">
        <v>271</v>
      </c>
      <c r="H129" s="10"/>
      <c r="I129" s="9"/>
      <c r="J129" s="8">
        <v>45995</v>
      </c>
      <c r="K129"/>
    </row>
    <row r="130" spans="1:11" x14ac:dyDescent="0.25">
      <c r="A130" t="str">
        <f>"INB-"&amp;MID(Tabela3[[#This Row],[Cenário]],1,2)&amp;"_"&amp;ROW()</f>
        <v>INB-P2_130</v>
      </c>
      <c r="B130" t="s">
        <v>772</v>
      </c>
      <c r="C130" t="s">
        <v>745</v>
      </c>
      <c r="D130" s="5" t="s">
        <v>312</v>
      </c>
      <c r="E130" s="5">
        <v>46482769</v>
      </c>
      <c r="F130" s="5"/>
      <c r="G130" t="s">
        <v>271</v>
      </c>
      <c r="H130" s="10"/>
      <c r="I130" s="9"/>
      <c r="J130" s="8"/>
      <c r="K130"/>
    </row>
    <row r="131" spans="1:11" x14ac:dyDescent="0.25">
      <c r="A131" t="str">
        <f>"INB-"&amp;MID(Tabela3[[#This Row],[Cenário]],1,2)&amp;"_"&amp;ROW()</f>
        <v>INB-P2_131</v>
      </c>
      <c r="B131" t="s">
        <v>772</v>
      </c>
      <c r="C131" t="s">
        <v>373</v>
      </c>
      <c r="D131" s="5" t="s">
        <v>283</v>
      </c>
      <c r="E131" s="5">
        <v>46482769</v>
      </c>
      <c r="F131" s="5"/>
      <c r="G131" t="s">
        <v>271</v>
      </c>
      <c r="H131" s="10">
        <v>45789</v>
      </c>
      <c r="I131" s="9"/>
      <c r="J131" s="8">
        <v>45789</v>
      </c>
      <c r="K131"/>
    </row>
    <row r="132" spans="1:11" x14ac:dyDescent="0.25">
      <c r="A132" t="str">
        <f>"INB-"&amp;MID(Tabela3[[#This Row],[Cenário]],1,2)&amp;"_"&amp;ROW()</f>
        <v>INB-P2_132</v>
      </c>
      <c r="B132" t="s">
        <v>772</v>
      </c>
      <c r="C132" t="s">
        <v>286</v>
      </c>
      <c r="D132" s="5" t="s">
        <v>312</v>
      </c>
      <c r="E132" s="5"/>
      <c r="F132" s="5"/>
      <c r="G132" t="s">
        <v>262</v>
      </c>
      <c r="H132" s="10"/>
      <c r="I132" s="9"/>
      <c r="J132" s="8"/>
      <c r="K132"/>
    </row>
    <row r="133" spans="1:11" x14ac:dyDescent="0.25">
      <c r="A133" t="str">
        <f>"INB-"&amp;MID(Tabela3[[#This Row],[Cenário]],1,2)&amp;"_"&amp;ROW()</f>
        <v>INB-P2_133</v>
      </c>
      <c r="B133" t="s">
        <v>772</v>
      </c>
      <c r="C133" t="s">
        <v>375</v>
      </c>
      <c r="D133" s="5" t="s">
        <v>285</v>
      </c>
      <c r="E133" s="5"/>
      <c r="F133" s="5"/>
      <c r="G133" t="s">
        <v>271</v>
      </c>
      <c r="H133" s="10"/>
      <c r="I133" s="9"/>
      <c r="J133" s="8"/>
      <c r="K133" s="6" t="s">
        <v>746</v>
      </c>
    </row>
    <row r="134" spans="1:11" x14ac:dyDescent="0.25">
      <c r="A134" t="str">
        <f>"INB-"&amp;MID(Tabela3[[#This Row],[Cenário]],1,2)&amp;"_"&amp;ROW()</f>
        <v>INB-HL_134</v>
      </c>
      <c r="B134" s="5" t="s">
        <v>774</v>
      </c>
      <c r="C134" t="s">
        <v>737</v>
      </c>
      <c r="D134" s="5" t="s">
        <v>308</v>
      </c>
      <c r="E134" s="67" t="s">
        <v>767</v>
      </c>
      <c r="F134" s="66" t="s">
        <v>767</v>
      </c>
      <c r="G134" t="s">
        <v>271</v>
      </c>
      <c r="H134" s="10">
        <v>45936</v>
      </c>
      <c r="I134" s="9"/>
      <c r="J134" s="8">
        <v>45936</v>
      </c>
      <c r="K134" s="19"/>
    </row>
    <row r="135" spans="1:11" x14ac:dyDescent="0.25">
      <c r="A135" t="str">
        <f>"INB-"&amp;MID(Tabela3[[#This Row],[Cenário]],1,2)&amp;"_"&amp;ROW()</f>
        <v>INB-HL_135</v>
      </c>
      <c r="B135" t="s">
        <v>774</v>
      </c>
      <c r="C135" t="s">
        <v>738</v>
      </c>
      <c r="D135" s="5" t="s">
        <v>309</v>
      </c>
      <c r="E135" s="62">
        <v>4501888833</v>
      </c>
      <c r="F135" s="62">
        <v>4501856587</v>
      </c>
      <c r="G135" t="s">
        <v>271</v>
      </c>
      <c r="H135" s="10">
        <v>45936</v>
      </c>
      <c r="I135" s="9"/>
      <c r="J135" s="8">
        <v>45936</v>
      </c>
      <c r="K135"/>
    </row>
    <row r="136" spans="1:11" x14ac:dyDescent="0.25">
      <c r="A136" t="str">
        <f>"INB-"&amp;MID(Tabela3[[#This Row],[Cenário]],1,2)&amp;"_"&amp;ROW()</f>
        <v>INB-HL_136</v>
      </c>
      <c r="B136" t="s">
        <v>774</v>
      </c>
      <c r="C136" t="s">
        <v>739</v>
      </c>
      <c r="D136" s="5" t="s">
        <v>310</v>
      </c>
      <c r="E136" s="62">
        <v>4501888833</v>
      </c>
      <c r="F136" s="62">
        <v>4501856587</v>
      </c>
      <c r="G136" t="s">
        <v>271</v>
      </c>
      <c r="H136" s="10">
        <v>45936</v>
      </c>
      <c r="I136" s="9"/>
      <c r="J136" s="8">
        <v>45936</v>
      </c>
      <c r="K136" t="s">
        <v>775</v>
      </c>
    </row>
    <row r="137" spans="1:11" x14ac:dyDescent="0.25">
      <c r="A137" t="str">
        <f>"INB-"&amp;MID(Tabela3[[#This Row],[Cenário]],1,2)&amp;"_"&amp;ROW()</f>
        <v>INB-HL_137</v>
      </c>
      <c r="B137" t="s">
        <v>774</v>
      </c>
      <c r="C137" t="s">
        <v>744</v>
      </c>
      <c r="D137" s="5" t="s">
        <v>270</v>
      </c>
      <c r="E137" s="5"/>
      <c r="F137" s="5">
        <v>46482721</v>
      </c>
      <c r="G137" t="s">
        <v>271</v>
      </c>
      <c r="H137" s="10"/>
      <c r="I137" s="9"/>
      <c r="J137" s="8">
        <v>45995</v>
      </c>
      <c r="K137" s="64" t="s">
        <v>776</v>
      </c>
    </row>
    <row r="138" spans="1:11" x14ac:dyDescent="0.25">
      <c r="A138" t="str">
        <f>"INB-"&amp;MID(Tabela3[[#This Row],[Cenário]],1,2)&amp;"_"&amp;ROW()</f>
        <v>INB-HL_138</v>
      </c>
      <c r="B138" t="s">
        <v>774</v>
      </c>
      <c r="C138" t="s">
        <v>745</v>
      </c>
      <c r="D138" s="5" t="s">
        <v>312</v>
      </c>
      <c r="E138">
        <v>46482721</v>
      </c>
      <c r="F138" s="5"/>
      <c r="G138" t="s">
        <v>260</v>
      </c>
      <c r="H138" s="10"/>
      <c r="I138" s="9"/>
      <c r="J138" s="8"/>
      <c r="K138" t="s">
        <v>777</v>
      </c>
    </row>
    <row r="139" spans="1:11" x14ac:dyDescent="0.25">
      <c r="A139" t="str">
        <f>"INB-"&amp;MID(Tabela3[[#This Row],[Cenário]],1,2)&amp;"_"&amp;ROW()</f>
        <v>INB-HL_139</v>
      </c>
      <c r="B139" t="s">
        <v>774</v>
      </c>
      <c r="C139" t="s">
        <v>373</v>
      </c>
      <c r="D139" s="5" t="s">
        <v>283</v>
      </c>
      <c r="E139" s="5"/>
      <c r="F139" s="5"/>
      <c r="G139" t="s">
        <v>261</v>
      </c>
      <c r="H139" s="10"/>
      <c r="I139" s="9"/>
      <c r="J139" s="8"/>
      <c r="K139"/>
    </row>
    <row r="140" spans="1:11" x14ac:dyDescent="0.25">
      <c r="A140" t="str">
        <f>"INB-"&amp;MID(Tabela3[[#This Row],[Cenário]],1,2)&amp;"_"&amp;ROW()</f>
        <v>INB-HL_140</v>
      </c>
      <c r="B140" t="s">
        <v>774</v>
      </c>
      <c r="C140" t="s">
        <v>286</v>
      </c>
      <c r="D140" s="5" t="s">
        <v>312</v>
      </c>
      <c r="E140" s="5"/>
      <c r="F140" s="5"/>
      <c r="G140" t="s">
        <v>262</v>
      </c>
      <c r="H140" s="10"/>
      <c r="I140" s="9"/>
      <c r="J140" s="8"/>
      <c r="K140"/>
    </row>
    <row r="141" spans="1:11" x14ac:dyDescent="0.25">
      <c r="A141" t="str">
        <f>"INB-"&amp;MID(Tabela3[[#This Row],[Cenário]],1,2)&amp;"_"&amp;ROW()</f>
        <v>INB-HL_141</v>
      </c>
      <c r="B141" t="s">
        <v>774</v>
      </c>
      <c r="C141" t="s">
        <v>375</v>
      </c>
      <c r="D141" s="5" t="s">
        <v>285</v>
      </c>
      <c r="E141" s="5"/>
      <c r="F141" s="5"/>
      <c r="G141" t="s">
        <v>261</v>
      </c>
      <c r="H141" s="10"/>
      <c r="I141" s="9"/>
      <c r="J141" s="8"/>
      <c r="K141"/>
    </row>
    <row r="142" spans="1:11" x14ac:dyDescent="0.25">
      <c r="A142" t="str">
        <f>"INB-"&amp;MID(Tabela3[[#This Row],[Cenário]],1,2)&amp;"_"&amp;ROW()</f>
        <v>INB-RE_142</v>
      </c>
      <c r="B142" s="5" t="s">
        <v>778</v>
      </c>
      <c r="C142" t="s">
        <v>779</v>
      </c>
      <c r="D142" s="5" t="s">
        <v>270</v>
      </c>
      <c r="E142" s="5"/>
      <c r="F142" s="5">
        <v>46482596</v>
      </c>
      <c r="G142" t="s">
        <v>271</v>
      </c>
      <c r="H142" s="10"/>
      <c r="I142" s="9"/>
      <c r="J142" s="8">
        <v>45982</v>
      </c>
      <c r="K142"/>
    </row>
    <row r="143" spans="1:11" x14ac:dyDescent="0.25">
      <c r="A143" t="str">
        <f>"INB-"&amp;MID(Tabela3[[#This Row],[Cenário]],1,2)&amp;"_"&amp;ROW()</f>
        <v>INB-RE_143</v>
      </c>
      <c r="B143" t="s">
        <v>778</v>
      </c>
      <c r="C143" t="s">
        <v>780</v>
      </c>
      <c r="D143" s="5" t="s">
        <v>312</v>
      </c>
      <c r="E143" s="5">
        <v>46482596</v>
      </c>
      <c r="F143" s="5"/>
      <c r="G143" t="s">
        <v>271</v>
      </c>
      <c r="H143" s="10"/>
      <c r="I143" s="9"/>
      <c r="J143" s="8">
        <v>45994</v>
      </c>
      <c r="K143" t="s">
        <v>781</v>
      </c>
    </row>
    <row r="144" spans="1:11" x14ac:dyDescent="0.25">
      <c r="A144" t="str">
        <f>"INB-"&amp;MID(Tabela3[[#This Row],[Cenário]],1,2)&amp;"_"&amp;ROW()</f>
        <v>INB-RE_144</v>
      </c>
      <c r="B144" t="s">
        <v>778</v>
      </c>
      <c r="C144" t="s">
        <v>286</v>
      </c>
      <c r="D144" s="5" t="s">
        <v>312</v>
      </c>
      <c r="E144" s="5"/>
      <c r="F144" s="5"/>
      <c r="G144" t="s">
        <v>262</v>
      </c>
      <c r="H144" s="9"/>
      <c r="I144" s="9"/>
      <c r="J144" s="8"/>
      <c r="K144"/>
    </row>
    <row r="145" spans="1:11" x14ac:dyDescent="0.25">
      <c r="A145" t="str">
        <f>"INB-"&amp;MID(Tabela3[[#This Row],[Cenário]],1,2)&amp;"_"&amp;ROW()</f>
        <v>INB-RE_145</v>
      </c>
      <c r="B145" t="s">
        <v>782</v>
      </c>
      <c r="C145" t="s">
        <v>779</v>
      </c>
      <c r="D145" s="5" t="s">
        <v>270</v>
      </c>
      <c r="E145" s="5"/>
      <c r="F145" s="5">
        <v>46482597</v>
      </c>
      <c r="G145" t="s">
        <v>271</v>
      </c>
      <c r="H145" s="10"/>
      <c r="I145" s="9"/>
      <c r="J145" s="8">
        <v>45982</v>
      </c>
      <c r="K145"/>
    </row>
    <row r="146" spans="1:11" x14ac:dyDescent="0.25">
      <c r="A146" t="str">
        <f>"INB-"&amp;MID(Tabela3[[#This Row],[Cenário]],1,2)&amp;"_"&amp;ROW()</f>
        <v>INB-RE_146</v>
      </c>
      <c r="B146" t="s">
        <v>783</v>
      </c>
      <c r="C146" t="s">
        <v>780</v>
      </c>
      <c r="D146" s="5" t="s">
        <v>312</v>
      </c>
      <c r="E146">
        <v>46482597</v>
      </c>
      <c r="F146" s="5"/>
      <c r="G146" t="s">
        <v>271</v>
      </c>
      <c r="H146" s="9"/>
      <c r="I146" s="9"/>
      <c r="J146" s="8">
        <v>45994</v>
      </c>
      <c r="K146" t="s">
        <v>781</v>
      </c>
    </row>
    <row r="147" spans="1:11" x14ac:dyDescent="0.25">
      <c r="A147" t="str">
        <f>"INB-"&amp;MID(Tabela3[[#This Row],[Cenário]],1,2)&amp;"_"&amp;ROW()</f>
        <v>INB-RE_147</v>
      </c>
      <c r="B147" t="s">
        <v>784</v>
      </c>
      <c r="C147" t="s">
        <v>286</v>
      </c>
      <c r="D147" s="5" t="s">
        <v>312</v>
      </c>
      <c r="E147" s="5"/>
      <c r="F147" s="5"/>
      <c r="G147" t="s">
        <v>262</v>
      </c>
      <c r="H147" s="9"/>
      <c r="I147" s="9"/>
      <c r="J147" s="8"/>
      <c r="K147"/>
    </row>
    <row r="148" spans="1:11" x14ac:dyDescent="0.25">
      <c r="A148" t="str">
        <f>"INB-"&amp;MID(Tabela3[[#This Row],[Cenário]],1,2)&amp;"_"&amp;ROW()</f>
        <v>INB-Ou_148</v>
      </c>
      <c r="B148" s="5" t="s">
        <v>785</v>
      </c>
      <c r="C148" t="s">
        <v>786</v>
      </c>
      <c r="D148" s="5" t="s">
        <v>270</v>
      </c>
      <c r="E148" s="5"/>
      <c r="F148" s="5"/>
      <c r="G148" t="s">
        <v>275</v>
      </c>
      <c r="H148" s="10"/>
      <c r="I148" s="9"/>
      <c r="J148" s="8"/>
      <c r="K148"/>
    </row>
    <row r="149" spans="1:11" x14ac:dyDescent="0.25">
      <c r="A149" t="str">
        <f>"INB-"&amp;MID(Tabela3[[#This Row],[Cenário]],1,2)&amp;"_"&amp;ROW()</f>
        <v>INB-Ou_149</v>
      </c>
      <c r="B149" t="s">
        <v>785</v>
      </c>
      <c r="C149" t="s">
        <v>787</v>
      </c>
      <c r="D149" s="5" t="s">
        <v>788</v>
      </c>
      <c r="E149" s="5"/>
      <c r="F149" s="5"/>
      <c r="G149" t="s">
        <v>261</v>
      </c>
      <c r="H149" s="9"/>
      <c r="I149" s="9"/>
      <c r="J149" s="8"/>
      <c r="K149"/>
    </row>
    <row r="150" spans="1:11" x14ac:dyDescent="0.25">
      <c r="A150" t="str">
        <f>"INB-"&amp;MID(Tabela3[[#This Row],[Cenário]],1,2)&amp;"_"&amp;ROW()</f>
        <v>INB-Ou_150</v>
      </c>
      <c r="B150" t="s">
        <v>785</v>
      </c>
      <c r="C150" t="s">
        <v>789</v>
      </c>
      <c r="D150" s="5" t="s">
        <v>788</v>
      </c>
      <c r="E150" s="5"/>
      <c r="F150" s="5"/>
      <c r="G150" t="s">
        <v>261</v>
      </c>
      <c r="H150" s="9"/>
      <c r="I150" s="9"/>
      <c r="J150" s="8"/>
      <c r="K150"/>
    </row>
    <row r="151" spans="1:11" x14ac:dyDescent="0.25">
      <c r="A151" t="str">
        <f>"INB-"&amp;MID(Tabela3[[#This Row],[Cenário]],1,2)&amp;"_"&amp;ROW()</f>
        <v>INB-Ou_151</v>
      </c>
      <c r="B151" t="s">
        <v>785</v>
      </c>
      <c r="C151" t="s">
        <v>790</v>
      </c>
      <c r="D151" s="5" t="s">
        <v>270</v>
      </c>
      <c r="E151" s="5"/>
      <c r="F151" s="5"/>
      <c r="G151" t="s">
        <v>261</v>
      </c>
      <c r="H151" s="10"/>
      <c r="I151" s="9"/>
      <c r="J151" s="8"/>
      <c r="K151"/>
    </row>
    <row r="152" spans="1:11" ht="15" customHeight="1" x14ac:dyDescent="0.25">
      <c r="A152" t="str">
        <f>"INB-"&amp;MID(Tabela3[[#This Row],[Cenário]],1,2)&amp;"_"&amp;ROW()</f>
        <v>INB-Ou_152</v>
      </c>
      <c r="B152" t="s">
        <v>785</v>
      </c>
      <c r="C152" t="s">
        <v>791</v>
      </c>
      <c r="D152" s="5" t="s">
        <v>788</v>
      </c>
      <c r="E152" s="5"/>
      <c r="F152" s="5"/>
      <c r="G152" t="s">
        <v>261</v>
      </c>
      <c r="H152" s="9"/>
      <c r="I152" s="9"/>
      <c r="J152" s="8"/>
    </row>
    <row r="153" spans="1:11" ht="15" customHeight="1" x14ac:dyDescent="0.25">
      <c r="A153" t="str">
        <f>"INB-"&amp;MID(Tabela3[[#This Row],[Cenário]],1,2)&amp;"_"&amp;ROW()</f>
        <v>INB-Ou_153</v>
      </c>
      <c r="B153" t="s">
        <v>785</v>
      </c>
      <c r="C153" t="s">
        <v>792</v>
      </c>
      <c r="D153" s="5" t="s">
        <v>788</v>
      </c>
      <c r="E153" s="5"/>
      <c r="F153" s="5"/>
      <c r="G153" t="s">
        <v>261</v>
      </c>
      <c r="H153" s="9"/>
      <c r="I153" s="9"/>
      <c r="J153" s="8"/>
    </row>
    <row r="154" spans="1:11" ht="15" customHeight="1" x14ac:dyDescent="0.25">
      <c r="A154" t="str">
        <f>"INB-"&amp;MID(Tabela3[[#This Row],[Cenário]],1,2)&amp;"_"&amp;ROW()</f>
        <v>INB-Ou_154</v>
      </c>
      <c r="B154" t="s">
        <v>785</v>
      </c>
      <c r="C154" t="s">
        <v>793</v>
      </c>
      <c r="D154" s="5" t="s">
        <v>788</v>
      </c>
      <c r="E154" s="5"/>
      <c r="F154" s="5"/>
      <c r="G154" t="s">
        <v>261</v>
      </c>
      <c r="H154" s="9"/>
      <c r="I154" s="9"/>
      <c r="J154" s="8"/>
    </row>
    <row r="155" spans="1:11" ht="15" customHeight="1" x14ac:dyDescent="0.25">
      <c r="A155" t="str">
        <f>"INB-"&amp;MID(Tabela3[[#This Row],[Cenário]],1,2)&amp;"_"&amp;ROW()</f>
        <v>INB-Ou_155</v>
      </c>
      <c r="B155" t="s">
        <v>785</v>
      </c>
      <c r="C155" t="s">
        <v>793</v>
      </c>
      <c r="D155" s="5" t="s">
        <v>788</v>
      </c>
      <c r="E155" s="5"/>
      <c r="F155" s="5"/>
      <c r="G155" t="s">
        <v>261</v>
      </c>
      <c r="H155" s="9"/>
      <c r="I155" s="9"/>
      <c r="J155" s="8"/>
    </row>
  </sheetData>
  <phoneticPr fontId="6" type="noConversion"/>
  <conditionalFormatting sqref="G1:G155 E156:E1048576">
    <cfRule type="cellIs" dxfId="0" priority="1" operator="equal">
      <formula>"Keyuser - Concluído 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1FFCBF-8B06-463A-9B3A-A448ABA0684E}">
          <x14:formula1>
            <xm:f>Aux!$A:$A</xm:f>
          </x14:formula1>
          <xm:sqref>G2:G155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D2E5-BFC4-4569-A28C-E120FAE63F2C}">
  <sheetPr codeName="Planilha6">
    <tabColor theme="5"/>
  </sheetPr>
  <dimension ref="A1:M98"/>
  <sheetViews>
    <sheetView showGridLines="0" topLeftCell="A47" zoomScaleNormal="100" workbookViewId="0">
      <selection activeCell="C164" sqref="C164"/>
    </sheetView>
  </sheetViews>
  <sheetFormatPr defaultRowHeight="18.600000000000001" customHeight="1" x14ac:dyDescent="0.25"/>
  <cols>
    <col min="1" max="1" width="19" bestFit="1" customWidth="1"/>
    <col min="2" max="2" width="58.5703125" bestFit="1" customWidth="1"/>
    <col min="3" max="3" width="33.7109375" bestFit="1" customWidth="1"/>
    <col min="4" max="4" width="15.42578125" bestFit="1" customWidth="1"/>
    <col min="5" max="5" width="17" bestFit="1" customWidth="1"/>
    <col min="6" max="6" width="71.5703125" bestFit="1" customWidth="1"/>
    <col min="7" max="7" width="39.28515625" bestFit="1" customWidth="1"/>
    <col min="8" max="8" width="15.42578125" bestFit="1" customWidth="1"/>
    <col min="9" max="9" width="19.7109375" bestFit="1" customWidth="1"/>
    <col min="10" max="10" width="15.42578125" bestFit="1" customWidth="1"/>
  </cols>
  <sheetData>
    <row r="1" spans="1:8" ht="18.600000000000001" customHeight="1" x14ac:dyDescent="0.45">
      <c r="A1" s="30" t="s">
        <v>794</v>
      </c>
      <c r="B1" s="30"/>
      <c r="C1" s="30"/>
      <c r="D1" s="30"/>
      <c r="E1" s="30"/>
      <c r="F1" s="30"/>
      <c r="G1" s="30"/>
    </row>
    <row r="2" spans="1:8" ht="18.600000000000001" customHeight="1" x14ac:dyDescent="0.45">
      <c r="A2" s="39"/>
      <c r="B2" s="39"/>
      <c r="C2" s="39"/>
      <c r="D2" s="39"/>
      <c r="E2" s="39"/>
      <c r="F2" s="39"/>
      <c r="G2" s="39"/>
    </row>
    <row r="3" spans="1:8" ht="18.600000000000001" customHeight="1" x14ac:dyDescent="0.45">
      <c r="A3" s="39"/>
      <c r="B3" s="39"/>
      <c r="C3" s="39"/>
      <c r="D3" s="39"/>
      <c r="E3" s="39"/>
      <c r="F3" s="39"/>
      <c r="G3" s="39"/>
    </row>
    <row r="4" spans="1:8" ht="18.600000000000001" customHeight="1" x14ac:dyDescent="0.45">
      <c r="A4" s="39"/>
      <c r="B4" s="39"/>
      <c r="C4" s="39"/>
      <c r="D4" s="39"/>
      <c r="E4" s="39"/>
      <c r="F4" s="39"/>
      <c r="G4" s="39"/>
    </row>
    <row r="5" spans="1:8" ht="18.600000000000001" customHeight="1" x14ac:dyDescent="0.45">
      <c r="A5" s="39"/>
      <c r="B5" s="39"/>
      <c r="C5" s="39"/>
      <c r="D5" s="39"/>
      <c r="E5" s="39"/>
      <c r="F5" s="39"/>
      <c r="G5" s="39"/>
    </row>
    <row r="6" spans="1:8" ht="18.600000000000001" customHeight="1" x14ac:dyDescent="0.45">
      <c r="A6" s="39"/>
      <c r="B6" s="39"/>
      <c r="C6" s="39"/>
      <c r="D6" s="39"/>
      <c r="E6" s="39"/>
      <c r="F6" s="39"/>
      <c r="G6" s="39"/>
    </row>
    <row r="7" spans="1:8" ht="18.600000000000001" customHeight="1" x14ac:dyDescent="0.45">
      <c r="A7" s="39"/>
      <c r="B7" s="39"/>
      <c r="C7" s="39"/>
      <c r="D7" s="39"/>
      <c r="E7" s="39"/>
      <c r="F7" s="39"/>
      <c r="G7" s="39"/>
    </row>
    <row r="8" spans="1:8" ht="18.600000000000001" customHeight="1" x14ac:dyDescent="0.45">
      <c r="A8" s="39"/>
      <c r="B8" s="39"/>
      <c r="C8" s="39"/>
      <c r="D8" s="39"/>
      <c r="E8" s="39"/>
      <c r="F8" s="39"/>
      <c r="G8" s="39"/>
    </row>
    <row r="9" spans="1:8" ht="18.600000000000001" customHeight="1" x14ac:dyDescent="0.45">
      <c r="A9" s="39"/>
      <c r="B9" s="39"/>
      <c r="C9" s="39"/>
      <c r="D9" s="39"/>
      <c r="E9" s="39"/>
      <c r="F9" s="39"/>
      <c r="G9" s="39"/>
    </row>
    <row r="10" spans="1:8" ht="18.600000000000001" customHeight="1" x14ac:dyDescent="0.45">
      <c r="A10" s="39"/>
      <c r="B10" s="39"/>
      <c r="C10" s="39"/>
      <c r="D10" s="39"/>
      <c r="E10" s="39"/>
      <c r="F10" s="39"/>
      <c r="G10" s="39"/>
    </row>
    <row r="11" spans="1:8" ht="18.600000000000001" customHeight="1" x14ac:dyDescent="0.45">
      <c r="A11" s="39"/>
      <c r="B11" s="39"/>
      <c r="C11" s="39"/>
      <c r="D11" s="39"/>
      <c r="E11" s="39"/>
      <c r="F11" s="39"/>
      <c r="G11" s="39"/>
    </row>
    <row r="12" spans="1:8" ht="18.600000000000001" customHeight="1" x14ac:dyDescent="0.45">
      <c r="A12" s="39"/>
      <c r="B12" s="39"/>
      <c r="C12" s="39"/>
      <c r="D12" s="39"/>
      <c r="E12" s="39"/>
      <c r="F12" s="39"/>
      <c r="G12" s="39"/>
    </row>
    <row r="13" spans="1:8" ht="18.600000000000001" customHeight="1" x14ac:dyDescent="0.45">
      <c r="A13" s="39"/>
      <c r="B13" s="39"/>
      <c r="C13" s="39"/>
      <c r="D13" s="39"/>
      <c r="E13" s="39"/>
      <c r="F13" s="39"/>
      <c r="G13" s="39"/>
    </row>
    <row r="14" spans="1:8" ht="18.600000000000001" customHeight="1" x14ac:dyDescent="0.45">
      <c r="A14" s="39"/>
      <c r="B14" s="39"/>
      <c r="C14" s="39"/>
      <c r="D14" s="39"/>
      <c r="E14" s="39"/>
      <c r="F14" s="39"/>
      <c r="G14" s="39"/>
    </row>
    <row r="15" spans="1:8" ht="18.600000000000001" customHeight="1" x14ac:dyDescent="0.45">
      <c r="A15" s="39"/>
      <c r="B15" s="39"/>
      <c r="C15" s="39"/>
      <c r="D15" s="39"/>
      <c r="E15" s="39"/>
      <c r="F15" s="39"/>
      <c r="G15" s="39"/>
    </row>
    <row r="16" spans="1:8" ht="18.600000000000001" customHeight="1" x14ac:dyDescent="0.45">
      <c r="A16" s="53" t="s">
        <v>327</v>
      </c>
      <c r="B16" s="54" t="s">
        <v>328</v>
      </c>
      <c r="C16" s="54" t="s">
        <v>329</v>
      </c>
      <c r="D16" s="54" t="s">
        <v>330</v>
      </c>
      <c r="E16" s="39"/>
      <c r="F16" s="11" t="s">
        <v>248</v>
      </c>
      <c r="G16" s="9" t="s">
        <v>314</v>
      </c>
      <c r="H16" s="9" t="s">
        <v>315</v>
      </c>
    </row>
    <row r="17" spans="1:8" ht="18.600000000000001" customHeight="1" x14ac:dyDescent="0.45">
      <c r="A17" s="31">
        <v>45967</v>
      </c>
      <c r="B17" s="9">
        <f>COUNTIFS(Tabela3[[#All],[Dt Conclusão]],A17,Tabela3[[#All],[Status]],"Keyuser - Concluído ")</f>
        <v>0</v>
      </c>
      <c r="C17" s="9">
        <v>20</v>
      </c>
      <c r="D17" s="52">
        <f>B17-C17</f>
        <v>-20</v>
      </c>
      <c r="E17" s="39"/>
      <c r="F17" s="6" t="s">
        <v>271</v>
      </c>
      <c r="G17" s="9">
        <v>118</v>
      </c>
      <c r="H17" s="16">
        <v>0.76623376623376627</v>
      </c>
    </row>
    <row r="18" spans="1:8" ht="18.600000000000001" customHeight="1" x14ac:dyDescent="0.45">
      <c r="A18" s="31">
        <v>45968</v>
      </c>
      <c r="B18" s="9">
        <f>COUNTIFS(Tabela3[[#All],[Dt Conclusão]],A18,Tabela3[[#All],[Status]],"Keyuser - Concluído ")</f>
        <v>0</v>
      </c>
      <c r="C18" s="9">
        <v>21</v>
      </c>
      <c r="D18" s="52">
        <f>B18-C18</f>
        <v>-21</v>
      </c>
      <c r="E18" s="39"/>
      <c r="F18" s="6" t="s">
        <v>275</v>
      </c>
      <c r="G18" s="9">
        <v>4</v>
      </c>
      <c r="H18" s="16">
        <v>2.5974025974025976E-2</v>
      </c>
    </row>
    <row r="19" spans="1:8" ht="18.600000000000001" customHeight="1" x14ac:dyDescent="0.45">
      <c r="A19" s="31">
        <v>45971</v>
      </c>
      <c r="B19" s="9">
        <f>COUNTIFS(Tabela3[[#All],[Dt Conclusão]],A19,Tabela3[[#All],[Status]],"Keyuser - Concluído ")</f>
        <v>0</v>
      </c>
      <c r="C19" s="9">
        <v>22</v>
      </c>
      <c r="D19" s="52">
        <f>B19-C19</f>
        <v>-22</v>
      </c>
      <c r="E19" s="39"/>
      <c r="F19" s="6" t="s">
        <v>260</v>
      </c>
      <c r="G19" s="9">
        <v>3</v>
      </c>
      <c r="H19" s="16">
        <v>1.948051948051948E-2</v>
      </c>
    </row>
    <row r="20" spans="1:8" ht="18.600000000000001" customHeight="1" x14ac:dyDescent="0.45">
      <c r="A20" s="31">
        <v>45972</v>
      </c>
      <c r="B20" s="9">
        <f>COUNTIFS(Tabela3[[#All],[Dt Conclusão]],A20,Tabela3[[#All],[Status]],"Keyuser - Concluído ")</f>
        <v>2</v>
      </c>
      <c r="C20" s="9">
        <v>26</v>
      </c>
      <c r="D20" s="52">
        <f>B20-C20</f>
        <v>-24</v>
      </c>
      <c r="E20" s="39"/>
      <c r="F20" s="6" t="s">
        <v>261</v>
      </c>
      <c r="G20" s="9">
        <v>12</v>
      </c>
      <c r="H20" s="16">
        <v>7.792207792207792E-2</v>
      </c>
    </row>
    <row r="21" spans="1:8" ht="18.600000000000001" customHeight="1" x14ac:dyDescent="0.45">
      <c r="A21" s="31">
        <v>45980</v>
      </c>
      <c r="B21" s="9">
        <f>COUNTIFS(Tabela3[[#All],[Dt Conclusão]],A21,Tabela3[[#All],[Status]],"Keyuser - Concluído ")</f>
        <v>0</v>
      </c>
      <c r="C21" s="9">
        <v>27</v>
      </c>
      <c r="D21" s="52">
        <f>B21-C21</f>
        <v>-27</v>
      </c>
      <c r="E21" s="39"/>
      <c r="F21" s="6" t="s">
        <v>262</v>
      </c>
      <c r="G21" s="9">
        <v>15</v>
      </c>
      <c r="H21" s="16">
        <v>9.7402597402597407E-2</v>
      </c>
    </row>
    <row r="22" spans="1:8" ht="18.600000000000001" customHeight="1" x14ac:dyDescent="0.45">
      <c r="A22" s="31">
        <v>45981</v>
      </c>
      <c r="B22" s="9">
        <f>COUNTIFS(Tabela3[[#All],[Dt Conclusão]],A22,Tabela3[[#All],[Status]],"Keyuser - Concluído ")</f>
        <v>0</v>
      </c>
      <c r="C22" s="9">
        <v>28</v>
      </c>
      <c r="D22" s="52">
        <f t="shared" ref="D22:D23" si="0">B22-C22</f>
        <v>-28</v>
      </c>
      <c r="E22" s="39"/>
      <c r="F22" s="6" t="s">
        <v>356</v>
      </c>
      <c r="G22" s="9">
        <v>2</v>
      </c>
      <c r="H22" s="16">
        <v>1.2987012987012988E-2</v>
      </c>
    </row>
    <row r="23" spans="1:8" ht="18.600000000000001" customHeight="1" x14ac:dyDescent="0.45">
      <c r="A23" s="31">
        <v>45982</v>
      </c>
      <c r="B23" s="9">
        <f>COUNTIFS(Tabela3[[#All],[Dt Conclusão]],A23,Tabela3[[#All],[Status]],"Keyuser - Concluído ")</f>
        <v>14</v>
      </c>
      <c r="C23" s="9">
        <v>29</v>
      </c>
      <c r="D23" s="52">
        <f t="shared" si="0"/>
        <v>-15</v>
      </c>
      <c r="E23" s="39"/>
      <c r="F23" s="6" t="s">
        <v>316</v>
      </c>
      <c r="G23" s="9">
        <v>154</v>
      </c>
      <c r="H23" s="16">
        <v>1</v>
      </c>
    </row>
    <row r="24" spans="1:8" ht="18.600000000000001" customHeight="1" x14ac:dyDescent="0.45">
      <c r="A24" s="31">
        <v>45983</v>
      </c>
      <c r="B24" s="9">
        <f>COUNTIFS(Tabela3[[#All],[Dt Conclusão]],A24,Tabela3[[#All],[Status]],"Keyuser - Concluído ")</f>
        <v>0</v>
      </c>
      <c r="C24" s="9">
        <v>30</v>
      </c>
      <c r="D24" s="52">
        <f t="shared" ref="D24:D26" si="1">B24-C24</f>
        <v>-30</v>
      </c>
      <c r="E24" s="39"/>
      <c r="F24" s="44" t="s">
        <v>317</v>
      </c>
      <c r="G24" s="45"/>
      <c r="H24" s="16"/>
    </row>
    <row r="25" spans="1:8" ht="18.600000000000001" customHeight="1" x14ac:dyDescent="0.45">
      <c r="A25" s="31">
        <v>45984</v>
      </c>
      <c r="B25" s="9">
        <f>COUNTIFS(Tabela3[[#All],[Dt Conclusão]],A25,Tabela3[[#All],[Status]],"Keyuser - Concluído ")</f>
        <v>0</v>
      </c>
      <c r="C25" s="9">
        <v>31</v>
      </c>
      <c r="D25" s="52">
        <f t="shared" si="1"/>
        <v>-31</v>
      </c>
      <c r="E25" s="39"/>
      <c r="F25" s="42" t="s">
        <v>318</v>
      </c>
      <c r="G25" s="43">
        <v>46003</v>
      </c>
      <c r="H25" s="16"/>
    </row>
    <row r="26" spans="1:8" ht="18.600000000000001" customHeight="1" x14ac:dyDescent="0.45">
      <c r="A26" s="31">
        <v>45985</v>
      </c>
      <c r="B26" s="9">
        <f>COUNTIFS(Tabela3[[#All],[Dt Conclusão]],A26,Tabela3[[#All],[Status]],"Keyuser - Concluído ")</f>
        <v>0</v>
      </c>
      <c r="C26" s="9">
        <v>32</v>
      </c>
      <c r="D26" s="52">
        <f t="shared" si="1"/>
        <v>-32</v>
      </c>
      <c r="E26" s="39"/>
      <c r="F26" s="40" t="s">
        <v>319</v>
      </c>
      <c r="G26" s="41">
        <f ca="1">NETWORKDAYS(TODAY(),G25)</f>
        <v>2</v>
      </c>
      <c r="H26" s="16"/>
    </row>
    <row r="27" spans="1:8" ht="18.600000000000001" customHeight="1" x14ac:dyDescent="0.45">
      <c r="A27" s="31">
        <v>45986</v>
      </c>
      <c r="B27" s="9">
        <f>COUNTIFS(Tabela3[[#All],[Dt Conclusão]],A27,Tabela3[[#All],[Status]],"Keyuser - Concluído ")</f>
        <v>6</v>
      </c>
      <c r="C27" s="9">
        <v>32</v>
      </c>
      <c r="D27" s="52">
        <f t="shared" ref="D27:D35" si="2">B27-C27</f>
        <v>-26</v>
      </c>
      <c r="E27" s="39"/>
      <c r="F27" s="40" t="s">
        <v>320</v>
      </c>
      <c r="G27" s="41">
        <f>COUNTIFS(Tabela3[[#All],[Status]],"*")-1-COUNTIFS(Tabela3[[#All],[Status]],"Keyuser - Concluído ")</f>
        <v>36</v>
      </c>
      <c r="H27" s="16"/>
    </row>
    <row r="28" spans="1:8" ht="18.600000000000001" customHeight="1" x14ac:dyDescent="0.45">
      <c r="A28" s="31">
        <v>45987</v>
      </c>
      <c r="B28" s="9">
        <f>COUNTIFS(Tabela3[[#All],[Dt Conclusão]],A28,Tabela3[[#All],[Status]],"Keyuser - Concluído ")</f>
        <v>0</v>
      </c>
      <c r="C28" s="9">
        <v>32</v>
      </c>
      <c r="D28" s="52">
        <f t="shared" si="2"/>
        <v>-32</v>
      </c>
      <c r="E28" s="39"/>
      <c r="F28" s="47" t="s">
        <v>321</v>
      </c>
      <c r="G28" s="46">
        <f ca="1">G27/G26</f>
        <v>18</v>
      </c>
      <c r="H28" s="16"/>
    </row>
    <row r="29" spans="1:8" ht="18.600000000000001" customHeight="1" x14ac:dyDescent="0.45">
      <c r="A29" s="31">
        <v>45988</v>
      </c>
      <c r="B29" s="9">
        <f>COUNTIFS(Tabela3[[#All],[Dt Conclusão]],A29,Tabela3[[#All],[Status]],"Keyuser - Concluído ")</f>
        <v>0</v>
      </c>
      <c r="C29" s="9">
        <v>32</v>
      </c>
      <c r="D29" s="52">
        <f t="shared" si="2"/>
        <v>-32</v>
      </c>
      <c r="E29" s="39"/>
      <c r="F29" s="6"/>
      <c r="G29" s="9"/>
      <c r="H29" s="16"/>
    </row>
    <row r="30" spans="1:8" ht="18.600000000000001" customHeight="1" x14ac:dyDescent="0.45">
      <c r="A30" s="31">
        <v>45989</v>
      </c>
      <c r="B30" s="9">
        <f>COUNTIFS(Tabela3[[#All],[Dt Conclusão]],A30,Tabela3[[#All],[Status]],"Keyuser - Concluído ")</f>
        <v>0</v>
      </c>
      <c r="C30" s="9">
        <v>32</v>
      </c>
      <c r="D30" s="52">
        <f t="shared" si="2"/>
        <v>-32</v>
      </c>
      <c r="E30" s="39"/>
      <c r="F30" s="11" t="s">
        <v>252</v>
      </c>
      <c r="G30" s="1" t="s">
        <v>262</v>
      </c>
    </row>
    <row r="31" spans="1:8" ht="18.600000000000001" customHeight="1" x14ac:dyDescent="0.45">
      <c r="A31" s="31">
        <v>45990</v>
      </c>
      <c r="B31" s="9">
        <f>COUNTIFS(Tabela3[[#All],[Dt Conclusão]],A31,Tabela3[[#All],[Status]],"Keyuser - Concluído ")</f>
        <v>0</v>
      </c>
      <c r="C31" s="9">
        <v>32</v>
      </c>
      <c r="D31" s="52">
        <f t="shared" si="2"/>
        <v>-32</v>
      </c>
      <c r="E31" s="39"/>
    </row>
    <row r="32" spans="1:8" ht="18.600000000000001" customHeight="1" x14ac:dyDescent="0.45">
      <c r="A32" s="31">
        <v>45991</v>
      </c>
      <c r="B32" s="9">
        <f>COUNTIFS(Tabela3[[#All],[Dt Conclusão]],A32,Tabela3[[#All],[Status]],"Keyuser - Concluído ")</f>
        <v>0</v>
      </c>
      <c r="C32" s="9">
        <v>32</v>
      </c>
      <c r="D32" s="52">
        <f t="shared" si="2"/>
        <v>-32</v>
      </c>
      <c r="E32" s="39"/>
      <c r="F32" s="11" t="s">
        <v>795</v>
      </c>
      <c r="G32" s="11" t="s">
        <v>248</v>
      </c>
      <c r="H32" t="s">
        <v>322</v>
      </c>
    </row>
    <row r="33" spans="1:8" ht="18.600000000000001" customHeight="1" x14ac:dyDescent="0.45">
      <c r="A33" s="31">
        <v>45992</v>
      </c>
      <c r="B33" s="9">
        <f>COUNTIFS(Tabela3[[#All],[Dt Conclusão]],A33,Tabela3[[#All],[Status]],"Keyuser - Concluído ")</f>
        <v>0</v>
      </c>
      <c r="C33" s="9">
        <v>29</v>
      </c>
      <c r="D33" s="52">
        <f t="shared" si="2"/>
        <v>-29</v>
      </c>
      <c r="E33" s="39"/>
      <c r="F33" s="6" t="s">
        <v>286</v>
      </c>
      <c r="H33">
        <v>15</v>
      </c>
    </row>
    <row r="34" spans="1:8" ht="18.600000000000001" customHeight="1" x14ac:dyDescent="0.45">
      <c r="A34" s="31">
        <v>45993</v>
      </c>
      <c r="B34" s="9">
        <f>COUNTIFS(Tabela3[[#All],[Dt Conclusão]],A34,Tabela3[[#All],[Status]],"Keyuser - Concluído ")</f>
        <v>0</v>
      </c>
      <c r="C34" s="74">
        <v>21</v>
      </c>
      <c r="D34" s="52">
        <f t="shared" si="2"/>
        <v>-21</v>
      </c>
      <c r="E34" s="39"/>
      <c r="F34" s="6" t="s">
        <v>316</v>
      </c>
      <c r="H34">
        <v>15</v>
      </c>
    </row>
    <row r="35" spans="1:8" ht="18.600000000000001" customHeight="1" x14ac:dyDescent="0.45">
      <c r="A35" s="31">
        <v>45994</v>
      </c>
      <c r="B35" s="9">
        <f>COUNTIFS(Tabela3[[#All],[Dt Conclusão]],A35,Tabela3[[#All],[Status]],"Keyuser - Concluído ")</f>
        <v>4</v>
      </c>
      <c r="C35" s="74">
        <v>10</v>
      </c>
      <c r="D35" s="52">
        <f t="shared" si="2"/>
        <v>-6</v>
      </c>
      <c r="E35" s="39"/>
    </row>
    <row r="36" spans="1:8" ht="18.600000000000001" customHeight="1" x14ac:dyDescent="0.45">
      <c r="A36" s="31">
        <v>45995</v>
      </c>
      <c r="B36" s="9">
        <f>COUNTIFS(Tabela3[[#All],[Dt Conclusão]],A36,Tabela3[[#All],[Status]],"Keyuser - Concluído ")</f>
        <v>16</v>
      </c>
      <c r="C36" s="74">
        <v>12</v>
      </c>
      <c r="D36" s="52">
        <f t="shared" ref="D36:D41" si="3">B36-C36</f>
        <v>4</v>
      </c>
      <c r="E36" s="39"/>
    </row>
    <row r="37" spans="1:8" ht="18.600000000000001" customHeight="1" x14ac:dyDescent="0.45">
      <c r="A37" s="31">
        <v>45996</v>
      </c>
      <c r="B37" s="9">
        <f>COUNTIFS(Tabela3[[#All],[Dt Conclusão]],A37,Tabela3[[#All],[Status]],"Keyuser - Concluído ")</f>
        <v>7</v>
      </c>
      <c r="C37" s="74">
        <v>10</v>
      </c>
      <c r="D37" s="52">
        <f t="shared" si="3"/>
        <v>-3</v>
      </c>
      <c r="E37" s="39"/>
    </row>
    <row r="38" spans="1:8" ht="18.600000000000001" customHeight="1" x14ac:dyDescent="0.45">
      <c r="A38" s="31">
        <v>45999</v>
      </c>
      <c r="B38" s="9">
        <f>COUNTIFS(Tabela3[[#All],[Dt Conclusão]],A38,Tabela3[[#All],[Status]],"Keyuser - Concluído ")</f>
        <v>0</v>
      </c>
      <c r="C38" s="74">
        <v>9</v>
      </c>
      <c r="D38" s="52">
        <f t="shared" si="3"/>
        <v>-9</v>
      </c>
      <c r="E38" s="39"/>
    </row>
    <row r="39" spans="1:8" ht="18.600000000000001" customHeight="1" x14ac:dyDescent="0.45">
      <c r="A39" s="31">
        <v>46000</v>
      </c>
      <c r="B39" s="9">
        <f>COUNTIFS(Tabela3[[#All],[Dt Conclusão]],A39,Tabela3[[#All],[Status]],"Keyuser - Concluído ")</f>
        <v>0</v>
      </c>
      <c r="C39" s="74">
        <v>10</v>
      </c>
      <c r="D39" s="52">
        <f t="shared" si="3"/>
        <v>-10</v>
      </c>
      <c r="E39" s="39"/>
    </row>
    <row r="40" spans="1:8" ht="18.600000000000001" customHeight="1" x14ac:dyDescent="0.45">
      <c r="A40" s="31">
        <v>46001</v>
      </c>
      <c r="B40" s="9">
        <f>COUNTIFS(Tabela3[[#All],[Dt Conclusão]],A40,Tabela3[[#All],[Status]],"Keyuser - Concluído ")</f>
        <v>0</v>
      </c>
      <c r="C40" s="74">
        <v>11</v>
      </c>
      <c r="D40" s="52">
        <f t="shared" si="3"/>
        <v>-11</v>
      </c>
      <c r="E40" s="39"/>
    </row>
    <row r="41" spans="1:8" ht="18.600000000000001" customHeight="1" x14ac:dyDescent="0.45">
      <c r="A41" s="31">
        <v>46002</v>
      </c>
      <c r="B41" s="9">
        <f>COUNTIFS(Tabela3[[#All],[Dt Conclusão]],A41,Tabela3[[#All],[Status]],"Keyuser - Concluído ")</f>
        <v>3</v>
      </c>
      <c r="C41" s="74">
        <v>12</v>
      </c>
      <c r="D41" s="52">
        <f t="shared" si="3"/>
        <v>-9</v>
      </c>
      <c r="E41" s="39"/>
    </row>
    <row r="42" spans="1:8" ht="18.600000000000001" customHeight="1" x14ac:dyDescent="0.45">
      <c r="C42" s="39"/>
      <c r="D42" s="39"/>
      <c r="E42" s="39"/>
    </row>
    <row r="43" spans="1:8" ht="18.600000000000001" customHeight="1" x14ac:dyDescent="0.45">
      <c r="C43" s="39"/>
      <c r="D43" s="39"/>
      <c r="E43" s="39"/>
    </row>
    <row r="44" spans="1:8" ht="18.600000000000001" customHeight="1" x14ac:dyDescent="0.45">
      <c r="C44" s="39"/>
      <c r="D44" s="39"/>
      <c r="E44" s="39"/>
    </row>
    <row r="45" spans="1:8" ht="18.600000000000001" customHeight="1" x14ac:dyDescent="0.45">
      <c r="C45" s="39"/>
      <c r="D45" s="39"/>
      <c r="E45" s="39"/>
    </row>
    <row r="46" spans="1:8" ht="18.600000000000001" customHeight="1" x14ac:dyDescent="0.45">
      <c r="C46" s="39"/>
      <c r="D46" s="39"/>
      <c r="E46" s="39"/>
    </row>
    <row r="50" spans="1:13" ht="42.6" customHeight="1" x14ac:dyDescent="0.45">
      <c r="A50" s="30" t="s">
        <v>796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</row>
    <row r="51" spans="1:13" ht="18.600000000000001" customHeight="1" x14ac:dyDescent="0.25">
      <c r="A51" s="11" t="s">
        <v>252</v>
      </c>
      <c r="B51" s="1" t="s">
        <v>275</v>
      </c>
      <c r="F51" s="11" t="s">
        <v>252</v>
      </c>
      <c r="G51" s="1" t="s">
        <v>261</v>
      </c>
    </row>
    <row r="53" spans="1:13" ht="18.600000000000001" customHeight="1" x14ac:dyDescent="0.25">
      <c r="A53" s="11" t="s">
        <v>795</v>
      </c>
      <c r="B53" s="11" t="s">
        <v>1</v>
      </c>
      <c r="C53" s="11" t="s">
        <v>24</v>
      </c>
      <c r="D53" t="s">
        <v>322</v>
      </c>
      <c r="F53" s="11" t="s">
        <v>795</v>
      </c>
      <c r="G53" t="s">
        <v>322</v>
      </c>
    </row>
    <row r="54" spans="1:13" ht="18.600000000000001" customHeight="1" x14ac:dyDescent="0.25">
      <c r="A54" s="6" t="s">
        <v>285</v>
      </c>
      <c r="D54">
        <v>3</v>
      </c>
      <c r="F54" s="6" t="s">
        <v>788</v>
      </c>
      <c r="G54">
        <v>6</v>
      </c>
    </row>
    <row r="55" spans="1:13" ht="18.600000000000001" customHeight="1" x14ac:dyDescent="0.25">
      <c r="A55" s="77" t="s">
        <v>797</v>
      </c>
      <c r="B55" s="6" t="s">
        <v>762</v>
      </c>
      <c r="C55" s="6" t="s">
        <v>375</v>
      </c>
      <c r="D55">
        <v>1</v>
      </c>
      <c r="F55" s="77" t="s">
        <v>789</v>
      </c>
      <c r="G55">
        <v>1</v>
      </c>
    </row>
    <row r="56" spans="1:13" ht="18.600000000000001" customHeight="1" x14ac:dyDescent="0.25">
      <c r="A56" s="77" t="s">
        <v>798</v>
      </c>
      <c r="B56" s="6" t="s">
        <v>766</v>
      </c>
      <c r="C56" s="6" t="s">
        <v>375</v>
      </c>
      <c r="D56">
        <v>1</v>
      </c>
      <c r="F56" s="77" t="s">
        <v>787</v>
      </c>
      <c r="G56">
        <v>1</v>
      </c>
    </row>
    <row r="57" spans="1:13" ht="18.600000000000001" customHeight="1" x14ac:dyDescent="0.25">
      <c r="A57" s="77" t="s">
        <v>799</v>
      </c>
      <c r="B57" s="6" t="s">
        <v>770</v>
      </c>
      <c r="C57" s="6" t="s">
        <v>375</v>
      </c>
      <c r="D57">
        <v>1</v>
      </c>
      <c r="F57" s="77" t="s">
        <v>791</v>
      </c>
      <c r="G57">
        <v>1</v>
      </c>
    </row>
    <row r="58" spans="1:13" ht="18.600000000000001" customHeight="1" x14ac:dyDescent="0.25">
      <c r="A58" s="6" t="s">
        <v>270</v>
      </c>
      <c r="D58">
        <v>1</v>
      </c>
      <c r="F58" s="77" t="s">
        <v>792</v>
      </c>
      <c r="G58">
        <v>1</v>
      </c>
    </row>
    <row r="59" spans="1:13" ht="18.600000000000001" customHeight="1" x14ac:dyDescent="0.25">
      <c r="A59" s="77" t="s">
        <v>800</v>
      </c>
      <c r="B59" s="6" t="s">
        <v>785</v>
      </c>
      <c r="C59" s="6" t="s">
        <v>786</v>
      </c>
      <c r="D59">
        <v>1</v>
      </c>
      <c r="F59" s="77" t="s">
        <v>793</v>
      </c>
      <c r="G59">
        <v>2</v>
      </c>
    </row>
    <row r="60" spans="1:13" ht="18.600000000000001" customHeight="1" x14ac:dyDescent="0.25">
      <c r="A60" s="6" t="s">
        <v>316</v>
      </c>
      <c r="D60">
        <v>4</v>
      </c>
      <c r="F60" s="6" t="s">
        <v>283</v>
      </c>
      <c r="G60">
        <v>3</v>
      </c>
    </row>
    <row r="61" spans="1:13" ht="18.600000000000001" customHeight="1" x14ac:dyDescent="0.25">
      <c r="F61" s="77" t="s">
        <v>373</v>
      </c>
      <c r="G61">
        <v>3</v>
      </c>
    </row>
    <row r="62" spans="1:13" ht="18.600000000000001" customHeight="1" x14ac:dyDescent="0.25">
      <c r="F62" s="6" t="s">
        <v>285</v>
      </c>
      <c r="G62">
        <v>2</v>
      </c>
    </row>
    <row r="63" spans="1:13" ht="18.600000000000001" customHeight="1" x14ac:dyDescent="0.25">
      <c r="F63" s="77" t="s">
        <v>375</v>
      </c>
      <c r="G63">
        <v>2</v>
      </c>
    </row>
    <row r="64" spans="1:13" ht="18.600000000000001" customHeight="1" x14ac:dyDescent="0.25">
      <c r="F64" s="6" t="s">
        <v>270</v>
      </c>
      <c r="G64">
        <v>1</v>
      </c>
    </row>
    <row r="65" spans="1:7" ht="18.600000000000001" customHeight="1" x14ac:dyDescent="0.25">
      <c r="F65" s="77" t="s">
        <v>790</v>
      </c>
      <c r="G65">
        <v>1</v>
      </c>
    </row>
    <row r="66" spans="1:7" ht="18.600000000000001" customHeight="1" x14ac:dyDescent="0.25">
      <c r="F66" s="6" t="s">
        <v>316</v>
      </c>
      <c r="G66">
        <v>12</v>
      </c>
    </row>
    <row r="80" spans="1:7" ht="18.600000000000001" customHeight="1" x14ac:dyDescent="0.25">
      <c r="A80" s="6"/>
    </row>
    <row r="81" spans="1:13" ht="18.600000000000001" customHeight="1" x14ac:dyDescent="0.25">
      <c r="A81" s="6"/>
    </row>
    <row r="82" spans="1:13" ht="18.600000000000001" customHeight="1" x14ac:dyDescent="0.25">
      <c r="A82" s="6"/>
    </row>
    <row r="83" spans="1:13" ht="18.600000000000001" customHeight="1" x14ac:dyDescent="0.25">
      <c r="A83" s="6"/>
    </row>
    <row r="84" spans="1:13" ht="18.600000000000001" customHeight="1" x14ac:dyDescent="0.25">
      <c r="A84" s="6"/>
    </row>
    <row r="85" spans="1:13" ht="18.600000000000001" customHeight="1" x14ac:dyDescent="0.25">
      <c r="A85" s="6"/>
    </row>
    <row r="86" spans="1:13" ht="18.600000000000001" customHeight="1" x14ac:dyDescent="0.25">
      <c r="A86" s="6"/>
    </row>
    <row r="89" spans="1:13" ht="18.600000000000001" customHeight="1" x14ac:dyDescent="0.25">
      <c r="A89" s="6"/>
    </row>
    <row r="90" spans="1:13" ht="45" customHeight="1" x14ac:dyDescent="0.45">
      <c r="A90" s="30" t="s">
        <v>354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</row>
    <row r="91" spans="1:13" ht="18.600000000000001" customHeight="1" x14ac:dyDescent="0.25">
      <c r="A91" s="11" t="s">
        <v>252</v>
      </c>
      <c r="B91" s="1" t="s">
        <v>260</v>
      </c>
      <c r="F91" s="11" t="s">
        <v>252</v>
      </c>
      <c r="G91" s="1" t="s">
        <v>260</v>
      </c>
    </row>
    <row r="93" spans="1:13" ht="18.600000000000001" customHeight="1" x14ac:dyDescent="0.25">
      <c r="A93" s="11" t="s">
        <v>795</v>
      </c>
      <c r="B93" s="11" t="s">
        <v>24</v>
      </c>
      <c r="C93" t="s">
        <v>322</v>
      </c>
      <c r="F93" s="11" t="s">
        <v>795</v>
      </c>
      <c r="G93" s="11" t="s">
        <v>1</v>
      </c>
      <c r="H93" s="11" t="s">
        <v>19</v>
      </c>
      <c r="I93" s="11" t="s">
        <v>248</v>
      </c>
      <c r="J93" t="s">
        <v>322</v>
      </c>
    </row>
    <row r="94" spans="1:13" ht="18.600000000000001" customHeight="1" x14ac:dyDescent="0.25">
      <c r="A94" s="6" t="s">
        <v>312</v>
      </c>
      <c r="C94">
        <v>3</v>
      </c>
      <c r="F94" s="6" t="s">
        <v>801</v>
      </c>
      <c r="G94" s="6" t="s">
        <v>759</v>
      </c>
      <c r="H94" s="6" t="s">
        <v>761</v>
      </c>
      <c r="I94" s="6" t="s">
        <v>312</v>
      </c>
      <c r="J94">
        <v>1</v>
      </c>
    </row>
    <row r="95" spans="1:13" ht="18.600000000000001" customHeight="1" x14ac:dyDescent="0.25">
      <c r="A95" s="77" t="s">
        <v>801</v>
      </c>
      <c r="B95" s="6" t="s">
        <v>745</v>
      </c>
      <c r="C95">
        <v>1</v>
      </c>
      <c r="F95" s="6" t="s">
        <v>802</v>
      </c>
      <c r="G95" s="6" t="s">
        <v>770</v>
      </c>
      <c r="H95" s="6" t="s">
        <v>771</v>
      </c>
      <c r="I95" s="6" t="s">
        <v>312</v>
      </c>
      <c r="J95">
        <v>1</v>
      </c>
    </row>
    <row r="96" spans="1:13" ht="18.600000000000001" customHeight="1" x14ac:dyDescent="0.25">
      <c r="A96" s="77" t="s">
        <v>802</v>
      </c>
      <c r="B96" s="6" t="s">
        <v>745</v>
      </c>
      <c r="C96">
        <v>1</v>
      </c>
      <c r="F96" s="6" t="s">
        <v>803</v>
      </c>
      <c r="G96" s="6" t="s">
        <v>774</v>
      </c>
      <c r="H96" s="6" t="s">
        <v>777</v>
      </c>
      <c r="I96" s="6" t="s">
        <v>312</v>
      </c>
      <c r="J96">
        <v>1</v>
      </c>
    </row>
    <row r="97" spans="1:10" ht="18.600000000000001" customHeight="1" x14ac:dyDescent="0.25">
      <c r="A97" s="77" t="s">
        <v>803</v>
      </c>
      <c r="B97" s="6" t="s">
        <v>745</v>
      </c>
      <c r="C97">
        <v>1</v>
      </c>
      <c r="F97" s="6" t="s">
        <v>316</v>
      </c>
      <c r="J97">
        <v>3</v>
      </c>
    </row>
    <row r="98" spans="1:10" ht="18.600000000000001" customHeight="1" x14ac:dyDescent="0.25">
      <c r="A98" s="6" t="s">
        <v>316</v>
      </c>
      <c r="C98">
        <v>3</v>
      </c>
    </row>
  </sheetData>
  <conditionalFormatting pivot="1" sqref="D54 D5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{33A25668-2DCC-4962-B727-982FC89EFCC5}</x14:id>
        </ext>
      </extLst>
    </cfRule>
  </conditionalFormatting>
  <conditionalFormatting pivot="1" sqref="G60 G64 G62 G5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{D26DC7B3-7CDF-49F6-B9BB-ADBCC2A29B1E}</x14:id>
        </ext>
      </extLst>
    </cfRule>
  </conditionalFormatting>
  <conditionalFormatting pivot="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{C3F53C6C-A76C-4EF7-ADCC-D0D98E934C62}</x14:id>
        </ext>
      </extLst>
    </cfRule>
  </conditionalFormatting>
  <pageMargins left="0.511811024" right="0.511811024" top="0.78740157499999996" bottom="0.78740157499999996" header="0.31496062000000002" footer="0.31496062000000002"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3A25668-2DCC-4962-B727-982FC89EFC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D54 D58</xm:sqref>
        </x14:conditionalFormatting>
        <x14:conditionalFormatting xmlns:xm="http://schemas.microsoft.com/office/excel/2006/main" pivot="1">
          <x14:cfRule type="dataBar" id="{D26DC7B3-7CDF-49F6-B9BB-ADBCC2A29B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G60 G64 G62 G54</xm:sqref>
        </x14:conditionalFormatting>
        <x14:conditionalFormatting xmlns:xm="http://schemas.microsoft.com/office/excel/2006/main" pivot="1">
          <x14:cfRule type="dataBar" id="{C3F53C6C-A76C-4EF7-ADCC-D0D98E934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E11C-CECB-4C8E-B370-30BBA0F379E0}">
  <sheetPr codeName="Planilha10" filterMode="1"/>
  <dimension ref="A1:D144"/>
  <sheetViews>
    <sheetView workbookViewId="0"/>
  </sheetViews>
  <sheetFormatPr defaultRowHeight="15" x14ac:dyDescent="0.25"/>
  <cols>
    <col min="1" max="1" width="38" bestFit="1" customWidth="1"/>
  </cols>
  <sheetData>
    <row r="1" spans="1:3" x14ac:dyDescent="0.25">
      <c r="A1" s="1" t="s">
        <v>2</v>
      </c>
      <c r="B1" s="1" t="s">
        <v>3</v>
      </c>
      <c r="C1" s="1" t="s">
        <v>804</v>
      </c>
    </row>
    <row r="2" spans="1:3" x14ac:dyDescent="0.25">
      <c r="A2" t="s">
        <v>163</v>
      </c>
      <c r="B2">
        <v>0</v>
      </c>
      <c r="C2" t="s">
        <v>358</v>
      </c>
    </row>
    <row r="3" spans="1:3" hidden="1" x14ac:dyDescent="0.25">
      <c r="A3" t="s">
        <v>89</v>
      </c>
      <c r="B3" t="s">
        <v>90</v>
      </c>
      <c r="C3" t="s">
        <v>374</v>
      </c>
    </row>
    <row r="4" spans="1:3" hidden="1" x14ac:dyDescent="0.25">
      <c r="A4" t="s">
        <v>92</v>
      </c>
      <c r="B4" t="s">
        <v>90</v>
      </c>
      <c r="C4" t="s">
        <v>374</v>
      </c>
    </row>
    <row r="5" spans="1:3" x14ac:dyDescent="0.25">
      <c r="A5" t="s">
        <v>179</v>
      </c>
      <c r="B5" t="s">
        <v>181</v>
      </c>
      <c r="C5" t="s">
        <v>358</v>
      </c>
    </row>
    <row r="6" spans="1:3" hidden="1" x14ac:dyDescent="0.25">
      <c r="A6" t="s">
        <v>47</v>
      </c>
      <c r="B6" t="s">
        <v>22</v>
      </c>
      <c r="C6" t="s">
        <v>374</v>
      </c>
    </row>
    <row r="7" spans="1:3" x14ac:dyDescent="0.25">
      <c r="A7" t="s">
        <v>41</v>
      </c>
      <c r="B7" t="s">
        <v>22</v>
      </c>
      <c r="C7" t="s">
        <v>358</v>
      </c>
    </row>
    <row r="8" spans="1:3" x14ac:dyDescent="0.25">
      <c r="A8" t="s">
        <v>44</v>
      </c>
      <c r="B8" t="s">
        <v>22</v>
      </c>
      <c r="C8" t="s">
        <v>358</v>
      </c>
    </row>
    <row r="9" spans="1:3" hidden="1" x14ac:dyDescent="0.25">
      <c r="A9" t="s">
        <v>35</v>
      </c>
      <c r="B9" t="s">
        <v>22</v>
      </c>
      <c r="C9" t="s">
        <v>374</v>
      </c>
    </row>
    <row r="10" spans="1:3" x14ac:dyDescent="0.25">
      <c r="A10" t="s">
        <v>110</v>
      </c>
      <c r="B10" t="s">
        <v>22</v>
      </c>
      <c r="C10" t="s">
        <v>358</v>
      </c>
    </row>
    <row r="11" spans="1:3" x14ac:dyDescent="0.25">
      <c r="A11" t="s">
        <v>21</v>
      </c>
      <c r="B11" t="s">
        <v>22</v>
      </c>
      <c r="C11" t="s">
        <v>358</v>
      </c>
    </row>
    <row r="12" spans="1:3" x14ac:dyDescent="0.25">
      <c r="A12" t="s">
        <v>30</v>
      </c>
      <c r="B12" t="s">
        <v>22</v>
      </c>
      <c r="C12" t="s">
        <v>358</v>
      </c>
    </row>
    <row r="13" spans="1:3" x14ac:dyDescent="0.25">
      <c r="A13" t="s">
        <v>179</v>
      </c>
      <c r="B13" t="s">
        <v>22</v>
      </c>
      <c r="C13" t="s">
        <v>358</v>
      </c>
    </row>
    <row r="14" spans="1:3" hidden="1" x14ac:dyDescent="0.25">
      <c r="A14" t="s">
        <v>154</v>
      </c>
      <c r="B14" t="s">
        <v>22</v>
      </c>
      <c r="C14" t="s">
        <v>374</v>
      </c>
    </row>
    <row r="15" spans="1:3" x14ac:dyDescent="0.25">
      <c r="A15" t="s">
        <v>124</v>
      </c>
      <c r="B15" t="s">
        <v>125</v>
      </c>
      <c r="C15" t="s">
        <v>358</v>
      </c>
    </row>
    <row r="16" spans="1:3" hidden="1" x14ac:dyDescent="0.25">
      <c r="A16" t="s">
        <v>86</v>
      </c>
      <c r="B16" t="s">
        <v>87</v>
      </c>
      <c r="C16" t="s">
        <v>374</v>
      </c>
    </row>
    <row r="17" spans="1:3" x14ac:dyDescent="0.25">
      <c r="A17" t="s">
        <v>176</v>
      </c>
      <c r="B17" t="s">
        <v>177</v>
      </c>
      <c r="C17" t="s">
        <v>358</v>
      </c>
    </row>
    <row r="18" spans="1:3" hidden="1" x14ac:dyDescent="0.25">
      <c r="A18" t="s">
        <v>134</v>
      </c>
      <c r="B18" t="s">
        <v>135</v>
      </c>
      <c r="C18" t="s">
        <v>374</v>
      </c>
    </row>
    <row r="19" spans="1:3" x14ac:dyDescent="0.25">
      <c r="A19" t="s">
        <v>127</v>
      </c>
      <c r="B19" t="s">
        <v>128</v>
      </c>
      <c r="C19" t="s">
        <v>358</v>
      </c>
    </row>
    <row r="20" spans="1:3" x14ac:dyDescent="0.25">
      <c r="A20" t="s">
        <v>50</v>
      </c>
      <c r="B20" t="s">
        <v>51</v>
      </c>
      <c r="C20" t="s">
        <v>358</v>
      </c>
    </row>
    <row r="21" spans="1:3" x14ac:dyDescent="0.25">
      <c r="A21" t="s">
        <v>67</v>
      </c>
      <c r="B21" t="s">
        <v>51</v>
      </c>
      <c r="C21" t="s">
        <v>358</v>
      </c>
    </row>
    <row r="22" spans="1:3" hidden="1" x14ac:dyDescent="0.25">
      <c r="A22" t="s">
        <v>80</v>
      </c>
      <c r="B22" t="s">
        <v>81</v>
      </c>
      <c r="C22" t="s">
        <v>374</v>
      </c>
    </row>
    <row r="23" spans="1:3" x14ac:dyDescent="0.25">
      <c r="A23" t="s">
        <v>179</v>
      </c>
      <c r="B23" t="s">
        <v>182</v>
      </c>
      <c r="C23" t="s">
        <v>358</v>
      </c>
    </row>
    <row r="24" spans="1:3" hidden="1" x14ac:dyDescent="0.25">
      <c r="A24" t="s">
        <v>136</v>
      </c>
      <c r="B24" t="s">
        <v>137</v>
      </c>
      <c r="C24" t="s">
        <v>374</v>
      </c>
    </row>
    <row r="25" spans="1:3" x14ac:dyDescent="0.25">
      <c r="A25" t="s">
        <v>179</v>
      </c>
      <c r="B25" t="s">
        <v>180</v>
      </c>
      <c r="C25" t="s">
        <v>358</v>
      </c>
    </row>
    <row r="26" spans="1:3" x14ac:dyDescent="0.25">
      <c r="A26" t="s">
        <v>95</v>
      </c>
      <c r="B26" t="s">
        <v>96</v>
      </c>
      <c r="C26" t="s">
        <v>358</v>
      </c>
    </row>
    <row r="27" spans="1:3" hidden="1" x14ac:dyDescent="0.25">
      <c r="A27" t="s">
        <v>104</v>
      </c>
      <c r="B27" t="s">
        <v>105</v>
      </c>
      <c r="C27" t="s">
        <v>374</v>
      </c>
    </row>
    <row r="28" spans="1:3" hidden="1" x14ac:dyDescent="0.25">
      <c r="A28" t="s">
        <v>98</v>
      </c>
      <c r="B28" t="s">
        <v>99</v>
      </c>
      <c r="C28" t="s">
        <v>374</v>
      </c>
    </row>
    <row r="29" spans="1:3" x14ac:dyDescent="0.25">
      <c r="A29" t="s">
        <v>166</v>
      </c>
      <c r="B29" t="s">
        <v>167</v>
      </c>
      <c r="C29" t="s">
        <v>358</v>
      </c>
    </row>
    <row r="30" spans="1:3" x14ac:dyDescent="0.25">
      <c r="A30" t="s">
        <v>174</v>
      </c>
      <c r="B30" t="s">
        <v>167</v>
      </c>
      <c r="C30" t="s">
        <v>358</v>
      </c>
    </row>
    <row r="31" spans="1:3" hidden="1" x14ac:dyDescent="0.25">
      <c r="A31" t="s">
        <v>169</v>
      </c>
      <c r="B31" t="s">
        <v>167</v>
      </c>
      <c r="C31" t="s">
        <v>374</v>
      </c>
    </row>
    <row r="32" spans="1:3" x14ac:dyDescent="0.25">
      <c r="A32" t="s">
        <v>171</v>
      </c>
      <c r="B32" t="s">
        <v>172</v>
      </c>
      <c r="C32" t="s">
        <v>358</v>
      </c>
    </row>
    <row r="33" spans="1:3" x14ac:dyDescent="0.25">
      <c r="A33" t="s">
        <v>50</v>
      </c>
      <c r="B33" t="s">
        <v>53</v>
      </c>
      <c r="C33" t="s">
        <v>358</v>
      </c>
    </row>
    <row r="34" spans="1:3" x14ac:dyDescent="0.25">
      <c r="A34" t="s">
        <v>67</v>
      </c>
      <c r="B34" t="s">
        <v>53</v>
      </c>
      <c r="C34" t="s">
        <v>358</v>
      </c>
    </row>
    <row r="35" spans="1:3" x14ac:dyDescent="0.25">
      <c r="A35" t="s">
        <v>127</v>
      </c>
      <c r="B35" t="s">
        <v>129</v>
      </c>
      <c r="C35" t="s">
        <v>358</v>
      </c>
    </row>
    <row r="36" spans="1:3" x14ac:dyDescent="0.25">
      <c r="A36" t="s">
        <v>127</v>
      </c>
      <c r="B36" t="s">
        <v>131</v>
      </c>
      <c r="C36" t="s">
        <v>358</v>
      </c>
    </row>
    <row r="37" spans="1:3" x14ac:dyDescent="0.25">
      <c r="A37" t="s">
        <v>147</v>
      </c>
      <c r="B37" t="s">
        <v>148</v>
      </c>
      <c r="C37" t="s">
        <v>358</v>
      </c>
    </row>
    <row r="38" spans="1:3" x14ac:dyDescent="0.25">
      <c r="A38" t="s">
        <v>143</v>
      </c>
      <c r="B38" t="s">
        <v>144</v>
      </c>
      <c r="C38" t="s">
        <v>358</v>
      </c>
    </row>
    <row r="39" spans="1:3" x14ac:dyDescent="0.25">
      <c r="A39" t="s">
        <v>147</v>
      </c>
      <c r="B39" t="s">
        <v>149</v>
      </c>
      <c r="C39" t="s">
        <v>358</v>
      </c>
    </row>
    <row r="40" spans="1:3" x14ac:dyDescent="0.25">
      <c r="A40" t="s">
        <v>143</v>
      </c>
      <c r="B40" t="s">
        <v>145</v>
      </c>
      <c r="C40" t="s">
        <v>358</v>
      </c>
    </row>
    <row r="41" spans="1:3" x14ac:dyDescent="0.25">
      <c r="A41" t="s">
        <v>147</v>
      </c>
      <c r="B41" t="s">
        <v>151</v>
      </c>
      <c r="C41" t="s">
        <v>358</v>
      </c>
    </row>
    <row r="42" spans="1:3" x14ac:dyDescent="0.25">
      <c r="A42" t="s">
        <v>59</v>
      </c>
      <c r="B42" t="s">
        <v>60</v>
      </c>
      <c r="C42" t="s">
        <v>358</v>
      </c>
    </row>
    <row r="43" spans="1:3" x14ac:dyDescent="0.25">
      <c r="A43" t="s">
        <v>72</v>
      </c>
      <c r="B43" t="s">
        <v>73</v>
      </c>
      <c r="C43" t="s">
        <v>358</v>
      </c>
    </row>
    <row r="44" spans="1:3" hidden="1" x14ac:dyDescent="0.25">
      <c r="A44" t="s">
        <v>158</v>
      </c>
      <c r="B44" t="s">
        <v>159</v>
      </c>
      <c r="C44" t="s">
        <v>805</v>
      </c>
    </row>
    <row r="45" spans="1:3" hidden="1" x14ac:dyDescent="0.25">
      <c r="A45" t="s">
        <v>158</v>
      </c>
      <c r="B45" t="s">
        <v>25</v>
      </c>
      <c r="C45" t="s">
        <v>805</v>
      </c>
    </row>
    <row r="46" spans="1:3" x14ac:dyDescent="0.25">
      <c r="A46" t="s">
        <v>80</v>
      </c>
      <c r="B46" t="s">
        <v>25</v>
      </c>
      <c r="C46" t="s">
        <v>358</v>
      </c>
    </row>
    <row r="47" spans="1:3" x14ac:dyDescent="0.25">
      <c r="A47" t="s">
        <v>98</v>
      </c>
      <c r="B47" t="s">
        <v>25</v>
      </c>
      <c r="C47" t="s">
        <v>358</v>
      </c>
    </row>
    <row r="48" spans="1:3" x14ac:dyDescent="0.25">
      <c r="A48" t="s">
        <v>37</v>
      </c>
      <c r="B48" t="s">
        <v>25</v>
      </c>
      <c r="C48" t="s">
        <v>358</v>
      </c>
    </row>
    <row r="49" spans="1:3" x14ac:dyDescent="0.25">
      <c r="A49" t="s">
        <v>21</v>
      </c>
      <c r="B49" t="s">
        <v>25</v>
      </c>
      <c r="C49" t="s">
        <v>358</v>
      </c>
    </row>
    <row r="50" spans="1:3" x14ac:dyDescent="0.25">
      <c r="A50" t="s">
        <v>30</v>
      </c>
      <c r="B50" t="s">
        <v>25</v>
      </c>
      <c r="C50" t="s">
        <v>358</v>
      </c>
    </row>
    <row r="51" spans="1:3" x14ac:dyDescent="0.25">
      <c r="A51" t="s">
        <v>154</v>
      </c>
      <c r="B51" t="s">
        <v>25</v>
      </c>
      <c r="C51" t="s">
        <v>358</v>
      </c>
    </row>
    <row r="52" spans="1:3" x14ac:dyDescent="0.25">
      <c r="A52" t="s">
        <v>136</v>
      </c>
      <c r="B52" t="s">
        <v>140</v>
      </c>
      <c r="C52" t="s">
        <v>358</v>
      </c>
    </row>
    <row r="53" spans="1:3" x14ac:dyDescent="0.25">
      <c r="A53" t="s">
        <v>179</v>
      </c>
      <c r="B53" t="s">
        <v>183</v>
      </c>
      <c r="C53" t="s">
        <v>358</v>
      </c>
    </row>
    <row r="54" spans="1:3" x14ac:dyDescent="0.25">
      <c r="A54" t="s">
        <v>179</v>
      </c>
      <c r="B54" t="s">
        <v>185</v>
      </c>
      <c r="C54" t="s">
        <v>358</v>
      </c>
    </row>
    <row r="55" spans="1:3" x14ac:dyDescent="0.25">
      <c r="A55" t="s">
        <v>179</v>
      </c>
      <c r="B55" t="s">
        <v>184</v>
      </c>
      <c r="C55" t="s">
        <v>358</v>
      </c>
    </row>
    <row r="56" spans="1:3" x14ac:dyDescent="0.25">
      <c r="A56" t="s">
        <v>67</v>
      </c>
      <c r="B56" t="s">
        <v>56</v>
      </c>
      <c r="C56" t="s">
        <v>358</v>
      </c>
    </row>
    <row r="57" spans="1:3" x14ac:dyDescent="0.25">
      <c r="A57" t="s">
        <v>55</v>
      </c>
      <c r="B57" t="s">
        <v>56</v>
      </c>
      <c r="C57" t="s">
        <v>358</v>
      </c>
    </row>
    <row r="58" spans="1:3" x14ac:dyDescent="0.25">
      <c r="A58" t="s">
        <v>166</v>
      </c>
      <c r="B58" t="s">
        <v>27</v>
      </c>
      <c r="C58" t="s">
        <v>358</v>
      </c>
    </row>
    <row r="59" spans="1:3" hidden="1" x14ac:dyDescent="0.25">
      <c r="A59" t="s">
        <v>158</v>
      </c>
      <c r="B59" t="s">
        <v>27</v>
      </c>
      <c r="C59" t="s">
        <v>805</v>
      </c>
    </row>
    <row r="60" spans="1:3" x14ac:dyDescent="0.25">
      <c r="A60" t="s">
        <v>80</v>
      </c>
      <c r="B60" t="s">
        <v>27</v>
      </c>
      <c r="C60" t="s">
        <v>358</v>
      </c>
    </row>
    <row r="61" spans="1:3" x14ac:dyDescent="0.25">
      <c r="A61" t="s">
        <v>98</v>
      </c>
      <c r="B61" t="s">
        <v>27</v>
      </c>
      <c r="C61" t="s">
        <v>358</v>
      </c>
    </row>
    <row r="62" spans="1:3" x14ac:dyDescent="0.25">
      <c r="A62" t="s">
        <v>163</v>
      </c>
      <c r="B62" t="s">
        <v>27</v>
      </c>
      <c r="C62" t="s">
        <v>358</v>
      </c>
    </row>
    <row r="63" spans="1:3" x14ac:dyDescent="0.25">
      <c r="A63" t="s">
        <v>169</v>
      </c>
      <c r="B63" t="s">
        <v>27</v>
      </c>
      <c r="C63" t="s">
        <v>358</v>
      </c>
    </row>
    <row r="64" spans="1:3" x14ac:dyDescent="0.25">
      <c r="A64" t="s">
        <v>37</v>
      </c>
      <c r="B64" t="s">
        <v>27</v>
      </c>
      <c r="C64" t="s">
        <v>358</v>
      </c>
    </row>
    <row r="65" spans="1:3" x14ac:dyDescent="0.25">
      <c r="A65" t="s">
        <v>21</v>
      </c>
      <c r="B65" t="s">
        <v>27</v>
      </c>
      <c r="C65" t="s">
        <v>358</v>
      </c>
    </row>
    <row r="66" spans="1:3" x14ac:dyDescent="0.25">
      <c r="A66" t="s">
        <v>30</v>
      </c>
      <c r="B66" t="s">
        <v>27</v>
      </c>
      <c r="C66" t="s">
        <v>358</v>
      </c>
    </row>
    <row r="67" spans="1:3" x14ac:dyDescent="0.25">
      <c r="A67" t="s">
        <v>154</v>
      </c>
      <c r="B67" t="s">
        <v>27</v>
      </c>
      <c r="C67" t="s">
        <v>358</v>
      </c>
    </row>
    <row r="68" spans="1:3" hidden="1" x14ac:dyDescent="0.25">
      <c r="A68" t="s">
        <v>117</v>
      </c>
      <c r="B68" t="s">
        <v>118</v>
      </c>
      <c r="C68" t="s">
        <v>374</v>
      </c>
    </row>
    <row r="69" spans="1:3" x14ac:dyDescent="0.25">
      <c r="A69" t="s">
        <v>59</v>
      </c>
      <c r="B69" t="s">
        <v>64</v>
      </c>
      <c r="C69" t="s">
        <v>358</v>
      </c>
    </row>
    <row r="70" spans="1:3" x14ac:dyDescent="0.25">
      <c r="A70" t="s">
        <v>59</v>
      </c>
      <c r="B70" t="s">
        <v>62</v>
      </c>
      <c r="C70" t="s">
        <v>358</v>
      </c>
    </row>
    <row r="71" spans="1:3" x14ac:dyDescent="0.25">
      <c r="A71" t="s">
        <v>72</v>
      </c>
      <c r="B71" t="s">
        <v>77</v>
      </c>
      <c r="C71" t="s">
        <v>358</v>
      </c>
    </row>
    <row r="72" spans="1:3" x14ac:dyDescent="0.25">
      <c r="A72" t="s">
        <v>72</v>
      </c>
      <c r="B72" t="s">
        <v>75</v>
      </c>
      <c r="C72" t="s">
        <v>358</v>
      </c>
    </row>
    <row r="73" spans="1:3" x14ac:dyDescent="0.25">
      <c r="A73" t="s">
        <v>136</v>
      </c>
      <c r="B73" t="s">
        <v>138</v>
      </c>
      <c r="C73" t="s">
        <v>358</v>
      </c>
    </row>
    <row r="74" spans="1:3" hidden="1" x14ac:dyDescent="0.25">
      <c r="A74" t="s">
        <v>115</v>
      </c>
      <c r="B74" t="s">
        <v>116</v>
      </c>
      <c r="C74" t="s">
        <v>374</v>
      </c>
    </row>
    <row r="75" spans="1:3" x14ac:dyDescent="0.25">
      <c r="A75" t="s">
        <v>117</v>
      </c>
      <c r="B75" t="s">
        <v>119</v>
      </c>
      <c r="C75" t="s">
        <v>358</v>
      </c>
    </row>
    <row r="76" spans="1:3" x14ac:dyDescent="0.25">
      <c r="A76" t="s">
        <v>117</v>
      </c>
      <c r="B76" t="s">
        <v>121</v>
      </c>
      <c r="C76" t="s">
        <v>358</v>
      </c>
    </row>
    <row r="77" spans="1:3" hidden="1" x14ac:dyDescent="0.25">
      <c r="A77" t="s">
        <v>104</v>
      </c>
      <c r="C77" t="s">
        <v>805</v>
      </c>
    </row>
    <row r="78" spans="1:3" hidden="1" x14ac:dyDescent="0.25">
      <c r="A78" t="s">
        <v>110</v>
      </c>
      <c r="C78" t="s">
        <v>805</v>
      </c>
    </row>
    <row r="86" spans="1:4" x14ac:dyDescent="0.25">
      <c r="A86" s="1" t="s">
        <v>2</v>
      </c>
      <c r="B86" s="1" t="s">
        <v>3</v>
      </c>
    </row>
    <row r="87" spans="1:4" x14ac:dyDescent="0.25">
      <c r="A87" t="s">
        <v>163</v>
      </c>
      <c r="D87" t="str">
        <f t="shared" ref="D87:D118" si="0">A87&amp;" ("&amp;B87&amp;")"</f>
        <v>Venda Energia Dentro Estado Consumo ()</v>
      </c>
    </row>
    <row r="88" spans="1:4" x14ac:dyDescent="0.25">
      <c r="A88" t="s">
        <v>179</v>
      </c>
      <c r="B88" t="s">
        <v>181</v>
      </c>
      <c r="D88" t="str">
        <f t="shared" si="0"/>
        <v>Venda Intercompany (Depósito-ANP) (ME21N)</v>
      </c>
    </row>
    <row r="89" spans="1:4" x14ac:dyDescent="0.25">
      <c r="A89" t="s">
        <v>41</v>
      </c>
      <c r="B89" t="s">
        <v>22</v>
      </c>
      <c r="D89" t="str">
        <f t="shared" si="0"/>
        <v>Venda Etanol Anidro D.E - Distribuidora (Y002)</v>
      </c>
    </row>
    <row r="90" spans="1:4" x14ac:dyDescent="0.25">
      <c r="A90" t="s">
        <v>44</v>
      </c>
      <c r="B90" t="s">
        <v>22</v>
      </c>
      <c r="D90" t="str">
        <f t="shared" si="0"/>
        <v>Venda Etanol Anidro F.E -  Comercializadora (Y002)</v>
      </c>
    </row>
    <row r="91" spans="1:4" x14ac:dyDescent="0.25">
      <c r="A91" t="s">
        <v>110</v>
      </c>
      <c r="B91" t="s">
        <v>22</v>
      </c>
      <c r="D91" t="str">
        <f t="shared" si="0"/>
        <v>Venda Etanol Anidro ZFM (Y002)</v>
      </c>
    </row>
    <row r="92" spans="1:4" x14ac:dyDescent="0.25">
      <c r="A92" t="s">
        <v>21</v>
      </c>
      <c r="B92" t="s">
        <v>22</v>
      </c>
      <c r="D92" t="str">
        <f t="shared" si="0"/>
        <v>Venda Etanol Hidratado D.E (Y002)</v>
      </c>
    </row>
    <row r="93" spans="1:4" x14ac:dyDescent="0.25">
      <c r="A93" t="s">
        <v>30</v>
      </c>
      <c r="B93" t="s">
        <v>22</v>
      </c>
      <c r="D93" t="str">
        <f t="shared" si="0"/>
        <v>Venda Etanol Hidratado F.E (Y002)</v>
      </c>
    </row>
    <row r="94" spans="1:4" x14ac:dyDescent="0.25">
      <c r="A94" t="s">
        <v>179</v>
      </c>
      <c r="B94" t="s">
        <v>22</v>
      </c>
      <c r="D94" t="str">
        <f t="shared" si="0"/>
        <v>Venda Intercompany (Depósito-ANP) (Y002)</v>
      </c>
    </row>
    <row r="95" spans="1:4" x14ac:dyDescent="0.25">
      <c r="A95" t="s">
        <v>124</v>
      </c>
      <c r="B95" t="s">
        <v>125</v>
      </c>
      <c r="D95" t="str">
        <f t="shared" si="0"/>
        <v>FA - Simples Faturamento (Y003)</v>
      </c>
    </row>
    <row r="96" spans="1:4" x14ac:dyDescent="0.25">
      <c r="A96" t="s">
        <v>176</v>
      </c>
      <c r="B96" t="s">
        <v>177</v>
      </c>
      <c r="D96" t="str">
        <f t="shared" si="0"/>
        <v>Complemento de débito (Y014)</v>
      </c>
    </row>
    <row r="97" spans="1:4" x14ac:dyDescent="0.25">
      <c r="A97" t="s">
        <v>127</v>
      </c>
      <c r="B97" t="s">
        <v>128</v>
      </c>
      <c r="D97" t="str">
        <f t="shared" si="0"/>
        <v>Remessa da FA - Receita Remessa (Y033)</v>
      </c>
    </row>
    <row r="98" spans="1:4" x14ac:dyDescent="0.25">
      <c r="A98" t="s">
        <v>50</v>
      </c>
      <c r="B98" t="s">
        <v>51</v>
      </c>
      <c r="D98" t="str">
        <f t="shared" si="0"/>
        <v>Armazenagem de Terceiros (Logum) (Y035)</v>
      </c>
    </row>
    <row r="99" spans="1:4" x14ac:dyDescent="0.25">
      <c r="A99" t="s">
        <v>67</v>
      </c>
      <c r="B99" t="s">
        <v>51</v>
      </c>
      <c r="D99" t="str">
        <f t="shared" si="0"/>
        <v>Armazenagem de Terceiros (OPLA) (Y035)</v>
      </c>
    </row>
    <row r="100" spans="1:4" x14ac:dyDescent="0.25">
      <c r="A100" t="s">
        <v>179</v>
      </c>
      <c r="B100" t="s">
        <v>182</v>
      </c>
      <c r="D100" t="str">
        <f t="shared" si="0"/>
        <v>Venda Intercompany (Depósito-ANP) (Y038)</v>
      </c>
    </row>
    <row r="101" spans="1:4" x14ac:dyDescent="0.25">
      <c r="A101" t="s">
        <v>179</v>
      </c>
      <c r="B101" t="s">
        <v>180</v>
      </c>
      <c r="D101" t="str">
        <f t="shared" si="0"/>
        <v>Venda Intercompany (Depósito-ANP) (Y045)</v>
      </c>
    </row>
    <row r="102" spans="1:4" x14ac:dyDescent="0.25">
      <c r="A102" t="s">
        <v>95</v>
      </c>
      <c r="B102" t="s">
        <v>96</v>
      </c>
      <c r="D102" t="str">
        <f t="shared" si="0"/>
        <v>Venda exportação EXW (Y062)</v>
      </c>
    </row>
    <row r="103" spans="1:4" x14ac:dyDescent="0.25">
      <c r="A103" t="s">
        <v>166</v>
      </c>
      <c r="B103" t="s">
        <v>167</v>
      </c>
      <c r="D103" t="str">
        <f t="shared" si="0"/>
        <v>Revenda Energia Fora Estado (Y202)</v>
      </c>
    </row>
    <row r="104" spans="1:4" x14ac:dyDescent="0.25">
      <c r="A104" t="s">
        <v>174</v>
      </c>
      <c r="B104" t="s">
        <v>167</v>
      </c>
      <c r="D104" t="str">
        <f t="shared" si="0"/>
        <v>Venda Energia Biomassa (Y202)</v>
      </c>
    </row>
    <row r="105" spans="1:4" x14ac:dyDescent="0.25">
      <c r="A105" t="s">
        <v>171</v>
      </c>
      <c r="B105" t="s">
        <v>172</v>
      </c>
      <c r="D105" t="str">
        <f t="shared" si="0"/>
        <v>Lastro Energia (Y205)</v>
      </c>
    </row>
    <row r="106" spans="1:4" x14ac:dyDescent="0.25">
      <c r="A106" t="s">
        <v>50</v>
      </c>
      <c r="B106" t="s">
        <v>53</v>
      </c>
      <c r="D106" t="str">
        <f t="shared" si="0"/>
        <v>Armazenagem de Terceiros (Logum) (Y235)</v>
      </c>
    </row>
    <row r="107" spans="1:4" x14ac:dyDescent="0.25">
      <c r="A107" t="s">
        <v>67</v>
      </c>
      <c r="B107" t="s">
        <v>53</v>
      </c>
      <c r="D107" t="str">
        <f t="shared" si="0"/>
        <v>Armazenagem de Terceiros (OPLA) (Y235)</v>
      </c>
    </row>
    <row r="108" spans="1:4" x14ac:dyDescent="0.25">
      <c r="A108" t="s">
        <v>127</v>
      </c>
      <c r="B108" t="s">
        <v>129</v>
      </c>
      <c r="D108" t="str">
        <f t="shared" si="0"/>
        <v>Remessa da FA - Receita Remessa (Y3RC)</v>
      </c>
    </row>
    <row r="109" spans="1:4" x14ac:dyDescent="0.25">
      <c r="A109" t="s">
        <v>127</v>
      </c>
      <c r="B109" t="s">
        <v>131</v>
      </c>
      <c r="D109" t="str">
        <f t="shared" si="0"/>
        <v>Remessa da FA - Receita Remessa (Y3RE)</v>
      </c>
    </row>
    <row r="110" spans="1:4" x14ac:dyDescent="0.25">
      <c r="A110" t="s">
        <v>147</v>
      </c>
      <c r="B110" t="s">
        <v>148</v>
      </c>
      <c r="D110" t="str">
        <f t="shared" si="0"/>
        <v>Remessa Venda a Ordem (Y903)</v>
      </c>
    </row>
    <row r="111" spans="1:4" x14ac:dyDescent="0.25">
      <c r="A111" t="s">
        <v>143</v>
      </c>
      <c r="B111" t="s">
        <v>144</v>
      </c>
      <c r="D111" t="str">
        <f t="shared" si="0"/>
        <v>Venda a Ordem (Y904)</v>
      </c>
    </row>
    <row r="112" spans="1:4" x14ac:dyDescent="0.25">
      <c r="A112" t="s">
        <v>147</v>
      </c>
      <c r="B112" t="s">
        <v>149</v>
      </c>
      <c r="D112" t="str">
        <f t="shared" si="0"/>
        <v>Remessa Venda a Ordem (Y90C)</v>
      </c>
    </row>
    <row r="113" spans="1:4" x14ac:dyDescent="0.25">
      <c r="A113" t="s">
        <v>143</v>
      </c>
      <c r="B113" t="s">
        <v>145</v>
      </c>
      <c r="D113" t="str">
        <f t="shared" si="0"/>
        <v>Venda a Ordem (Y90R)</v>
      </c>
    </row>
    <row r="114" spans="1:4" x14ac:dyDescent="0.25">
      <c r="A114" t="s">
        <v>147</v>
      </c>
      <c r="B114" t="s">
        <v>151</v>
      </c>
      <c r="D114" t="str">
        <f t="shared" si="0"/>
        <v>Remessa Venda a Ordem (Y90T)</v>
      </c>
    </row>
    <row r="115" spans="1:4" x14ac:dyDescent="0.25">
      <c r="A115" t="s">
        <v>59</v>
      </c>
      <c r="B115" t="s">
        <v>60</v>
      </c>
      <c r="D115" t="str">
        <f t="shared" si="0"/>
        <v>Venda depois do retorno simbólico (Logum) (YAR1)</v>
      </c>
    </row>
    <row r="116" spans="1:4" x14ac:dyDescent="0.25">
      <c r="A116" t="s">
        <v>72</v>
      </c>
      <c r="B116" t="s">
        <v>73</v>
      </c>
      <c r="D116" t="str">
        <f t="shared" si="0"/>
        <v>Venda antes do retorno simbólico (OPLA) (YAR2)</v>
      </c>
    </row>
    <row r="117" spans="1:4" x14ac:dyDescent="0.25">
      <c r="A117" t="s">
        <v>80</v>
      </c>
      <c r="B117" t="s">
        <v>25</v>
      </c>
      <c r="D117" t="str">
        <f t="shared" si="0"/>
        <v>Venda doméstica Açúcar – espec. exportação (YDEV)</v>
      </c>
    </row>
    <row r="118" spans="1:4" x14ac:dyDescent="0.25">
      <c r="A118" t="s">
        <v>98</v>
      </c>
      <c r="B118" t="s">
        <v>25</v>
      </c>
      <c r="D118" t="str">
        <f t="shared" si="0"/>
        <v>Venda doméstica Açúcar – SPOT (YDEV)</v>
      </c>
    </row>
    <row r="119" spans="1:4" x14ac:dyDescent="0.25">
      <c r="A119" t="s">
        <v>37</v>
      </c>
      <c r="B119" t="s">
        <v>25</v>
      </c>
      <c r="D119" t="str">
        <f t="shared" ref="D119:D144" si="1">A119&amp;" ("&amp;B119&amp;")"</f>
        <v>Venda Etanol Anidro F.E (YDEV)</v>
      </c>
    </row>
    <row r="120" spans="1:4" x14ac:dyDescent="0.25">
      <c r="A120" t="s">
        <v>21</v>
      </c>
      <c r="B120" t="s">
        <v>25</v>
      </c>
      <c r="D120" t="str">
        <f t="shared" si="1"/>
        <v>Venda Etanol Hidratado D.E (YDEV)</v>
      </c>
    </row>
    <row r="121" spans="1:4" x14ac:dyDescent="0.25">
      <c r="A121" t="s">
        <v>30</v>
      </c>
      <c r="B121" t="s">
        <v>25</v>
      </c>
      <c r="D121" t="str">
        <f t="shared" si="1"/>
        <v>Venda Etanol Hidratado F.E (YDEV)</v>
      </c>
    </row>
    <row r="122" spans="1:4" x14ac:dyDescent="0.25">
      <c r="A122" t="s">
        <v>154</v>
      </c>
      <c r="B122" t="s">
        <v>25</v>
      </c>
      <c r="D122" t="str">
        <f t="shared" si="1"/>
        <v>Venda Subproduto Oleo Fusel (YDEV)</v>
      </c>
    </row>
    <row r="123" spans="1:4" x14ac:dyDescent="0.25">
      <c r="A123" t="s">
        <v>136</v>
      </c>
      <c r="B123" t="s">
        <v>140</v>
      </c>
      <c r="D123" t="str">
        <f t="shared" si="1"/>
        <v>Remessa Conta e Ordem (YDSR)</v>
      </c>
    </row>
    <row r="124" spans="1:4" x14ac:dyDescent="0.25">
      <c r="A124" t="s">
        <v>179</v>
      </c>
      <c r="B124" t="s">
        <v>183</v>
      </c>
      <c r="D124" t="str">
        <f t="shared" si="1"/>
        <v>Venda Intercompany (Depósito-ANP) (YE13)</v>
      </c>
    </row>
    <row r="125" spans="1:4" x14ac:dyDescent="0.25">
      <c r="A125" t="s">
        <v>179</v>
      </c>
      <c r="B125" t="s">
        <v>185</v>
      </c>
      <c r="D125" t="str">
        <f t="shared" si="1"/>
        <v>Venda Intercompany (Depósito-ANP) (YE14)</v>
      </c>
    </row>
    <row r="126" spans="1:4" x14ac:dyDescent="0.25">
      <c r="A126" t="s">
        <v>179</v>
      </c>
      <c r="B126" t="s">
        <v>184</v>
      </c>
      <c r="D126" t="str">
        <f t="shared" si="1"/>
        <v>Venda Intercompany (Depósito-ANP) (YR01)</v>
      </c>
    </row>
    <row r="127" spans="1:4" x14ac:dyDescent="0.25">
      <c r="A127" t="s">
        <v>67</v>
      </c>
      <c r="B127" t="s">
        <v>56</v>
      </c>
      <c r="D127" t="str">
        <f t="shared" si="1"/>
        <v>Armazenagem de Terceiros (OPLA) (YR35)</v>
      </c>
    </row>
    <row r="128" spans="1:4" x14ac:dyDescent="0.25">
      <c r="A128" t="s">
        <v>55</v>
      </c>
      <c r="B128" t="s">
        <v>56</v>
      </c>
      <c r="D128" t="str">
        <f t="shared" si="1"/>
        <v>Retorno simbólico (Logum) (YR35)</v>
      </c>
    </row>
    <row r="129" spans="1:4" x14ac:dyDescent="0.25">
      <c r="A129" t="s">
        <v>166</v>
      </c>
      <c r="B129" t="s">
        <v>27</v>
      </c>
      <c r="D129" t="str">
        <f t="shared" si="1"/>
        <v>Revenda Energia Fora Estado (YRET)</v>
      </c>
    </row>
    <row r="130" spans="1:4" x14ac:dyDescent="0.25">
      <c r="A130" t="s">
        <v>80</v>
      </c>
      <c r="B130" t="s">
        <v>27</v>
      </c>
      <c r="D130" t="str">
        <f t="shared" si="1"/>
        <v>Venda doméstica Açúcar – espec. exportação (YRET)</v>
      </c>
    </row>
    <row r="131" spans="1:4" x14ac:dyDescent="0.25">
      <c r="A131" t="s">
        <v>98</v>
      </c>
      <c r="B131" t="s">
        <v>27</v>
      </c>
      <c r="D131" t="str">
        <f t="shared" si="1"/>
        <v>Venda doméstica Açúcar – SPOT (YRET)</v>
      </c>
    </row>
    <row r="132" spans="1:4" x14ac:dyDescent="0.25">
      <c r="A132" t="s">
        <v>163</v>
      </c>
      <c r="B132" t="s">
        <v>27</v>
      </c>
      <c r="D132" t="str">
        <f t="shared" si="1"/>
        <v>Venda Energia Dentro Estado Consumo (YRET)</v>
      </c>
    </row>
    <row r="133" spans="1:4" x14ac:dyDescent="0.25">
      <c r="A133" t="s">
        <v>169</v>
      </c>
      <c r="B133" t="s">
        <v>27</v>
      </c>
      <c r="D133" t="str">
        <f t="shared" si="1"/>
        <v>Venda Energia Fora Estado Consumo (YRET)</v>
      </c>
    </row>
    <row r="134" spans="1:4" x14ac:dyDescent="0.25">
      <c r="A134" t="s">
        <v>37</v>
      </c>
      <c r="B134" t="s">
        <v>27</v>
      </c>
      <c r="D134" t="str">
        <f t="shared" si="1"/>
        <v>Venda Etanol Anidro F.E (YRET)</v>
      </c>
    </row>
    <row r="135" spans="1:4" x14ac:dyDescent="0.25">
      <c r="A135" t="s">
        <v>21</v>
      </c>
      <c r="B135" t="s">
        <v>27</v>
      </c>
      <c r="D135" t="str">
        <f t="shared" si="1"/>
        <v>Venda Etanol Hidratado D.E (YRET)</v>
      </c>
    </row>
    <row r="136" spans="1:4" x14ac:dyDescent="0.25">
      <c r="A136" t="s">
        <v>30</v>
      </c>
      <c r="B136" t="s">
        <v>27</v>
      </c>
      <c r="D136" t="str">
        <f t="shared" si="1"/>
        <v>Venda Etanol Hidratado F.E (YRET)</v>
      </c>
    </row>
    <row r="137" spans="1:4" x14ac:dyDescent="0.25">
      <c r="A137" t="s">
        <v>154</v>
      </c>
      <c r="B137" t="s">
        <v>27</v>
      </c>
      <c r="D137" t="str">
        <f t="shared" si="1"/>
        <v>Venda Subproduto Oleo Fusel (YRET)</v>
      </c>
    </row>
    <row r="138" spans="1:4" x14ac:dyDescent="0.25">
      <c r="A138" t="s">
        <v>59</v>
      </c>
      <c r="B138" t="s">
        <v>64</v>
      </c>
      <c r="D138" t="str">
        <f t="shared" si="1"/>
        <v>Venda depois do retorno simbólico (Logum) (YRR2)</v>
      </c>
    </row>
    <row r="139" spans="1:4" x14ac:dyDescent="0.25">
      <c r="A139" t="s">
        <v>59</v>
      </c>
      <c r="B139" t="s">
        <v>62</v>
      </c>
      <c r="D139" t="str">
        <f t="shared" si="1"/>
        <v>Venda depois do retorno simbólico (Logum) (YRR3)</v>
      </c>
    </row>
    <row r="140" spans="1:4" x14ac:dyDescent="0.25">
      <c r="A140" t="s">
        <v>72</v>
      </c>
      <c r="B140" t="s">
        <v>77</v>
      </c>
      <c r="D140" t="str">
        <f t="shared" si="1"/>
        <v>Venda antes do retorno simbólico (OPLA) (YRR4)</v>
      </c>
    </row>
    <row r="141" spans="1:4" x14ac:dyDescent="0.25">
      <c r="A141" t="s">
        <v>72</v>
      </c>
      <c r="B141" t="s">
        <v>75</v>
      </c>
      <c r="D141" t="str">
        <f t="shared" si="1"/>
        <v>Venda antes do retorno simbólico (OPLA) (YRR5)</v>
      </c>
    </row>
    <row r="142" spans="1:4" x14ac:dyDescent="0.25">
      <c r="A142" t="s">
        <v>136</v>
      </c>
      <c r="B142" t="s">
        <v>138</v>
      </c>
      <c r="D142" t="str">
        <f t="shared" si="1"/>
        <v>Remessa Conta e Ordem (YSRS)</v>
      </c>
    </row>
    <row r="143" spans="1:4" x14ac:dyDescent="0.25">
      <c r="A143" t="s">
        <v>117</v>
      </c>
      <c r="B143" t="s">
        <v>119</v>
      </c>
      <c r="D143" t="str">
        <f t="shared" si="1"/>
        <v>Remessa VEF - Receita Antecipada (YVRC)</v>
      </c>
    </row>
    <row r="144" spans="1:4" x14ac:dyDescent="0.25">
      <c r="A144" t="s">
        <v>117</v>
      </c>
      <c r="B144" t="s">
        <v>121</v>
      </c>
      <c r="D144" t="str">
        <f t="shared" si="1"/>
        <v>Remessa VEF - Receita Antecipada (YVRE)</v>
      </c>
    </row>
  </sheetData>
  <autoFilter ref="A1:C78" xr:uid="{B416E11C-CECB-4C8E-B370-30BBA0F379E0}">
    <filterColumn colId="2">
      <filters>
        <filter val="Sim"/>
      </filters>
    </filterColumn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7AA1-B5ED-414B-A476-86F36B37FD0D}">
  <sheetPr codeName="Planilha11"/>
  <dimension ref="A1:A51"/>
  <sheetViews>
    <sheetView workbookViewId="0"/>
  </sheetViews>
  <sheetFormatPr defaultRowHeight="15" x14ac:dyDescent="0.25"/>
  <sheetData>
    <row r="1" spans="1:1" x14ac:dyDescent="0.25">
      <c r="A1" t="s">
        <v>163</v>
      </c>
    </row>
    <row r="2" spans="1:1" x14ac:dyDescent="0.25">
      <c r="A2" t="s">
        <v>696</v>
      </c>
    </row>
    <row r="3" spans="1:1" x14ac:dyDescent="0.25">
      <c r="A3" t="s">
        <v>402</v>
      </c>
    </row>
    <row r="4" spans="1:1" x14ac:dyDescent="0.25">
      <c r="A4" t="s">
        <v>806</v>
      </c>
    </row>
    <row r="5" spans="1:1" x14ac:dyDescent="0.25">
      <c r="A5" t="s">
        <v>807</v>
      </c>
    </row>
    <row r="6" spans="1:1" x14ac:dyDescent="0.25">
      <c r="A6" t="s">
        <v>359</v>
      </c>
    </row>
    <row r="7" spans="1:1" x14ac:dyDescent="0.25">
      <c r="A7" t="s">
        <v>383</v>
      </c>
    </row>
    <row r="8" spans="1:1" x14ac:dyDescent="0.25">
      <c r="A8" t="s">
        <v>723</v>
      </c>
    </row>
    <row r="9" spans="1:1" x14ac:dyDescent="0.25">
      <c r="A9" t="s">
        <v>550</v>
      </c>
    </row>
    <row r="10" spans="1:1" x14ac:dyDescent="0.25">
      <c r="A10" t="s">
        <v>640</v>
      </c>
    </row>
    <row r="11" spans="1:1" x14ac:dyDescent="0.25">
      <c r="A11" t="s">
        <v>808</v>
      </c>
    </row>
    <row r="12" spans="1:1" x14ac:dyDescent="0.25">
      <c r="A12" t="s">
        <v>431</v>
      </c>
    </row>
    <row r="13" spans="1:1" x14ac:dyDescent="0.25">
      <c r="A13" t="s">
        <v>450</v>
      </c>
    </row>
    <row r="14" spans="1:1" x14ac:dyDescent="0.25">
      <c r="A14" t="s">
        <v>708</v>
      </c>
    </row>
    <row r="15" spans="1:1" x14ac:dyDescent="0.25">
      <c r="A15" t="s">
        <v>706</v>
      </c>
    </row>
    <row r="16" spans="1:1" x14ac:dyDescent="0.25">
      <c r="A16" t="s">
        <v>809</v>
      </c>
    </row>
    <row r="17" spans="1:1" x14ac:dyDescent="0.25">
      <c r="A17" t="s">
        <v>810</v>
      </c>
    </row>
    <row r="18" spans="1:1" x14ac:dyDescent="0.25">
      <c r="A18" t="s">
        <v>811</v>
      </c>
    </row>
    <row r="19" spans="1:1" x14ac:dyDescent="0.25">
      <c r="A19" t="s">
        <v>812</v>
      </c>
    </row>
    <row r="20" spans="1:1" x14ac:dyDescent="0.25">
      <c r="A20" t="s">
        <v>813</v>
      </c>
    </row>
    <row r="21" spans="1:1" x14ac:dyDescent="0.25">
      <c r="A21" t="s">
        <v>814</v>
      </c>
    </row>
    <row r="22" spans="1:1" x14ac:dyDescent="0.25">
      <c r="A22" t="s">
        <v>815</v>
      </c>
    </row>
    <row r="23" spans="1:1" x14ac:dyDescent="0.25">
      <c r="A23" t="s">
        <v>816</v>
      </c>
    </row>
    <row r="24" spans="1:1" x14ac:dyDescent="0.25">
      <c r="A24" t="s">
        <v>817</v>
      </c>
    </row>
    <row r="25" spans="1:1" x14ac:dyDescent="0.25">
      <c r="A25" t="s">
        <v>818</v>
      </c>
    </row>
    <row r="26" spans="1:1" x14ac:dyDescent="0.25">
      <c r="A26" t="s">
        <v>819</v>
      </c>
    </row>
    <row r="27" spans="1:1" x14ac:dyDescent="0.25">
      <c r="A27" t="s">
        <v>820</v>
      </c>
    </row>
    <row r="28" spans="1:1" x14ac:dyDescent="0.25">
      <c r="A28" t="s">
        <v>821</v>
      </c>
    </row>
    <row r="29" spans="1:1" x14ac:dyDescent="0.25">
      <c r="A29" t="s">
        <v>442</v>
      </c>
    </row>
    <row r="30" spans="1:1" x14ac:dyDescent="0.25">
      <c r="A30" t="s">
        <v>460</v>
      </c>
    </row>
    <row r="31" spans="1:1" x14ac:dyDescent="0.25">
      <c r="A31" t="s">
        <v>822</v>
      </c>
    </row>
    <row r="32" spans="1:1" x14ac:dyDescent="0.25">
      <c r="A32" t="s">
        <v>823</v>
      </c>
    </row>
    <row r="33" spans="1:1" x14ac:dyDescent="0.25">
      <c r="A33" t="s">
        <v>824</v>
      </c>
    </row>
    <row r="34" spans="1:1" x14ac:dyDescent="0.25">
      <c r="A34" t="s">
        <v>376</v>
      </c>
    </row>
    <row r="35" spans="1:1" x14ac:dyDescent="0.25">
      <c r="A35" t="s">
        <v>387</v>
      </c>
    </row>
    <row r="36" spans="1:1" x14ac:dyDescent="0.25">
      <c r="A36" t="s">
        <v>825</v>
      </c>
    </row>
    <row r="37" spans="1:1" x14ac:dyDescent="0.25">
      <c r="A37" t="s">
        <v>826</v>
      </c>
    </row>
    <row r="38" spans="1:1" x14ac:dyDescent="0.25">
      <c r="A38" t="s">
        <v>711</v>
      </c>
    </row>
    <row r="39" spans="1:1" x14ac:dyDescent="0.25">
      <c r="A39" t="s">
        <v>719</v>
      </c>
    </row>
    <row r="40" spans="1:1" x14ac:dyDescent="0.25">
      <c r="A40" t="s">
        <v>715</v>
      </c>
    </row>
    <row r="41" spans="1:1" x14ac:dyDescent="0.25">
      <c r="A41" t="s">
        <v>827</v>
      </c>
    </row>
    <row r="42" spans="1:1" x14ac:dyDescent="0.25">
      <c r="A42" t="s">
        <v>380</v>
      </c>
    </row>
    <row r="43" spans="1:1" x14ac:dyDescent="0.25">
      <c r="A43" t="s">
        <v>390</v>
      </c>
    </row>
    <row r="44" spans="1:1" x14ac:dyDescent="0.25">
      <c r="A44" t="s">
        <v>828</v>
      </c>
    </row>
    <row r="45" spans="1:1" x14ac:dyDescent="0.25">
      <c r="A45" t="s">
        <v>829</v>
      </c>
    </row>
    <row r="46" spans="1:1" x14ac:dyDescent="0.25">
      <c r="A46" t="s">
        <v>830</v>
      </c>
    </row>
    <row r="47" spans="1:1" x14ac:dyDescent="0.25">
      <c r="A47" t="s">
        <v>831</v>
      </c>
    </row>
    <row r="48" spans="1:1" x14ac:dyDescent="0.25">
      <c r="A48" t="s">
        <v>832</v>
      </c>
    </row>
    <row r="49" spans="1:1" x14ac:dyDescent="0.25">
      <c r="A49" t="s">
        <v>833</v>
      </c>
    </row>
    <row r="50" spans="1:1" x14ac:dyDescent="0.25">
      <c r="A50" t="s">
        <v>834</v>
      </c>
    </row>
    <row r="51" spans="1:1" x14ac:dyDescent="0.25">
      <c r="A51" t="s">
        <v>835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1ECF-E079-490C-9DD7-15D6CB25FBFD}">
  <sheetPr codeName="Planilha7"/>
  <dimension ref="A1:K35"/>
  <sheetViews>
    <sheetView showGridLines="0" topLeftCell="A153" workbookViewId="0">
      <selection activeCell="C164" sqref="C164"/>
    </sheetView>
  </sheetViews>
  <sheetFormatPr defaultRowHeight="15" x14ac:dyDescent="0.25"/>
  <cols>
    <col min="1" max="1" width="21.5703125" customWidth="1"/>
    <col min="2" max="2" width="15.5703125" hidden="1" customWidth="1"/>
    <col min="3" max="3" width="20.5703125" customWidth="1"/>
    <col min="4" max="4" width="15.5703125" customWidth="1"/>
    <col min="5" max="5" width="19.42578125" bestFit="1" customWidth="1"/>
    <col min="6" max="6" width="31.42578125" customWidth="1"/>
    <col min="7" max="7" width="86.42578125" customWidth="1"/>
    <col min="8" max="8" width="27.5703125" customWidth="1"/>
    <col min="9" max="9" width="17.5703125" customWidth="1"/>
    <col min="10" max="10" width="44.5703125" bestFit="1" customWidth="1"/>
    <col min="11" max="11" width="10.42578125" bestFit="1" customWidth="1"/>
  </cols>
  <sheetData>
    <row r="1" spans="1:11" ht="36" x14ac:dyDescent="0.55000000000000004">
      <c r="A1" s="24" t="s">
        <v>836</v>
      </c>
      <c r="B1" s="23"/>
      <c r="C1" s="23"/>
      <c r="D1" s="23"/>
      <c r="E1" s="23"/>
      <c r="F1" s="23"/>
      <c r="G1" s="23"/>
      <c r="H1" s="23"/>
    </row>
    <row r="3" spans="1:11" x14ac:dyDescent="0.25">
      <c r="A3" s="87" t="s">
        <v>837</v>
      </c>
      <c r="B3" s="87"/>
      <c r="C3" s="87"/>
      <c r="D3" s="87"/>
      <c r="E3" s="88" t="s">
        <v>838</v>
      </c>
      <c r="F3" s="88"/>
      <c r="G3" s="88"/>
      <c r="H3" s="88"/>
    </row>
    <row r="4" spans="1:11" x14ac:dyDescent="0.25">
      <c r="A4" s="21" t="s">
        <v>839</v>
      </c>
      <c r="B4" s="21" t="s">
        <v>840</v>
      </c>
      <c r="C4" s="22" t="s">
        <v>841</v>
      </c>
      <c r="D4" s="22" t="s">
        <v>842</v>
      </c>
      <c r="E4" s="20" t="s">
        <v>843</v>
      </c>
      <c r="F4" s="20" t="s">
        <v>844</v>
      </c>
      <c r="G4" s="20" t="s">
        <v>845</v>
      </c>
      <c r="H4" s="20" t="s">
        <v>846</v>
      </c>
      <c r="I4" s="20" t="s">
        <v>186</v>
      </c>
      <c r="J4" s="20" t="s">
        <v>847</v>
      </c>
      <c r="K4" s="20" t="s">
        <v>848</v>
      </c>
    </row>
    <row r="5" spans="1:11" x14ac:dyDescent="0.25">
      <c r="A5" s="6" t="s">
        <v>849</v>
      </c>
      <c r="C5" t="s">
        <v>850</v>
      </c>
      <c r="D5" s="36">
        <v>45950</v>
      </c>
      <c r="E5" s="6" t="s">
        <v>260</v>
      </c>
      <c r="F5" s="6" t="s">
        <v>684</v>
      </c>
      <c r="G5" s="6" t="s">
        <v>851</v>
      </c>
      <c r="H5" s="6" t="s">
        <v>287</v>
      </c>
      <c r="I5" s="9"/>
      <c r="J5" s="9"/>
      <c r="K5" s="9"/>
    </row>
    <row r="6" spans="1:11" x14ac:dyDescent="0.25">
      <c r="A6" t="s">
        <v>852</v>
      </c>
      <c r="C6" t="s">
        <v>853</v>
      </c>
      <c r="D6" s="36">
        <v>45951</v>
      </c>
      <c r="E6" s="6" t="s">
        <v>260</v>
      </c>
      <c r="F6" s="6" t="s">
        <v>468</v>
      </c>
      <c r="G6" s="6" t="s">
        <v>854</v>
      </c>
      <c r="H6" s="6" t="s">
        <v>369</v>
      </c>
      <c r="I6" s="9"/>
      <c r="J6" s="9"/>
      <c r="K6" s="9"/>
    </row>
    <row r="7" spans="1:11" x14ac:dyDescent="0.25">
      <c r="A7" t="s">
        <v>855</v>
      </c>
      <c r="C7" t="s">
        <v>856</v>
      </c>
      <c r="D7" s="36">
        <v>45951</v>
      </c>
      <c r="E7" s="6" t="s">
        <v>260</v>
      </c>
      <c r="F7" s="6" t="s">
        <v>563</v>
      </c>
      <c r="G7" s="6" t="s">
        <v>857</v>
      </c>
      <c r="H7" s="6" t="s">
        <v>369</v>
      </c>
      <c r="I7" s="9"/>
      <c r="J7" s="9"/>
      <c r="K7" s="9"/>
    </row>
    <row r="8" spans="1:11" x14ac:dyDescent="0.25">
      <c r="A8" t="s">
        <v>858</v>
      </c>
      <c r="C8" t="s">
        <v>859</v>
      </c>
      <c r="D8" s="36">
        <v>45951</v>
      </c>
      <c r="E8" s="6" t="s">
        <v>260</v>
      </c>
      <c r="F8" s="6" t="s">
        <v>623</v>
      </c>
      <c r="G8" s="6" t="s">
        <v>860</v>
      </c>
      <c r="H8" s="6" t="s">
        <v>369</v>
      </c>
      <c r="I8" s="9"/>
      <c r="J8" s="9"/>
      <c r="K8" s="9"/>
    </row>
    <row r="9" spans="1:11" x14ac:dyDescent="0.25">
      <c r="A9" t="s">
        <v>729</v>
      </c>
      <c r="C9" t="s">
        <v>861</v>
      </c>
      <c r="D9" s="36">
        <v>45952</v>
      </c>
      <c r="E9" t="s">
        <v>275</v>
      </c>
      <c r="F9" s="6" t="s">
        <v>688</v>
      </c>
      <c r="G9" s="6" t="s">
        <v>862</v>
      </c>
      <c r="H9" s="6" t="s">
        <v>863</v>
      </c>
      <c r="I9" s="9" t="s">
        <v>864</v>
      </c>
      <c r="J9" s="9"/>
      <c r="K9" s="9"/>
    </row>
    <row r="10" spans="1:11" x14ac:dyDescent="0.25">
      <c r="A10" t="s">
        <v>865</v>
      </c>
      <c r="C10" t="s">
        <v>866</v>
      </c>
      <c r="D10" s="36">
        <v>45952</v>
      </c>
      <c r="E10" s="6" t="s">
        <v>260</v>
      </c>
      <c r="F10" s="6" t="s">
        <v>442</v>
      </c>
      <c r="G10" s="6" t="s">
        <v>867</v>
      </c>
      <c r="H10" s="6" t="s">
        <v>310</v>
      </c>
      <c r="I10" s="9"/>
      <c r="J10" s="9"/>
      <c r="K10" s="9"/>
    </row>
    <row r="11" spans="1:11" x14ac:dyDescent="0.25">
      <c r="A11" t="s">
        <v>868</v>
      </c>
      <c r="C11" t="s">
        <v>866</v>
      </c>
      <c r="D11" s="36">
        <v>45952</v>
      </c>
      <c r="E11" s="6" t="s">
        <v>260</v>
      </c>
      <c r="F11" s="6" t="s">
        <v>460</v>
      </c>
      <c r="G11" s="6" t="s">
        <v>867</v>
      </c>
      <c r="H11" s="6" t="s">
        <v>310</v>
      </c>
      <c r="I11" s="9"/>
      <c r="J11" s="9"/>
      <c r="K11" s="9"/>
    </row>
    <row r="12" spans="1:11" x14ac:dyDescent="0.25">
      <c r="A12" t="s">
        <v>869</v>
      </c>
      <c r="C12" t="s">
        <v>870</v>
      </c>
      <c r="D12" s="36">
        <v>45953</v>
      </c>
      <c r="E12" s="55" t="s">
        <v>871</v>
      </c>
      <c r="F12" s="6" t="s">
        <v>431</v>
      </c>
      <c r="G12" s="6" t="s">
        <v>872</v>
      </c>
      <c r="H12" s="6" t="s">
        <v>369</v>
      </c>
      <c r="I12" s="9" t="s">
        <v>864</v>
      </c>
      <c r="J12" s="9" t="s">
        <v>873</v>
      </c>
      <c r="K12" s="10">
        <v>45958</v>
      </c>
    </row>
    <row r="13" spans="1:11" x14ac:dyDescent="0.25">
      <c r="A13" t="s">
        <v>874</v>
      </c>
      <c r="C13" t="s">
        <v>866</v>
      </c>
      <c r="D13" s="36">
        <v>45953</v>
      </c>
      <c r="E13" s="6" t="s">
        <v>260</v>
      </c>
      <c r="F13" s="6" t="s">
        <v>577</v>
      </c>
      <c r="G13" s="6" t="s">
        <v>867</v>
      </c>
      <c r="H13" s="6" t="s">
        <v>310</v>
      </c>
      <c r="I13" s="9"/>
      <c r="J13" s="9"/>
      <c r="K13" s="9"/>
    </row>
    <row r="14" spans="1:11" x14ac:dyDescent="0.25">
      <c r="A14" t="s">
        <v>875</v>
      </c>
      <c r="C14" t="s">
        <v>870</v>
      </c>
      <c r="D14" s="36">
        <v>45959</v>
      </c>
      <c r="E14" s="6" t="s">
        <v>260</v>
      </c>
      <c r="F14" s="6" t="s">
        <v>522</v>
      </c>
      <c r="G14" s="6"/>
      <c r="H14" s="6" t="s">
        <v>377</v>
      </c>
      <c r="I14" s="9"/>
      <c r="J14" s="9"/>
      <c r="K14" s="9"/>
    </row>
    <row r="15" spans="1:11" x14ac:dyDescent="0.25">
      <c r="A15" t="s">
        <v>876</v>
      </c>
      <c r="C15" t="s">
        <v>870</v>
      </c>
      <c r="D15" s="36">
        <v>45959</v>
      </c>
      <c r="E15" s="6" t="s">
        <v>260</v>
      </c>
      <c r="F15" s="6" t="s">
        <v>522</v>
      </c>
      <c r="G15" s="6" t="s">
        <v>877</v>
      </c>
      <c r="H15" s="6" t="s">
        <v>377</v>
      </c>
      <c r="I15" s="9"/>
      <c r="J15" s="9"/>
      <c r="K15" s="9"/>
    </row>
    <row r="16" spans="1:11" x14ac:dyDescent="0.25">
      <c r="A16" t="s">
        <v>878</v>
      </c>
      <c r="C16" t="s">
        <v>870</v>
      </c>
      <c r="D16" s="36">
        <v>45959</v>
      </c>
      <c r="E16" s="6" t="s">
        <v>260</v>
      </c>
      <c r="F16" s="6" t="s">
        <v>536</v>
      </c>
      <c r="G16" s="6" t="s">
        <v>879</v>
      </c>
      <c r="H16" s="6" t="s">
        <v>369</v>
      </c>
      <c r="I16" s="9"/>
      <c r="J16" s="9" t="s">
        <v>880</v>
      </c>
      <c r="K16" s="9"/>
    </row>
    <row r="17" spans="1:11" x14ac:dyDescent="0.25">
      <c r="A17" t="s">
        <v>881</v>
      </c>
      <c r="C17" t="s">
        <v>882</v>
      </c>
      <c r="D17" s="36">
        <v>45959</v>
      </c>
      <c r="E17" s="6" t="s">
        <v>260</v>
      </c>
      <c r="F17" s="6" t="s">
        <v>550</v>
      </c>
      <c r="G17" s="6" t="s">
        <v>883</v>
      </c>
      <c r="H17" s="6" t="s">
        <v>287</v>
      </c>
      <c r="I17" s="9"/>
      <c r="J17" s="9"/>
      <c r="K17" s="9"/>
    </row>
    <row r="18" spans="1:11" x14ac:dyDescent="0.25">
      <c r="A18" t="s">
        <v>884</v>
      </c>
      <c r="C18" t="s">
        <v>853</v>
      </c>
      <c r="D18" s="36">
        <v>45727</v>
      </c>
      <c r="E18" s="6" t="s">
        <v>260</v>
      </c>
      <c r="F18" s="6" t="s">
        <v>510</v>
      </c>
      <c r="G18" s="6" t="s">
        <v>885</v>
      </c>
      <c r="H18" s="6" t="s">
        <v>369</v>
      </c>
      <c r="I18" s="9"/>
      <c r="J18" s="9"/>
      <c r="K18" s="9"/>
    </row>
    <row r="19" spans="1:11" x14ac:dyDescent="0.25">
      <c r="A19" t="s">
        <v>886</v>
      </c>
      <c r="C19" t="s">
        <v>853</v>
      </c>
      <c r="D19" s="36">
        <v>45727</v>
      </c>
      <c r="E19" s="6" t="s">
        <v>260</v>
      </c>
      <c r="F19" s="6" t="s">
        <v>640</v>
      </c>
      <c r="G19" s="6" t="s">
        <v>887</v>
      </c>
      <c r="H19" s="6" t="s">
        <v>369</v>
      </c>
      <c r="I19" s="9"/>
      <c r="J19" s="9"/>
      <c r="K19" s="9"/>
    </row>
    <row r="20" spans="1:11" x14ac:dyDescent="0.25">
      <c r="A20" t="s">
        <v>888</v>
      </c>
      <c r="C20" t="s">
        <v>853</v>
      </c>
      <c r="D20" s="36">
        <v>45727</v>
      </c>
      <c r="E20" s="6" t="s">
        <v>260</v>
      </c>
      <c r="F20" s="6" t="s">
        <v>661</v>
      </c>
      <c r="G20" s="6" t="s">
        <v>889</v>
      </c>
      <c r="H20" s="6" t="s">
        <v>287</v>
      </c>
      <c r="I20" s="9"/>
      <c r="J20" s="9"/>
      <c r="K20" s="9"/>
    </row>
    <row r="21" spans="1:11" x14ac:dyDescent="0.25">
      <c r="A21" t="s">
        <v>884</v>
      </c>
      <c r="C21" t="s">
        <v>890</v>
      </c>
      <c r="D21" s="36">
        <v>45965</v>
      </c>
      <c r="E21" s="6" t="s">
        <v>260</v>
      </c>
      <c r="F21" s="6" t="s">
        <v>510</v>
      </c>
      <c r="G21" s="6" t="s">
        <v>887</v>
      </c>
      <c r="H21" s="6" t="s">
        <v>369</v>
      </c>
      <c r="I21" s="9"/>
      <c r="J21" s="9"/>
      <c r="K21" s="9"/>
    </row>
    <row r="22" spans="1:11" x14ac:dyDescent="0.25">
      <c r="A22" t="s">
        <v>891</v>
      </c>
      <c r="C22" t="s">
        <v>892</v>
      </c>
      <c r="D22" s="36">
        <v>45972</v>
      </c>
      <c r="E22" s="6" t="s">
        <v>260</v>
      </c>
      <c r="F22" s="6" t="s">
        <v>510</v>
      </c>
      <c r="G22" s="6" t="s">
        <v>893</v>
      </c>
      <c r="H22" s="6" t="s">
        <v>287</v>
      </c>
      <c r="I22" s="9"/>
      <c r="J22" s="6" t="s">
        <v>894</v>
      </c>
      <c r="K22" s="9"/>
    </row>
    <row r="23" spans="1:11" x14ac:dyDescent="0.25">
      <c r="A23" s="64" t="s">
        <v>878</v>
      </c>
      <c r="C23" s="64" t="s">
        <v>895</v>
      </c>
      <c r="D23" s="36">
        <v>45972</v>
      </c>
      <c r="E23" s="6" t="s">
        <v>260</v>
      </c>
      <c r="F23" s="6" t="s">
        <v>536</v>
      </c>
      <c r="G23" s="6" t="s">
        <v>896</v>
      </c>
      <c r="H23" s="6" t="s">
        <v>369</v>
      </c>
      <c r="I23" s="9"/>
      <c r="J23" s="9" t="s">
        <v>897</v>
      </c>
      <c r="K23" s="9"/>
    </row>
    <row r="24" spans="1:11" x14ac:dyDescent="0.25">
      <c r="A24" t="s">
        <v>898</v>
      </c>
      <c r="C24" s="37" t="s">
        <v>899</v>
      </c>
      <c r="D24" s="36">
        <v>45972</v>
      </c>
      <c r="E24" s="6" t="s">
        <v>260</v>
      </c>
      <c r="F24" s="6" t="s">
        <v>900</v>
      </c>
      <c r="G24" s="6" t="s">
        <v>901</v>
      </c>
      <c r="H24" s="6" t="s">
        <v>377</v>
      </c>
      <c r="I24" s="9"/>
      <c r="J24" s="6" t="s">
        <v>902</v>
      </c>
      <c r="K24" s="9"/>
    </row>
    <row r="25" spans="1:11" x14ac:dyDescent="0.25">
      <c r="A25" t="s">
        <v>903</v>
      </c>
      <c r="C25" t="s">
        <v>904</v>
      </c>
      <c r="D25" s="36">
        <v>46002</v>
      </c>
      <c r="E25" s="6" t="s">
        <v>260</v>
      </c>
      <c r="F25" s="6" t="s">
        <v>661</v>
      </c>
      <c r="G25" s="6" t="s">
        <v>905</v>
      </c>
      <c r="H25" s="6" t="s">
        <v>287</v>
      </c>
      <c r="I25" s="9"/>
      <c r="J25" s="9" t="s">
        <v>906</v>
      </c>
      <c r="K25" s="9"/>
    </row>
    <row r="26" spans="1:11" x14ac:dyDescent="0.25">
      <c r="A26" t="s">
        <v>907</v>
      </c>
      <c r="C26" t="s">
        <v>908</v>
      </c>
      <c r="D26" s="36">
        <v>45975</v>
      </c>
      <c r="E26" s="6" t="s">
        <v>260</v>
      </c>
      <c r="F26" s="6" t="s">
        <v>557</v>
      </c>
      <c r="G26" s="6">
        <v>0</v>
      </c>
      <c r="H26" s="6" t="s">
        <v>377</v>
      </c>
      <c r="I26" s="9"/>
      <c r="J26" s="9"/>
      <c r="K26" s="9"/>
    </row>
    <row r="27" spans="1:11" x14ac:dyDescent="0.25">
      <c r="A27" t="s">
        <v>909</v>
      </c>
      <c r="C27" t="s">
        <v>908</v>
      </c>
      <c r="D27" s="36">
        <v>45975</v>
      </c>
      <c r="E27" s="6" t="s">
        <v>260</v>
      </c>
      <c r="F27" s="6" t="s">
        <v>560</v>
      </c>
      <c r="G27" s="6">
        <v>0</v>
      </c>
      <c r="H27" s="6" t="s">
        <v>377</v>
      </c>
      <c r="I27" s="9"/>
      <c r="J27" s="9"/>
      <c r="K27" s="9"/>
    </row>
    <row r="28" spans="1:11" x14ac:dyDescent="0.25">
      <c r="A28" t="s">
        <v>910</v>
      </c>
      <c r="C28" t="s">
        <v>904</v>
      </c>
      <c r="D28" s="36">
        <v>45980</v>
      </c>
      <c r="E28" s="6" t="s">
        <v>260</v>
      </c>
      <c r="F28" s="6" t="s">
        <v>900</v>
      </c>
      <c r="G28" s="6" t="s">
        <v>911</v>
      </c>
      <c r="H28" s="6" t="s">
        <v>287</v>
      </c>
      <c r="I28" s="9"/>
      <c r="J28" s="9" t="s">
        <v>912</v>
      </c>
      <c r="K28" s="9"/>
    </row>
    <row r="29" spans="1:11" x14ac:dyDescent="0.25">
      <c r="A29" t="s">
        <v>913</v>
      </c>
      <c r="C29" t="s">
        <v>914</v>
      </c>
      <c r="D29" s="36">
        <v>45963</v>
      </c>
      <c r="E29" s="6" t="s">
        <v>271</v>
      </c>
      <c r="F29" s="6" t="s">
        <v>708</v>
      </c>
      <c r="G29" s="6" t="s">
        <v>915</v>
      </c>
      <c r="H29" s="6" t="s">
        <v>287</v>
      </c>
      <c r="I29" s="9"/>
      <c r="J29" s="9" t="s">
        <v>916</v>
      </c>
      <c r="K29" s="9"/>
    </row>
    <row r="30" spans="1:11" x14ac:dyDescent="0.25">
      <c r="A30" t="s">
        <v>881</v>
      </c>
      <c r="C30" t="s">
        <v>917</v>
      </c>
      <c r="D30" s="36">
        <v>45988</v>
      </c>
      <c r="E30" s="6" t="s">
        <v>271</v>
      </c>
      <c r="F30" s="6" t="s">
        <v>550</v>
      </c>
      <c r="G30" s="6">
        <v>0</v>
      </c>
      <c r="H30" s="6" t="s">
        <v>287</v>
      </c>
      <c r="I30" s="9"/>
      <c r="J30" s="9"/>
      <c r="K30" s="9"/>
    </row>
    <row r="31" spans="1:11" x14ac:dyDescent="0.25">
      <c r="E31" s="6"/>
      <c r="F31" s="6"/>
      <c r="G31" s="6"/>
      <c r="H31" s="6"/>
      <c r="I31" s="9"/>
      <c r="J31" s="9"/>
      <c r="K31" s="9"/>
    </row>
    <row r="32" spans="1:11" x14ac:dyDescent="0.25">
      <c r="E32" s="6" t="e" cm="1">
        <f t="array" aca="1" ref="E32" ca="1">_xlfn.XLOOKUP(Tabela6[[#This Row],[ID Teste]],Tabela4[[#All],[ID]],Tabela4[[#All],[Status]]," ")</f>
        <v>#NAME?</v>
      </c>
      <c r="F32" s="6" t="e" cm="1">
        <f t="array" aca="1" ref="F32" ca="1">_xlfn.XLOOKUP(Tabela6[[#This Row],[ID Teste]],Tabela4[[#All],[ID]],Tabela4[[#All],[Cenário]]," ")</f>
        <v>#NAME?</v>
      </c>
      <c r="G32" s="6" t="e" cm="1">
        <f t="array" aca="1" ref="G32" ca="1">_xlfn.XLOOKUP(Tabela6[[#This Row],[ID Teste]],Tabela4[[#All],[ID]],Tabela4[[#All],[Observação]]," ")</f>
        <v>#NAME?</v>
      </c>
      <c r="H32" s="6" t="e" cm="1">
        <f t="array" aca="1" ref="H32" ca="1">_xlfn.XLOOKUP(Tabela6[[#This Row],[ID Teste]],Tabela4[[#All],[ID]],Tabela4[[#All],[Responsável]]," ")</f>
        <v>#NAME?</v>
      </c>
      <c r="I32" s="9"/>
      <c r="J32" s="9"/>
      <c r="K32" s="9"/>
    </row>
    <row r="33" spans="5:11" x14ac:dyDescent="0.25">
      <c r="E33" s="6" t="e" cm="1">
        <f t="array" aca="1" ref="E33" ca="1">_xlfn.XLOOKUP(Tabela6[[#This Row],[ID Teste]],Tabela4[[#All],[ID]],Tabela4[[#All],[Status]]," ")</f>
        <v>#NAME?</v>
      </c>
      <c r="F33" s="6" t="e" cm="1">
        <f t="array" aca="1" ref="F33" ca="1">_xlfn.XLOOKUP(Tabela6[[#This Row],[ID Teste]],Tabela4[[#All],[ID]],Tabela4[[#All],[Cenário]]," ")</f>
        <v>#NAME?</v>
      </c>
      <c r="G33" s="6" t="e" cm="1">
        <f t="array" aca="1" ref="G33" ca="1">_xlfn.XLOOKUP(Tabela6[[#This Row],[ID Teste]],Tabela4[[#All],[ID]],Tabela4[[#All],[Observação]]," ")</f>
        <v>#NAME?</v>
      </c>
      <c r="H33" s="6" t="e" cm="1">
        <f t="array" aca="1" ref="H33" ca="1">_xlfn.XLOOKUP(Tabela6[[#This Row],[ID Teste]],Tabela4[[#All],[ID]],Tabela4[[#All],[Responsável]]," ")</f>
        <v>#NAME?</v>
      </c>
      <c r="I33" s="9"/>
      <c r="J33" s="9"/>
      <c r="K33" s="9"/>
    </row>
    <row r="34" spans="5:11" x14ac:dyDescent="0.25">
      <c r="E34" s="6" t="e" cm="1">
        <f t="array" aca="1" ref="E34" ca="1">_xlfn.XLOOKUP(Tabela6[[#This Row],[ID Teste]],Tabela4[[#All],[ID]],Tabela4[[#All],[Status]]," ")</f>
        <v>#NAME?</v>
      </c>
      <c r="F34" s="6" t="e" cm="1">
        <f t="array" aca="1" ref="F34" ca="1">_xlfn.XLOOKUP(Tabela6[[#This Row],[ID Teste]],Tabela4[[#All],[ID]],Tabela4[[#All],[Cenário]]," ")</f>
        <v>#NAME?</v>
      </c>
      <c r="G34" s="6" t="e" cm="1">
        <f t="array" aca="1" ref="G34" ca="1">_xlfn.XLOOKUP(Tabela6[[#This Row],[ID Teste]],Tabela4[[#All],[ID]],Tabela4[[#All],[Observação]]," ")</f>
        <v>#NAME?</v>
      </c>
      <c r="H34" s="6" t="e" cm="1">
        <f t="array" aca="1" ref="H34" ca="1">_xlfn.XLOOKUP(Tabela6[[#This Row],[ID Teste]],Tabela4[[#All],[ID]],Tabela4[[#All],[Responsável]]," ")</f>
        <v>#NAME?</v>
      </c>
      <c r="I34" s="9"/>
      <c r="J34" s="9"/>
      <c r="K34" s="9"/>
    </row>
    <row r="35" spans="5:11" x14ac:dyDescent="0.25">
      <c r="E35" s="6"/>
      <c r="F35" s="6"/>
      <c r="G35" s="6"/>
      <c r="H35" s="6"/>
      <c r="I35" s="9"/>
      <c r="J35" s="9"/>
      <c r="K35" s="9"/>
    </row>
  </sheetData>
  <mergeCells count="2">
    <mergeCell ref="A3:D3"/>
    <mergeCell ref="E3:H3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EB26-566F-4A5F-89F6-F4D8EB0AC77A}">
  <sheetPr codeName="Planilha9"/>
  <dimension ref="A1:V357"/>
  <sheetViews>
    <sheetView showGridLines="0" zoomScale="130" zoomScaleNormal="130" workbookViewId="0">
      <selection activeCell="A8" sqref="A8"/>
    </sheetView>
  </sheetViews>
  <sheetFormatPr defaultRowHeight="15" x14ac:dyDescent="0.25"/>
  <cols>
    <col min="1" max="1" width="33.5703125" bestFit="1" customWidth="1"/>
    <col min="2" max="2" width="33.5703125" customWidth="1"/>
    <col min="5" max="5" width="38.42578125" bestFit="1" customWidth="1"/>
    <col min="6" max="6" width="21" customWidth="1"/>
    <col min="7" max="7" width="26.5703125" bestFit="1" customWidth="1"/>
    <col min="8" max="8" width="20.42578125" bestFit="1" customWidth="1"/>
    <col min="9" max="9" width="19.5703125" customWidth="1"/>
    <col min="10" max="10" width="14.42578125" customWidth="1"/>
    <col min="11" max="11" width="21.5703125" bestFit="1" customWidth="1"/>
    <col min="12" max="12" width="14.42578125" customWidth="1"/>
    <col min="14" max="14" width="7" style="28" bestFit="1" customWidth="1"/>
    <col min="15" max="15" width="28" style="28" bestFit="1" customWidth="1"/>
    <col min="16" max="16" width="28" style="28" customWidth="1"/>
    <col min="17" max="17" width="9.42578125" style="28" bestFit="1" customWidth="1"/>
    <col min="18" max="18" width="20.42578125" style="28" bestFit="1" customWidth="1"/>
    <col min="19" max="19" width="40.5703125" style="28" bestFit="1" customWidth="1"/>
    <col min="20" max="22" width="9.42578125" style="28" bestFit="1" customWidth="1"/>
    <col min="27" max="27" width="40.5703125" bestFit="1" customWidth="1"/>
  </cols>
  <sheetData>
    <row r="1" spans="1:20" x14ac:dyDescent="0.25">
      <c r="A1" t="s">
        <v>260</v>
      </c>
      <c r="E1" t="s">
        <v>918</v>
      </c>
      <c r="F1" t="s">
        <v>919</v>
      </c>
      <c r="G1" t="s">
        <v>920</v>
      </c>
      <c r="H1" t="s">
        <v>248</v>
      </c>
      <c r="I1" t="s">
        <v>921</v>
      </c>
      <c r="J1" t="s">
        <v>922</v>
      </c>
      <c r="K1" t="s">
        <v>923</v>
      </c>
      <c r="N1" s="28" t="s">
        <v>924</v>
      </c>
      <c r="Q1" s="28" t="s">
        <v>925</v>
      </c>
    </row>
    <row r="2" spans="1:20" x14ac:dyDescent="0.25">
      <c r="A2" t="s">
        <v>926</v>
      </c>
      <c r="E2" s="2" t="s">
        <v>927</v>
      </c>
      <c r="F2" s="2" t="s">
        <v>928</v>
      </c>
      <c r="G2" s="3" t="s">
        <v>929</v>
      </c>
      <c r="H2" s="3" t="s">
        <v>929</v>
      </c>
      <c r="I2" s="3"/>
      <c r="J2" s="3"/>
      <c r="K2" s="3"/>
      <c r="L2" s="3"/>
      <c r="N2" s="29" t="s">
        <v>930</v>
      </c>
      <c r="O2" s="29" t="s">
        <v>247</v>
      </c>
      <c r="Q2" s="29" t="s">
        <v>931</v>
      </c>
      <c r="R2" s="29" t="s">
        <v>932</v>
      </c>
      <c r="S2" s="29" t="s">
        <v>933</v>
      </c>
    </row>
    <row r="3" spans="1:20" x14ac:dyDescent="0.25">
      <c r="A3" t="s">
        <v>690</v>
      </c>
      <c r="E3" s="2" t="s">
        <v>927</v>
      </c>
      <c r="F3" s="2" t="s">
        <v>934</v>
      </c>
      <c r="G3" s="3" t="s">
        <v>935</v>
      </c>
      <c r="H3" s="2" t="s">
        <v>936</v>
      </c>
      <c r="I3" s="2"/>
      <c r="J3" s="2"/>
      <c r="K3" s="2"/>
      <c r="L3" s="2"/>
      <c r="N3" s="28" t="s">
        <v>937</v>
      </c>
      <c r="O3" s="28" t="s">
        <v>938</v>
      </c>
      <c r="Q3" s="28" t="s">
        <v>22</v>
      </c>
      <c r="R3" s="28" t="e">
        <f t="shared" ref="R3:R34" ca="1" si="0">_xlfn.XLOOKUP(Q3,N:N,O:O,"")</f>
        <v>#NAME?</v>
      </c>
      <c r="S3" s="28" t="s">
        <v>939</v>
      </c>
    </row>
    <row r="4" spans="1:20" x14ac:dyDescent="0.25">
      <c r="A4" t="s">
        <v>271</v>
      </c>
      <c r="E4" s="2" t="s">
        <v>927</v>
      </c>
      <c r="F4" s="2" t="s">
        <v>934</v>
      </c>
      <c r="G4" s="3" t="s">
        <v>940</v>
      </c>
      <c r="H4" s="2" t="s">
        <v>936</v>
      </c>
      <c r="I4" s="2"/>
      <c r="J4" s="2"/>
      <c r="K4" s="2"/>
      <c r="L4" s="2"/>
      <c r="N4" s="28" t="s">
        <v>941</v>
      </c>
      <c r="O4" s="28" t="s">
        <v>938</v>
      </c>
      <c r="Q4" s="28" t="s">
        <v>22</v>
      </c>
      <c r="R4" s="28" t="e">
        <f t="shared" ca="1" si="0"/>
        <v>#NAME?</v>
      </c>
      <c r="S4" s="28" t="s">
        <v>942</v>
      </c>
    </row>
    <row r="5" spans="1:20" x14ac:dyDescent="0.25">
      <c r="A5" t="s">
        <v>275</v>
      </c>
      <c r="E5" s="2" t="s">
        <v>927</v>
      </c>
      <c r="F5" s="2" t="s">
        <v>943</v>
      </c>
      <c r="G5" s="3" t="s">
        <v>944</v>
      </c>
      <c r="H5" s="3" t="s">
        <v>944</v>
      </c>
      <c r="I5" s="3"/>
      <c r="J5" s="3"/>
      <c r="K5" s="3"/>
      <c r="L5" s="3"/>
      <c r="N5" s="28" t="s">
        <v>945</v>
      </c>
      <c r="O5" s="28" t="s">
        <v>938</v>
      </c>
      <c r="Q5" s="28" t="s">
        <v>22</v>
      </c>
      <c r="R5" s="28" t="e">
        <f t="shared" ca="1" si="0"/>
        <v>#NAME?</v>
      </c>
      <c r="S5" s="28" t="s">
        <v>946</v>
      </c>
    </row>
    <row r="6" spans="1:20" x14ac:dyDescent="0.25">
      <c r="A6" t="s">
        <v>261</v>
      </c>
      <c r="E6" s="2" t="s">
        <v>927</v>
      </c>
      <c r="F6" s="2" t="s">
        <v>943</v>
      </c>
      <c r="G6" s="3" t="s">
        <v>947</v>
      </c>
      <c r="H6" s="2" t="s">
        <v>936</v>
      </c>
      <c r="I6" s="2"/>
      <c r="J6" s="2"/>
      <c r="K6" s="2"/>
      <c r="L6" s="2"/>
      <c r="N6" s="28" t="s">
        <v>948</v>
      </c>
      <c r="O6" s="28" t="s">
        <v>938</v>
      </c>
      <c r="Q6" s="28" t="s">
        <v>22</v>
      </c>
      <c r="R6" s="28" t="e">
        <f t="shared" ca="1" si="0"/>
        <v>#NAME?</v>
      </c>
      <c r="S6" s="28" t="s">
        <v>949</v>
      </c>
    </row>
    <row r="7" spans="1:20" x14ac:dyDescent="0.25">
      <c r="A7" t="s">
        <v>356</v>
      </c>
      <c r="E7" s="2" t="s">
        <v>927</v>
      </c>
      <c r="F7" s="2" t="s">
        <v>950</v>
      </c>
      <c r="G7" s="3" t="s">
        <v>951</v>
      </c>
      <c r="H7" s="2" t="s">
        <v>952</v>
      </c>
      <c r="I7" s="2"/>
      <c r="J7" s="2"/>
      <c r="K7" s="2"/>
      <c r="L7" s="2"/>
      <c r="N7" s="28" t="s">
        <v>953</v>
      </c>
      <c r="O7" s="28" t="s">
        <v>938</v>
      </c>
      <c r="Q7" s="28" t="s">
        <v>22</v>
      </c>
      <c r="R7" s="28" t="e">
        <f t="shared" ca="1" si="0"/>
        <v>#NAME?</v>
      </c>
      <c r="S7" s="28" t="s">
        <v>954</v>
      </c>
    </row>
    <row r="8" spans="1:20" x14ac:dyDescent="0.25">
      <c r="A8" t="s">
        <v>262</v>
      </c>
      <c r="E8" s="2" t="s">
        <v>927</v>
      </c>
      <c r="F8" s="2" t="s">
        <v>955</v>
      </c>
      <c r="G8" s="4" t="s">
        <v>956</v>
      </c>
      <c r="H8" s="2" t="s">
        <v>956</v>
      </c>
      <c r="I8" s="2"/>
      <c r="J8" s="2"/>
      <c r="K8" s="2"/>
      <c r="L8" s="2"/>
      <c r="N8" s="28" t="s">
        <v>957</v>
      </c>
      <c r="O8" s="28" t="s">
        <v>938</v>
      </c>
      <c r="Q8" s="28" t="s">
        <v>22</v>
      </c>
      <c r="R8" s="28" t="e">
        <f t="shared" ca="1" si="0"/>
        <v>#NAME?</v>
      </c>
      <c r="S8" s="28" t="s">
        <v>958</v>
      </c>
    </row>
    <row r="9" spans="1:20" x14ac:dyDescent="0.25">
      <c r="A9" t="s">
        <v>294</v>
      </c>
      <c r="E9" s="2" t="s">
        <v>927</v>
      </c>
      <c r="F9" s="2" t="s">
        <v>959</v>
      </c>
      <c r="G9" s="3" t="s">
        <v>960</v>
      </c>
      <c r="H9" s="3" t="s">
        <v>960</v>
      </c>
      <c r="I9" s="3"/>
      <c r="J9" s="3"/>
      <c r="K9" s="3"/>
      <c r="L9" s="3"/>
      <c r="N9" s="28" t="s">
        <v>961</v>
      </c>
      <c r="O9" s="28" t="s">
        <v>938</v>
      </c>
      <c r="Q9" s="28" t="s">
        <v>22</v>
      </c>
      <c r="R9" s="28" t="e">
        <f t="shared" ca="1" si="0"/>
        <v>#NAME?</v>
      </c>
      <c r="S9" s="28" t="s">
        <v>962</v>
      </c>
    </row>
    <row r="10" spans="1:20" x14ac:dyDescent="0.25">
      <c r="A10" t="s">
        <v>289</v>
      </c>
      <c r="E10" s="2" t="s">
        <v>927</v>
      </c>
      <c r="F10" s="2" t="s">
        <v>959</v>
      </c>
      <c r="G10" s="3" t="s">
        <v>963</v>
      </c>
      <c r="H10" s="3" t="s">
        <v>963</v>
      </c>
      <c r="I10" s="3"/>
      <c r="J10" s="3"/>
      <c r="K10" s="3"/>
      <c r="L10" s="3"/>
      <c r="N10" s="28" t="s">
        <v>964</v>
      </c>
      <c r="O10" s="28" t="s">
        <v>938</v>
      </c>
      <c r="Q10" s="28" t="s">
        <v>22</v>
      </c>
      <c r="R10" s="28" t="e">
        <f t="shared" ca="1" si="0"/>
        <v>#NAME?</v>
      </c>
      <c r="S10" s="28" t="s">
        <v>965</v>
      </c>
    </row>
    <row r="11" spans="1:20" x14ac:dyDescent="0.25">
      <c r="E11" s="2" t="s">
        <v>927</v>
      </c>
      <c r="F11" s="4" t="s">
        <v>966</v>
      </c>
      <c r="G11" s="2" t="s">
        <v>967</v>
      </c>
      <c r="H11" s="2" t="s">
        <v>967</v>
      </c>
      <c r="I11" s="2"/>
      <c r="J11" s="2"/>
      <c r="K11" s="2"/>
      <c r="L11" s="2"/>
      <c r="N11" s="28" t="s">
        <v>968</v>
      </c>
      <c r="O11" s="28" t="s">
        <v>938</v>
      </c>
      <c r="Q11" s="28" t="s">
        <v>22</v>
      </c>
      <c r="R11" s="28" t="e">
        <f t="shared" ca="1" si="0"/>
        <v>#NAME?</v>
      </c>
      <c r="S11" s="28" t="s">
        <v>969</v>
      </c>
    </row>
    <row r="12" spans="1:20" x14ac:dyDescent="0.25">
      <c r="E12" s="2" t="s">
        <v>970</v>
      </c>
      <c r="F12" s="2" t="s">
        <v>971</v>
      </c>
      <c r="G12" s="3" t="s">
        <v>972</v>
      </c>
      <c r="H12" s="2" t="s">
        <v>936</v>
      </c>
      <c r="I12" s="2"/>
      <c r="J12" s="2"/>
      <c r="K12" s="2"/>
      <c r="L12" s="2"/>
      <c r="N12" s="28" t="s">
        <v>973</v>
      </c>
      <c r="O12" s="28" t="s">
        <v>974</v>
      </c>
      <c r="Q12" s="28" t="s">
        <v>22</v>
      </c>
      <c r="R12" s="28" t="e">
        <f t="shared" ca="1" si="0"/>
        <v>#NAME?</v>
      </c>
      <c r="S12" s="28" t="s">
        <v>975</v>
      </c>
      <c r="T12" s="28" t="s">
        <v>976</v>
      </c>
    </row>
    <row r="13" spans="1:20" x14ac:dyDescent="0.25">
      <c r="E13" s="2" t="s">
        <v>970</v>
      </c>
      <c r="F13" s="2" t="s">
        <v>943</v>
      </c>
      <c r="G13" s="3" t="s">
        <v>977</v>
      </c>
      <c r="H13" s="2" t="s">
        <v>978</v>
      </c>
      <c r="I13" s="2"/>
      <c r="J13" s="2"/>
      <c r="K13" s="2"/>
      <c r="L13" s="2"/>
      <c r="N13" s="28" t="s">
        <v>979</v>
      </c>
      <c r="O13" s="28" t="s">
        <v>980</v>
      </c>
      <c r="Q13" s="28" t="s">
        <v>125</v>
      </c>
      <c r="R13" s="28" t="e">
        <f t="shared" ca="1" si="0"/>
        <v>#NAME?</v>
      </c>
      <c r="S13" s="28" t="s">
        <v>981</v>
      </c>
    </row>
    <row r="14" spans="1:20" x14ac:dyDescent="0.25">
      <c r="E14" s="2" t="s">
        <v>970</v>
      </c>
      <c r="F14" s="2" t="s">
        <v>943</v>
      </c>
      <c r="G14" s="3" t="s">
        <v>982</v>
      </c>
      <c r="H14" s="2" t="s">
        <v>978</v>
      </c>
      <c r="I14" s="2"/>
      <c r="J14" s="2"/>
      <c r="K14" s="2"/>
      <c r="L14" s="2"/>
      <c r="N14" s="28" t="s">
        <v>983</v>
      </c>
      <c r="O14" s="28" t="s">
        <v>984</v>
      </c>
      <c r="Q14" s="28" t="s">
        <v>206</v>
      </c>
      <c r="R14" s="28" t="e">
        <f t="shared" ca="1" si="0"/>
        <v>#NAME?</v>
      </c>
      <c r="S14" s="28" t="s">
        <v>985</v>
      </c>
    </row>
    <row r="15" spans="1:20" x14ac:dyDescent="0.25">
      <c r="E15" s="2" t="s">
        <v>970</v>
      </c>
      <c r="F15" s="2" t="s">
        <v>986</v>
      </c>
      <c r="G15" s="3" t="s">
        <v>987</v>
      </c>
      <c r="H15" s="2" t="s">
        <v>936</v>
      </c>
      <c r="I15" s="2"/>
      <c r="J15" s="2"/>
      <c r="K15" s="2"/>
      <c r="L15" s="2"/>
      <c r="N15" s="28" t="s">
        <v>988</v>
      </c>
      <c r="O15" s="28" t="s">
        <v>984</v>
      </c>
      <c r="Q15" s="28" t="s">
        <v>87</v>
      </c>
      <c r="R15" s="28" t="e">
        <f t="shared" ca="1" si="0"/>
        <v>#NAME?</v>
      </c>
      <c r="S15" s="28" t="s">
        <v>989</v>
      </c>
    </row>
    <row r="16" spans="1:20" x14ac:dyDescent="0.25">
      <c r="E16" s="2" t="s">
        <v>970</v>
      </c>
      <c r="F16" s="2" t="s">
        <v>990</v>
      </c>
      <c r="G16" s="3" t="s">
        <v>991</v>
      </c>
      <c r="H16" s="2" t="s">
        <v>936</v>
      </c>
      <c r="I16" s="2"/>
      <c r="J16" s="2"/>
      <c r="K16" s="2"/>
      <c r="L16" s="2"/>
      <c r="N16" s="28" t="s">
        <v>992</v>
      </c>
      <c r="O16" s="28" t="s">
        <v>984</v>
      </c>
      <c r="Q16" s="28" t="s">
        <v>189</v>
      </c>
      <c r="R16" s="28" t="e">
        <f t="shared" ca="1" si="0"/>
        <v>#NAME?</v>
      </c>
      <c r="S16" s="28" t="s">
        <v>993</v>
      </c>
    </row>
    <row r="17" spans="5:22" x14ac:dyDescent="0.25">
      <c r="E17" s="2" t="s">
        <v>970</v>
      </c>
      <c r="F17" s="2" t="s">
        <v>994</v>
      </c>
      <c r="G17" s="3" t="s">
        <v>995</v>
      </c>
      <c r="H17" s="2" t="s">
        <v>936</v>
      </c>
      <c r="I17" s="2"/>
      <c r="J17" s="2"/>
      <c r="K17" s="2"/>
      <c r="L17" s="2"/>
      <c r="N17" s="28" t="s">
        <v>996</v>
      </c>
      <c r="O17" s="28" t="s">
        <v>984</v>
      </c>
      <c r="Q17" s="28" t="s">
        <v>189</v>
      </c>
      <c r="R17" s="28" t="e">
        <f t="shared" ca="1" si="0"/>
        <v>#NAME?</v>
      </c>
      <c r="S17" s="28" t="s">
        <v>997</v>
      </c>
    </row>
    <row r="18" spans="5:22" x14ac:dyDescent="0.25">
      <c r="E18" s="2" t="s">
        <v>998</v>
      </c>
      <c r="F18" s="2" t="s">
        <v>928</v>
      </c>
      <c r="G18" s="3" t="s">
        <v>999</v>
      </c>
      <c r="H18" s="3" t="s">
        <v>929</v>
      </c>
      <c r="I18" s="3"/>
      <c r="J18" s="3"/>
      <c r="K18" s="3"/>
      <c r="L18" s="3"/>
      <c r="N18" s="28" t="s">
        <v>1000</v>
      </c>
      <c r="O18" s="28" t="s">
        <v>984</v>
      </c>
      <c r="Q18" s="28" t="s">
        <v>200</v>
      </c>
      <c r="R18" s="28" t="e">
        <f t="shared" ca="1" si="0"/>
        <v>#NAME?</v>
      </c>
      <c r="S18" s="28" t="s">
        <v>1001</v>
      </c>
    </row>
    <row r="19" spans="5:22" x14ac:dyDescent="0.25">
      <c r="E19" s="2" t="s">
        <v>998</v>
      </c>
      <c r="F19" s="4" t="s">
        <v>1002</v>
      </c>
      <c r="G19" s="2" t="s">
        <v>788</v>
      </c>
      <c r="H19" s="2" t="s">
        <v>1003</v>
      </c>
      <c r="I19" s="2"/>
      <c r="J19" s="2"/>
      <c r="K19" s="2"/>
      <c r="L19" s="2"/>
      <c r="N19" s="28" t="s">
        <v>1004</v>
      </c>
      <c r="O19" s="28" t="s">
        <v>1005</v>
      </c>
      <c r="Q19" s="28" t="s">
        <v>177</v>
      </c>
      <c r="R19" s="28" t="e">
        <f t="shared" ca="1" si="0"/>
        <v>#NAME?</v>
      </c>
      <c r="S19" s="28" t="s">
        <v>1006</v>
      </c>
    </row>
    <row r="20" spans="5:22" x14ac:dyDescent="0.25">
      <c r="E20" s="2" t="s">
        <v>998</v>
      </c>
      <c r="F20" s="4" t="s">
        <v>1007</v>
      </c>
      <c r="G20" s="2" t="s">
        <v>788</v>
      </c>
      <c r="H20" s="2" t="s">
        <v>1003</v>
      </c>
      <c r="I20" s="2"/>
      <c r="J20" s="2"/>
      <c r="K20" s="2"/>
      <c r="L20" s="2"/>
      <c r="N20" s="28" t="s">
        <v>1008</v>
      </c>
      <c r="O20" s="28" t="s">
        <v>1009</v>
      </c>
      <c r="Q20" s="28" t="s">
        <v>216</v>
      </c>
      <c r="R20" s="28" t="e">
        <f t="shared" ca="1" si="0"/>
        <v>#NAME?</v>
      </c>
      <c r="S20" s="28" t="s">
        <v>1010</v>
      </c>
    </row>
    <row r="21" spans="5:22" x14ac:dyDescent="0.25">
      <c r="E21" s="2" t="s">
        <v>998</v>
      </c>
      <c r="F21" s="4" t="s">
        <v>1011</v>
      </c>
      <c r="G21" s="3" t="s">
        <v>999</v>
      </c>
      <c r="H21" s="3" t="s">
        <v>929</v>
      </c>
      <c r="I21" s="3"/>
      <c r="J21" s="3"/>
      <c r="K21" s="3"/>
      <c r="L21" s="3"/>
      <c r="N21" s="28" t="s">
        <v>1012</v>
      </c>
      <c r="O21" s="28" t="s">
        <v>1013</v>
      </c>
      <c r="Q21" s="28" t="s">
        <v>135</v>
      </c>
      <c r="R21" s="28" t="e">
        <f t="shared" ca="1" si="0"/>
        <v>#NAME?</v>
      </c>
      <c r="S21" s="28" t="s">
        <v>1014</v>
      </c>
    </row>
    <row r="22" spans="5:22" x14ac:dyDescent="0.25">
      <c r="E22" s="2" t="s">
        <v>998</v>
      </c>
      <c r="F22" s="2" t="s">
        <v>1015</v>
      </c>
      <c r="G22" s="3" t="s">
        <v>1016</v>
      </c>
      <c r="H22" s="2" t="s">
        <v>1017</v>
      </c>
      <c r="I22" s="2"/>
      <c r="J22" s="2"/>
      <c r="K22" s="2"/>
      <c r="L22" s="2"/>
      <c r="N22" s="28" t="s">
        <v>1018</v>
      </c>
      <c r="O22" s="28" t="s">
        <v>1019</v>
      </c>
      <c r="Q22" s="28" t="s">
        <v>128</v>
      </c>
      <c r="R22" s="28" t="e">
        <f t="shared" ca="1" si="0"/>
        <v>#NAME?</v>
      </c>
      <c r="S22" s="28" t="s">
        <v>981</v>
      </c>
      <c r="V22" s="28" t="s">
        <v>1020</v>
      </c>
    </row>
    <row r="23" spans="5:22" x14ac:dyDescent="0.25">
      <c r="E23" s="2" t="s">
        <v>998</v>
      </c>
      <c r="F23" s="2" t="s">
        <v>959</v>
      </c>
      <c r="G23" s="3" t="s">
        <v>643</v>
      </c>
      <c r="H23" s="3" t="s">
        <v>963</v>
      </c>
      <c r="I23" s="3"/>
      <c r="J23" s="3"/>
      <c r="K23" s="3"/>
      <c r="L23" s="3"/>
      <c r="N23" s="28" t="s">
        <v>1021</v>
      </c>
      <c r="O23" s="28" t="s">
        <v>1022</v>
      </c>
      <c r="Q23" s="28" t="s">
        <v>51</v>
      </c>
      <c r="R23" s="28" t="e">
        <f t="shared" ca="1" si="0"/>
        <v>#NAME?</v>
      </c>
      <c r="S23" s="28" t="s">
        <v>1023</v>
      </c>
      <c r="T23" s="28" t="s">
        <v>1024</v>
      </c>
      <c r="V23" s="28" t="s">
        <v>1025</v>
      </c>
    </row>
    <row r="24" spans="5:22" x14ac:dyDescent="0.25">
      <c r="E24" s="4" t="s">
        <v>998</v>
      </c>
      <c r="F24" s="2" t="s">
        <v>959</v>
      </c>
      <c r="G24" s="3" t="s">
        <v>309</v>
      </c>
      <c r="H24" s="3" t="s">
        <v>960</v>
      </c>
      <c r="I24" s="3"/>
      <c r="J24" s="3"/>
      <c r="K24" s="3"/>
      <c r="L24" s="3"/>
      <c r="N24" s="28" t="s">
        <v>1026</v>
      </c>
      <c r="O24" s="28" t="s">
        <v>1027</v>
      </c>
      <c r="Q24" s="28" t="s">
        <v>51</v>
      </c>
      <c r="R24" s="28" t="e">
        <f t="shared" ca="1" si="0"/>
        <v>#NAME?</v>
      </c>
      <c r="S24" s="28" t="s">
        <v>1023</v>
      </c>
      <c r="T24" s="28" t="s">
        <v>1028</v>
      </c>
    </row>
    <row r="25" spans="5:22" x14ac:dyDescent="0.25">
      <c r="E25" s="2" t="s">
        <v>998</v>
      </c>
      <c r="F25" s="4" t="s">
        <v>1029</v>
      </c>
      <c r="G25" s="2" t="s">
        <v>285</v>
      </c>
      <c r="H25" s="3" t="s">
        <v>951</v>
      </c>
      <c r="I25" s="3"/>
      <c r="J25" s="3"/>
      <c r="K25" s="3"/>
      <c r="L25" s="3"/>
      <c r="N25" s="28" t="s">
        <v>1030</v>
      </c>
      <c r="O25" s="28" t="s">
        <v>1031</v>
      </c>
      <c r="Q25" s="28" t="s">
        <v>81</v>
      </c>
      <c r="R25" s="28" t="e">
        <f t="shared" ca="1" si="0"/>
        <v>#NAME?</v>
      </c>
      <c r="S25" s="28" t="s">
        <v>1032</v>
      </c>
      <c r="V25" s="28" t="s">
        <v>1020</v>
      </c>
    </row>
    <row r="26" spans="5:22" x14ac:dyDescent="0.25">
      <c r="E26" s="2" t="s">
        <v>998</v>
      </c>
      <c r="F26" s="4" t="s">
        <v>1029</v>
      </c>
      <c r="G26" s="2" t="s">
        <v>1033</v>
      </c>
      <c r="H26" s="3" t="s">
        <v>951</v>
      </c>
      <c r="I26" s="3"/>
      <c r="J26" s="3"/>
      <c r="K26" s="3"/>
      <c r="L26" s="3"/>
      <c r="N26" s="28" t="s">
        <v>1034</v>
      </c>
      <c r="O26" s="28" t="s">
        <v>1035</v>
      </c>
      <c r="Q26" s="28" t="s">
        <v>182</v>
      </c>
      <c r="R26" s="28" t="e">
        <f t="shared" ca="1" si="0"/>
        <v>#NAME?</v>
      </c>
      <c r="S26" s="28" t="s">
        <v>975</v>
      </c>
      <c r="T26" s="28" t="s">
        <v>976</v>
      </c>
      <c r="V26" s="28" t="s">
        <v>1025</v>
      </c>
    </row>
    <row r="27" spans="5:22" x14ac:dyDescent="0.25">
      <c r="E27" s="2" t="s">
        <v>1036</v>
      </c>
      <c r="F27" s="2" t="s">
        <v>1037</v>
      </c>
      <c r="G27" s="2" t="s">
        <v>283</v>
      </c>
      <c r="H27" s="2" t="s">
        <v>944</v>
      </c>
      <c r="I27" s="2"/>
      <c r="J27" s="2"/>
      <c r="K27" s="2"/>
      <c r="L27" s="2"/>
      <c r="N27" s="28" t="s">
        <v>1038</v>
      </c>
      <c r="O27" s="28" t="s">
        <v>1005</v>
      </c>
      <c r="Q27" s="28" t="s">
        <v>137</v>
      </c>
      <c r="R27" s="28" t="e">
        <f t="shared" ca="1" si="0"/>
        <v>#NAME?</v>
      </c>
      <c r="S27" s="28" t="s">
        <v>1039</v>
      </c>
    </row>
    <row r="28" spans="5:22" x14ac:dyDescent="0.25">
      <c r="E28" s="2" t="s">
        <v>1036</v>
      </c>
      <c r="F28" s="2" t="s">
        <v>1040</v>
      </c>
      <c r="G28" s="4" t="s">
        <v>1041</v>
      </c>
      <c r="H28" s="2" t="s">
        <v>1003</v>
      </c>
      <c r="I28" s="2"/>
      <c r="J28" s="2"/>
      <c r="K28" s="2"/>
      <c r="L28" s="2"/>
      <c r="N28" s="28" t="s">
        <v>1042</v>
      </c>
      <c r="O28" s="28" t="s">
        <v>1005</v>
      </c>
      <c r="Q28" s="28" t="s">
        <v>180</v>
      </c>
      <c r="R28" s="28" t="e">
        <f t="shared" ca="1" si="0"/>
        <v>#NAME?</v>
      </c>
      <c r="S28" s="28" t="s">
        <v>975</v>
      </c>
      <c r="T28" s="28" t="s">
        <v>976</v>
      </c>
      <c r="V28" s="28" t="s">
        <v>1020</v>
      </c>
    </row>
    <row r="29" spans="5:22" x14ac:dyDescent="0.25">
      <c r="E29" s="2" t="s">
        <v>1036</v>
      </c>
      <c r="F29" s="2" t="s">
        <v>1040</v>
      </c>
      <c r="G29" s="4" t="s">
        <v>1043</v>
      </c>
      <c r="H29" s="2" t="s">
        <v>1003</v>
      </c>
      <c r="I29" s="2"/>
      <c r="J29" s="2"/>
      <c r="K29" s="2"/>
      <c r="L29" s="2"/>
      <c r="N29" s="28" t="s">
        <v>1044</v>
      </c>
      <c r="O29" s="28" t="s">
        <v>1044</v>
      </c>
      <c r="Q29" s="28" t="s">
        <v>219</v>
      </c>
      <c r="R29" s="28" t="e">
        <f t="shared" ca="1" si="0"/>
        <v>#NAME?</v>
      </c>
      <c r="S29" s="28" t="s">
        <v>1045</v>
      </c>
      <c r="V29" s="28" t="s">
        <v>1025</v>
      </c>
    </row>
    <row r="30" spans="5:22" x14ac:dyDescent="0.25">
      <c r="E30" s="2" t="s">
        <v>1036</v>
      </c>
      <c r="F30" s="2" t="s">
        <v>1040</v>
      </c>
      <c r="G30" s="3" t="s">
        <v>1046</v>
      </c>
      <c r="H30" s="2" t="s">
        <v>1003</v>
      </c>
      <c r="I30" s="2"/>
      <c r="J30" s="2"/>
      <c r="K30" s="2"/>
      <c r="L30" s="2"/>
      <c r="N30" s="28" t="s">
        <v>1047</v>
      </c>
      <c r="O30" s="28" t="s">
        <v>1005</v>
      </c>
      <c r="Q30" s="28" t="s">
        <v>105</v>
      </c>
      <c r="R30" s="28" t="e">
        <f t="shared" ca="1" si="0"/>
        <v>#NAME?</v>
      </c>
      <c r="S30" s="28" t="s">
        <v>962</v>
      </c>
    </row>
    <row r="31" spans="5:22" x14ac:dyDescent="0.25">
      <c r="E31" s="2" t="s">
        <v>1036</v>
      </c>
      <c r="F31" s="2" t="s">
        <v>1040</v>
      </c>
      <c r="G31" s="4" t="s">
        <v>277</v>
      </c>
      <c r="H31" s="2" t="s">
        <v>1003</v>
      </c>
      <c r="I31" s="2"/>
      <c r="J31" s="2"/>
      <c r="K31" s="2"/>
      <c r="L31" s="2"/>
      <c r="N31" s="28" t="s">
        <v>1048</v>
      </c>
      <c r="O31" s="28" t="s">
        <v>1049</v>
      </c>
      <c r="Q31" s="28" t="s">
        <v>203</v>
      </c>
      <c r="R31" s="28" t="e">
        <f t="shared" ca="1" si="0"/>
        <v>#NAME?</v>
      </c>
      <c r="S31" s="28" t="s">
        <v>1050</v>
      </c>
      <c r="V31" s="28" t="s">
        <v>1020</v>
      </c>
    </row>
    <row r="32" spans="5:22" x14ac:dyDescent="0.25">
      <c r="E32" s="2" t="s">
        <v>1036</v>
      </c>
      <c r="F32" s="2" t="s">
        <v>1040</v>
      </c>
      <c r="G32" s="3" t="s">
        <v>1051</v>
      </c>
      <c r="H32" s="2" t="s">
        <v>1003</v>
      </c>
      <c r="I32" s="2"/>
      <c r="J32" s="2"/>
      <c r="K32" s="2"/>
      <c r="L32" s="2"/>
      <c r="N32" s="28" t="s">
        <v>1052</v>
      </c>
      <c r="O32" s="28" t="s">
        <v>1053</v>
      </c>
      <c r="Q32" s="28" t="s">
        <v>167</v>
      </c>
      <c r="R32" s="28" t="e">
        <f t="shared" ca="1" si="0"/>
        <v>#NAME?</v>
      </c>
      <c r="S32" s="28" t="s">
        <v>1054</v>
      </c>
      <c r="V32" s="28" t="s">
        <v>1025</v>
      </c>
    </row>
    <row r="33" spans="5:22" x14ac:dyDescent="0.25">
      <c r="E33" s="2" t="s">
        <v>1036</v>
      </c>
      <c r="F33" s="2" t="s">
        <v>1040</v>
      </c>
      <c r="G33" s="4" t="s">
        <v>1055</v>
      </c>
      <c r="H33" s="2" t="s">
        <v>1003</v>
      </c>
      <c r="I33" s="2"/>
      <c r="J33" s="2"/>
      <c r="K33" s="2"/>
      <c r="L33" s="2"/>
      <c r="N33" s="28" t="s">
        <v>1056</v>
      </c>
      <c r="O33" s="28" t="s">
        <v>1057</v>
      </c>
      <c r="Q33" s="28" t="s">
        <v>167</v>
      </c>
      <c r="R33" s="28" t="e">
        <f t="shared" ca="1" si="0"/>
        <v>#NAME?</v>
      </c>
      <c r="S33" s="28" t="s">
        <v>1058</v>
      </c>
    </row>
    <row r="34" spans="5:22" x14ac:dyDescent="0.25">
      <c r="E34" s="2" t="s">
        <v>1036</v>
      </c>
      <c r="F34" s="2" t="s">
        <v>1040</v>
      </c>
      <c r="G34" s="4" t="s">
        <v>1059</v>
      </c>
      <c r="H34" s="2" t="s">
        <v>1003</v>
      </c>
      <c r="I34" s="2"/>
      <c r="J34" s="2"/>
      <c r="K34" s="2"/>
      <c r="L34" s="2"/>
      <c r="N34" s="28" t="s">
        <v>1060</v>
      </c>
      <c r="O34" s="28" t="s">
        <v>1061</v>
      </c>
      <c r="Q34" s="28" t="s">
        <v>167</v>
      </c>
      <c r="R34" s="28" t="e">
        <f t="shared" ca="1" si="0"/>
        <v>#NAME?</v>
      </c>
      <c r="S34" s="28" t="s">
        <v>1062</v>
      </c>
    </row>
    <row r="35" spans="5:22" x14ac:dyDescent="0.25">
      <c r="E35" s="2" t="s">
        <v>1063</v>
      </c>
      <c r="F35" s="2" t="s">
        <v>971</v>
      </c>
      <c r="G35" s="3" t="s">
        <v>1064</v>
      </c>
      <c r="H35" s="2" t="s">
        <v>956</v>
      </c>
      <c r="I35" s="2"/>
      <c r="J35" s="2"/>
      <c r="K35" s="2"/>
      <c r="L35" s="2"/>
      <c r="N35" s="28" t="s">
        <v>1065</v>
      </c>
      <c r="O35" s="28" t="s">
        <v>1066</v>
      </c>
      <c r="Q35" s="28" t="s">
        <v>172</v>
      </c>
      <c r="R35" s="28" t="e">
        <f t="shared" ref="R35:R66" ca="1" si="1">_xlfn.XLOOKUP(Q35,N:N,O:O,"")</f>
        <v>#NAME?</v>
      </c>
      <c r="S35" s="28" t="s">
        <v>1067</v>
      </c>
    </row>
    <row r="36" spans="5:22" x14ac:dyDescent="0.25">
      <c r="E36" s="2" t="s">
        <v>1063</v>
      </c>
      <c r="F36" s="2" t="s">
        <v>971</v>
      </c>
      <c r="G36" s="3" t="s">
        <v>1068</v>
      </c>
      <c r="H36" s="2" t="s">
        <v>956</v>
      </c>
      <c r="I36" s="2"/>
      <c r="J36" s="2"/>
      <c r="K36" s="2"/>
      <c r="L36" s="2"/>
      <c r="N36" s="28" t="s">
        <v>1069</v>
      </c>
      <c r="O36" s="28" t="s">
        <v>1070</v>
      </c>
      <c r="Q36" s="28" t="s">
        <v>53</v>
      </c>
      <c r="R36" s="28" t="e">
        <f t="shared" ca="1" si="1"/>
        <v>#NAME?</v>
      </c>
      <c r="S36" s="28" t="s">
        <v>1023</v>
      </c>
      <c r="T36" s="28" t="s">
        <v>1024</v>
      </c>
    </row>
    <row r="37" spans="5:22" x14ac:dyDescent="0.25">
      <c r="E37" s="2" t="s">
        <v>1063</v>
      </c>
      <c r="F37" s="4" t="s">
        <v>1071</v>
      </c>
      <c r="G37" s="2" t="s">
        <v>1072</v>
      </c>
      <c r="H37" s="2" t="s">
        <v>952</v>
      </c>
      <c r="I37" s="2"/>
      <c r="J37" s="2"/>
      <c r="K37" s="2"/>
      <c r="L37" s="2"/>
      <c r="N37" s="28" t="s">
        <v>1073</v>
      </c>
      <c r="O37" s="28" t="s">
        <v>1074</v>
      </c>
      <c r="Q37" s="28" t="s">
        <v>53</v>
      </c>
      <c r="R37" s="28" t="e">
        <f t="shared" ca="1" si="1"/>
        <v>#NAME?</v>
      </c>
      <c r="S37" s="28" t="s">
        <v>1023</v>
      </c>
      <c r="T37" s="28" t="s">
        <v>1028</v>
      </c>
    </row>
    <row r="38" spans="5:22" x14ac:dyDescent="0.25">
      <c r="E38" s="2" t="s">
        <v>1063</v>
      </c>
      <c r="F38" s="2" t="s">
        <v>482</v>
      </c>
      <c r="G38" s="2" t="s">
        <v>1075</v>
      </c>
      <c r="H38" s="2" t="s">
        <v>1076</v>
      </c>
      <c r="I38" s="2"/>
      <c r="J38" s="2"/>
      <c r="K38" s="2"/>
      <c r="L38" s="2"/>
      <c r="N38" s="28" t="s">
        <v>1077</v>
      </c>
      <c r="O38" s="28" t="s">
        <v>1078</v>
      </c>
      <c r="Q38" s="28" t="s">
        <v>129</v>
      </c>
      <c r="R38" s="28" t="e">
        <f t="shared" ca="1" si="1"/>
        <v>#NAME?</v>
      </c>
      <c r="S38" s="28" t="s">
        <v>981</v>
      </c>
    </row>
    <row r="39" spans="5:22" x14ac:dyDescent="0.25">
      <c r="E39" s="4" t="s">
        <v>1063</v>
      </c>
      <c r="F39" s="4" t="s">
        <v>966</v>
      </c>
      <c r="G39" s="2" t="s">
        <v>377</v>
      </c>
      <c r="H39" s="2" t="s">
        <v>967</v>
      </c>
      <c r="I39" s="2"/>
      <c r="J39" s="2"/>
      <c r="K39" s="2"/>
      <c r="L39" s="2"/>
      <c r="N39" s="28" t="s">
        <v>1079</v>
      </c>
      <c r="O39" s="28" t="s">
        <v>1080</v>
      </c>
      <c r="Q39" s="28" t="s">
        <v>131</v>
      </c>
      <c r="R39" s="28" t="e">
        <f t="shared" ca="1" si="1"/>
        <v>#NAME?</v>
      </c>
      <c r="S39" s="28" t="s">
        <v>981</v>
      </c>
    </row>
    <row r="40" spans="5:22" x14ac:dyDescent="0.25">
      <c r="E40" s="4" t="s">
        <v>1063</v>
      </c>
      <c r="F40" s="4" t="s">
        <v>1081</v>
      </c>
      <c r="G40" s="2" t="s">
        <v>1082</v>
      </c>
      <c r="H40" s="3" t="s">
        <v>951</v>
      </c>
      <c r="I40" s="3"/>
      <c r="J40" s="3"/>
      <c r="K40" s="3"/>
      <c r="L40" s="3"/>
      <c r="N40" s="28" t="s">
        <v>1083</v>
      </c>
      <c r="O40" s="28" t="s">
        <v>1084</v>
      </c>
      <c r="Q40" s="28" t="s">
        <v>227</v>
      </c>
      <c r="R40" s="28" t="e">
        <f t="shared" ca="1" si="1"/>
        <v>#NAME?</v>
      </c>
      <c r="S40" s="28" t="s">
        <v>1085</v>
      </c>
    </row>
    <row r="41" spans="5:22" x14ac:dyDescent="0.25">
      <c r="E41" s="4" t="s">
        <v>1063</v>
      </c>
      <c r="F41" s="4" t="s">
        <v>1081</v>
      </c>
      <c r="G41" s="2" t="s">
        <v>1086</v>
      </c>
      <c r="H41" s="3" t="s">
        <v>951</v>
      </c>
      <c r="I41" s="3"/>
      <c r="J41" s="3"/>
      <c r="K41" s="3"/>
      <c r="L41" s="3"/>
      <c r="N41" s="28" t="s">
        <v>22</v>
      </c>
      <c r="O41" s="28" t="s">
        <v>1087</v>
      </c>
      <c r="Q41" s="28" t="s">
        <v>230</v>
      </c>
      <c r="R41" s="28" t="e">
        <f t="shared" ca="1" si="1"/>
        <v>#NAME?</v>
      </c>
      <c r="S41" s="28" t="s">
        <v>1088</v>
      </c>
    </row>
    <row r="42" spans="5:22" x14ac:dyDescent="0.25">
      <c r="N42" s="28" t="s">
        <v>125</v>
      </c>
      <c r="O42" s="28" t="s">
        <v>1089</v>
      </c>
      <c r="Q42" s="28" t="s">
        <v>233</v>
      </c>
      <c r="R42" s="28" t="e">
        <f t="shared" ca="1" si="1"/>
        <v>#NAME?</v>
      </c>
      <c r="S42" s="28" t="s">
        <v>1090</v>
      </c>
    </row>
    <row r="43" spans="5:22" x14ac:dyDescent="0.25">
      <c r="N43" s="28" t="s">
        <v>1091</v>
      </c>
      <c r="O43" s="28" t="s">
        <v>1092</v>
      </c>
      <c r="Q43" s="28" t="s">
        <v>236</v>
      </c>
      <c r="R43" s="28" t="e">
        <f t="shared" ca="1" si="1"/>
        <v>#NAME?</v>
      </c>
      <c r="S43" s="28" t="s">
        <v>1093</v>
      </c>
      <c r="V43" s="28" t="s">
        <v>1020</v>
      </c>
    </row>
    <row r="44" spans="5:22" x14ac:dyDescent="0.25">
      <c r="N44" s="28" t="s">
        <v>206</v>
      </c>
      <c r="O44" s="28" t="s">
        <v>1094</v>
      </c>
      <c r="Q44" s="28" t="s">
        <v>239</v>
      </c>
      <c r="R44" s="28" t="e">
        <f t="shared" ca="1" si="1"/>
        <v>#NAME?</v>
      </c>
      <c r="S44" s="28" t="s">
        <v>1095</v>
      </c>
      <c r="V44" s="28" t="s">
        <v>1025</v>
      </c>
    </row>
    <row r="45" spans="5:22" x14ac:dyDescent="0.25">
      <c r="N45" s="28" t="s">
        <v>87</v>
      </c>
      <c r="O45" s="28" t="s">
        <v>1096</v>
      </c>
      <c r="Q45" s="28" t="s">
        <v>148</v>
      </c>
      <c r="R45" s="28" t="e">
        <f t="shared" ca="1" si="1"/>
        <v>#NAME?</v>
      </c>
      <c r="S45" s="28" t="s">
        <v>1097</v>
      </c>
    </row>
    <row r="46" spans="5:22" x14ac:dyDescent="0.25">
      <c r="N46" s="28" t="s">
        <v>189</v>
      </c>
      <c r="O46" s="28" t="s">
        <v>1098</v>
      </c>
      <c r="Q46" s="28" t="s">
        <v>144</v>
      </c>
      <c r="R46" s="28" t="e">
        <f t="shared" ca="1" si="1"/>
        <v>#NAME?</v>
      </c>
      <c r="S46" s="28" t="s">
        <v>1099</v>
      </c>
    </row>
    <row r="47" spans="5:22" x14ac:dyDescent="0.25">
      <c r="N47" s="28" t="s">
        <v>1100</v>
      </c>
      <c r="O47" s="28" t="s">
        <v>1101</v>
      </c>
      <c r="Q47" s="28" t="s">
        <v>149</v>
      </c>
      <c r="R47" s="28" t="e">
        <f t="shared" ca="1" si="1"/>
        <v>#NAME?</v>
      </c>
      <c r="S47" s="28" t="s">
        <v>1097</v>
      </c>
      <c r="V47" s="28" t="s">
        <v>1020</v>
      </c>
    </row>
    <row r="48" spans="5:22" x14ac:dyDescent="0.25">
      <c r="N48" s="28" t="s">
        <v>1102</v>
      </c>
      <c r="O48" s="28" t="s">
        <v>1103</v>
      </c>
      <c r="Q48" s="28" t="s">
        <v>145</v>
      </c>
      <c r="R48" s="28" t="e">
        <f t="shared" ca="1" si="1"/>
        <v>#NAME?</v>
      </c>
      <c r="S48" s="28" t="s">
        <v>1099</v>
      </c>
      <c r="V48" s="28" t="s">
        <v>1025</v>
      </c>
    </row>
    <row r="49" spans="14:22" x14ac:dyDescent="0.25">
      <c r="N49" s="28" t="s">
        <v>1104</v>
      </c>
      <c r="O49" s="28" t="s">
        <v>1105</v>
      </c>
      <c r="Q49" s="28" t="s">
        <v>151</v>
      </c>
      <c r="R49" s="28" t="e">
        <f t="shared" ca="1" si="1"/>
        <v>#NAME?</v>
      </c>
      <c r="S49" s="28" t="s">
        <v>1097</v>
      </c>
    </row>
    <row r="50" spans="14:22" x14ac:dyDescent="0.25">
      <c r="N50" s="28" t="s">
        <v>1106</v>
      </c>
      <c r="O50" s="28" t="s">
        <v>1107</v>
      </c>
      <c r="Q50" s="28" t="s">
        <v>60</v>
      </c>
      <c r="R50" s="28" t="e">
        <f t="shared" ca="1" si="1"/>
        <v>#NAME?</v>
      </c>
      <c r="S50" s="28" t="s">
        <v>1108</v>
      </c>
      <c r="T50" s="28" t="s">
        <v>1024</v>
      </c>
    </row>
    <row r="51" spans="14:22" x14ac:dyDescent="0.25">
      <c r="N51" s="28" t="s">
        <v>1109</v>
      </c>
      <c r="O51" s="28" t="s">
        <v>1110</v>
      </c>
      <c r="Q51" s="28" t="s">
        <v>73</v>
      </c>
      <c r="R51" s="28" t="e">
        <f t="shared" ca="1" si="1"/>
        <v>#NAME?</v>
      </c>
      <c r="S51" s="28" t="s">
        <v>1111</v>
      </c>
      <c r="T51" s="28" t="s">
        <v>1028</v>
      </c>
      <c r="V51" s="28" t="s">
        <v>1020</v>
      </c>
    </row>
    <row r="52" spans="14:22" x14ac:dyDescent="0.25">
      <c r="N52" s="28" t="s">
        <v>200</v>
      </c>
      <c r="O52" s="28" t="s">
        <v>1112</v>
      </c>
      <c r="Q52" s="28" t="s">
        <v>159</v>
      </c>
      <c r="R52" s="28" t="e">
        <f t="shared" ca="1" si="1"/>
        <v>#NAME?</v>
      </c>
      <c r="S52" s="28" t="s">
        <v>1113</v>
      </c>
      <c r="V52" s="28" t="s">
        <v>1025</v>
      </c>
    </row>
    <row r="53" spans="14:22" x14ac:dyDescent="0.25">
      <c r="N53" s="28" t="s">
        <v>177</v>
      </c>
      <c r="O53" s="28" t="s">
        <v>1114</v>
      </c>
      <c r="Q53" s="28" t="s">
        <v>25</v>
      </c>
      <c r="R53" s="28" t="e">
        <f t="shared" ca="1" si="1"/>
        <v>#NAME?</v>
      </c>
      <c r="S53" s="28" t="s">
        <v>939</v>
      </c>
    </row>
    <row r="54" spans="14:22" x14ac:dyDescent="0.25">
      <c r="N54" s="28" t="s">
        <v>1115</v>
      </c>
      <c r="O54" s="28" t="s">
        <v>1116</v>
      </c>
      <c r="Q54" s="28" t="s">
        <v>25</v>
      </c>
      <c r="R54" s="28" t="e">
        <f t="shared" ca="1" si="1"/>
        <v>#NAME?</v>
      </c>
      <c r="S54" s="28" t="s">
        <v>942</v>
      </c>
      <c r="V54" s="28" t="s">
        <v>1020</v>
      </c>
    </row>
    <row r="55" spans="14:22" x14ac:dyDescent="0.25">
      <c r="N55" s="28" t="s">
        <v>216</v>
      </c>
      <c r="O55" s="28" t="s">
        <v>1117</v>
      </c>
      <c r="Q55" s="28" t="s">
        <v>25</v>
      </c>
      <c r="R55" s="28" t="e">
        <f t="shared" ca="1" si="1"/>
        <v>#NAME?</v>
      </c>
      <c r="S55" s="28" t="s">
        <v>946</v>
      </c>
    </row>
    <row r="56" spans="14:22" x14ac:dyDescent="0.25">
      <c r="N56" s="28" t="s">
        <v>1118</v>
      </c>
      <c r="O56" s="28" t="s">
        <v>1119</v>
      </c>
      <c r="Q56" s="28" t="s">
        <v>25</v>
      </c>
      <c r="R56" s="28" t="e">
        <f t="shared" ca="1" si="1"/>
        <v>#NAME?</v>
      </c>
      <c r="S56" s="28" t="s">
        <v>949</v>
      </c>
      <c r="V56" s="28" t="s">
        <v>1020</v>
      </c>
    </row>
    <row r="57" spans="14:22" x14ac:dyDescent="0.25">
      <c r="N57" s="28" t="s">
        <v>1120</v>
      </c>
      <c r="O57" s="28" t="s">
        <v>1121</v>
      </c>
      <c r="Q57" s="28" t="s">
        <v>25</v>
      </c>
      <c r="R57" s="28" t="e">
        <f t="shared" ca="1" si="1"/>
        <v>#NAME?</v>
      </c>
      <c r="S57" s="28" t="s">
        <v>954</v>
      </c>
      <c r="V57" s="28" t="s">
        <v>1025</v>
      </c>
    </row>
    <row r="58" spans="14:22" x14ac:dyDescent="0.25">
      <c r="N58" s="28" t="s">
        <v>1122</v>
      </c>
      <c r="O58" s="28" t="s">
        <v>1123</v>
      </c>
      <c r="Q58" s="28" t="s">
        <v>25</v>
      </c>
      <c r="R58" s="28" t="e">
        <f t="shared" ca="1" si="1"/>
        <v>#NAME?</v>
      </c>
      <c r="S58" s="28" t="s">
        <v>958</v>
      </c>
    </row>
    <row r="59" spans="14:22" x14ac:dyDescent="0.25">
      <c r="N59" s="28" t="s">
        <v>1124</v>
      </c>
      <c r="O59" s="28" t="s">
        <v>1125</v>
      </c>
      <c r="Q59" s="28" t="s">
        <v>25</v>
      </c>
      <c r="R59" s="28" t="e">
        <f t="shared" ca="1" si="1"/>
        <v>#NAME?</v>
      </c>
      <c r="S59" s="28" t="s">
        <v>962</v>
      </c>
    </row>
    <row r="60" spans="14:22" x14ac:dyDescent="0.25">
      <c r="N60" s="28" t="s">
        <v>1126</v>
      </c>
      <c r="O60" s="28" t="s">
        <v>1127</v>
      </c>
      <c r="Q60" s="28" t="s">
        <v>25</v>
      </c>
      <c r="R60" s="28" t="e">
        <f t="shared" ca="1" si="1"/>
        <v>#NAME?</v>
      </c>
      <c r="S60" s="28" t="s">
        <v>1113</v>
      </c>
      <c r="V60" s="28" t="s">
        <v>1025</v>
      </c>
    </row>
    <row r="61" spans="14:22" x14ac:dyDescent="0.25">
      <c r="N61" s="28" t="s">
        <v>1128</v>
      </c>
      <c r="O61" s="28" t="s">
        <v>1129</v>
      </c>
      <c r="Q61" s="28" t="s">
        <v>140</v>
      </c>
      <c r="R61" s="28" t="e">
        <f t="shared" ca="1" si="1"/>
        <v>#NAME?</v>
      </c>
      <c r="S61" s="28" t="s">
        <v>1039</v>
      </c>
      <c r="V61" s="28" t="s">
        <v>1020</v>
      </c>
    </row>
    <row r="62" spans="14:22" x14ac:dyDescent="0.25">
      <c r="N62" s="28" t="s">
        <v>1130</v>
      </c>
      <c r="O62" s="28" t="s">
        <v>1131</v>
      </c>
      <c r="Q62" s="28" t="s">
        <v>183</v>
      </c>
      <c r="R62" s="28" t="e">
        <f t="shared" ca="1" si="1"/>
        <v>#NAME?</v>
      </c>
      <c r="S62" s="28" t="s">
        <v>975</v>
      </c>
      <c r="T62" s="28" t="s">
        <v>976</v>
      </c>
    </row>
    <row r="63" spans="14:22" x14ac:dyDescent="0.25">
      <c r="N63" s="28" t="s">
        <v>1132</v>
      </c>
      <c r="O63" s="28" t="s">
        <v>1133</v>
      </c>
      <c r="Q63" s="28" t="s">
        <v>185</v>
      </c>
      <c r="R63" s="28" t="e">
        <f t="shared" ca="1" si="1"/>
        <v>#NAME?</v>
      </c>
      <c r="S63" s="28" t="s">
        <v>975</v>
      </c>
      <c r="T63" s="28" t="s">
        <v>976</v>
      </c>
      <c r="V63" s="28" t="s">
        <v>164</v>
      </c>
    </row>
    <row r="64" spans="14:22" x14ac:dyDescent="0.25">
      <c r="N64" s="28" t="s">
        <v>1134</v>
      </c>
      <c r="O64" s="28" t="s">
        <v>1135</v>
      </c>
      <c r="Q64" s="28" t="s">
        <v>184</v>
      </c>
      <c r="R64" s="28" t="e">
        <f t="shared" ca="1" si="1"/>
        <v>#NAME?</v>
      </c>
      <c r="S64" s="28" t="s">
        <v>975</v>
      </c>
      <c r="T64" s="28" t="s">
        <v>976</v>
      </c>
    </row>
    <row r="65" spans="14:20" x14ac:dyDescent="0.25">
      <c r="N65" s="28" t="s">
        <v>1136</v>
      </c>
      <c r="O65" s="28" t="s">
        <v>1137</v>
      </c>
      <c r="Q65" s="28" t="s">
        <v>56</v>
      </c>
      <c r="R65" s="28" t="e">
        <f t="shared" ca="1" si="1"/>
        <v>#NAME?</v>
      </c>
      <c r="S65" s="28" t="s">
        <v>1023</v>
      </c>
      <c r="T65" s="28" t="s">
        <v>1024</v>
      </c>
    </row>
    <row r="66" spans="14:20" x14ac:dyDescent="0.25">
      <c r="N66" s="28" t="s">
        <v>1138</v>
      </c>
      <c r="O66" s="28" t="s">
        <v>1139</v>
      </c>
      <c r="Q66" s="28" t="s">
        <v>56</v>
      </c>
      <c r="R66" s="28" t="e">
        <f t="shared" ca="1" si="1"/>
        <v>#NAME?</v>
      </c>
      <c r="S66" s="28" t="s">
        <v>1023</v>
      </c>
      <c r="T66" s="28" t="s">
        <v>1028</v>
      </c>
    </row>
    <row r="67" spans="14:20" x14ac:dyDescent="0.25">
      <c r="N67" s="28" t="s">
        <v>1140</v>
      </c>
      <c r="O67" s="28" t="s">
        <v>1141</v>
      </c>
      <c r="Q67" s="28" t="s">
        <v>224</v>
      </c>
      <c r="R67" s="28" t="e">
        <f t="shared" ref="R67:R86" ca="1" si="2">_xlfn.XLOOKUP(Q67,N:N,O:O,"")</f>
        <v>#NAME?</v>
      </c>
      <c r="S67" s="28" t="s">
        <v>1142</v>
      </c>
    </row>
    <row r="68" spans="14:20" x14ac:dyDescent="0.25">
      <c r="N68" s="28" t="s">
        <v>1143</v>
      </c>
      <c r="O68" s="28" t="s">
        <v>1144</v>
      </c>
      <c r="Q68" s="28" t="s">
        <v>27</v>
      </c>
      <c r="R68" s="28" t="e">
        <f t="shared" ca="1" si="2"/>
        <v>#NAME?</v>
      </c>
      <c r="S68" s="28" t="s">
        <v>939</v>
      </c>
    </row>
    <row r="69" spans="14:20" x14ac:dyDescent="0.25">
      <c r="N69" s="28" t="s">
        <v>135</v>
      </c>
      <c r="O69" s="28" t="s">
        <v>1145</v>
      </c>
      <c r="Q69" s="28" t="s">
        <v>27</v>
      </c>
      <c r="R69" s="28" t="e">
        <f t="shared" ca="1" si="2"/>
        <v>#NAME?</v>
      </c>
      <c r="S69" s="28" t="s">
        <v>942</v>
      </c>
    </row>
    <row r="70" spans="14:20" x14ac:dyDescent="0.25">
      <c r="N70" s="28" t="s">
        <v>128</v>
      </c>
      <c r="O70" s="28" t="s">
        <v>1146</v>
      </c>
      <c r="Q70" s="28" t="s">
        <v>27</v>
      </c>
      <c r="R70" s="28" t="e">
        <f t="shared" ca="1" si="2"/>
        <v>#NAME?</v>
      </c>
      <c r="S70" s="28" t="s">
        <v>946</v>
      </c>
    </row>
    <row r="71" spans="14:20" x14ac:dyDescent="0.25">
      <c r="N71" s="28" t="s">
        <v>1147</v>
      </c>
      <c r="O71" s="28" t="s">
        <v>1148</v>
      </c>
      <c r="Q71" s="28" t="s">
        <v>27</v>
      </c>
      <c r="R71" s="28" t="e">
        <f t="shared" ca="1" si="2"/>
        <v>#NAME?</v>
      </c>
      <c r="S71" s="28" t="s">
        <v>949</v>
      </c>
    </row>
    <row r="72" spans="14:20" x14ac:dyDescent="0.25">
      <c r="N72" s="28" t="s">
        <v>51</v>
      </c>
      <c r="O72" s="28" t="s">
        <v>1149</v>
      </c>
      <c r="Q72" s="28" t="s">
        <v>27</v>
      </c>
      <c r="R72" s="28" t="e">
        <f t="shared" ca="1" si="2"/>
        <v>#NAME?</v>
      </c>
      <c r="S72" s="28" t="s">
        <v>954</v>
      </c>
    </row>
    <row r="73" spans="14:20" x14ac:dyDescent="0.25">
      <c r="N73" s="28" t="s">
        <v>81</v>
      </c>
      <c r="O73" s="28" t="s">
        <v>1150</v>
      </c>
      <c r="Q73" s="28" t="s">
        <v>27</v>
      </c>
      <c r="R73" s="28" t="e">
        <f t="shared" ca="1" si="2"/>
        <v>#NAME?</v>
      </c>
      <c r="S73" s="28" t="s">
        <v>958</v>
      </c>
    </row>
    <row r="74" spans="14:20" x14ac:dyDescent="0.25">
      <c r="N74" s="28" t="s">
        <v>1151</v>
      </c>
      <c r="O74" s="28" t="s">
        <v>1152</v>
      </c>
      <c r="Q74" s="28" t="s">
        <v>27</v>
      </c>
      <c r="R74" s="28" t="e">
        <f t="shared" ca="1" si="2"/>
        <v>#NAME?</v>
      </c>
      <c r="S74" s="28" t="s">
        <v>962</v>
      </c>
    </row>
    <row r="75" spans="14:20" x14ac:dyDescent="0.25">
      <c r="N75" s="28" t="s">
        <v>182</v>
      </c>
      <c r="O75" s="28" t="s">
        <v>1149</v>
      </c>
      <c r="Q75" s="28" t="s">
        <v>27</v>
      </c>
      <c r="R75" s="28" t="e">
        <f t="shared" ca="1" si="2"/>
        <v>#NAME?</v>
      </c>
      <c r="S75" s="28" t="s">
        <v>1113</v>
      </c>
    </row>
    <row r="76" spans="14:20" x14ac:dyDescent="0.25">
      <c r="N76" s="28" t="s">
        <v>1153</v>
      </c>
      <c r="O76" s="28" t="s">
        <v>1154</v>
      </c>
      <c r="Q76" s="28" t="s">
        <v>27</v>
      </c>
      <c r="R76" s="28" t="e">
        <f t="shared" ca="1" si="2"/>
        <v>#NAME?</v>
      </c>
      <c r="S76" s="28" t="s">
        <v>1155</v>
      </c>
    </row>
    <row r="77" spans="14:20" x14ac:dyDescent="0.25">
      <c r="N77" s="28" t="s">
        <v>1156</v>
      </c>
      <c r="O77" s="28" t="s">
        <v>1157</v>
      </c>
      <c r="Q77" s="28" t="s">
        <v>118</v>
      </c>
      <c r="R77" s="28" t="e">
        <f t="shared" ca="1" si="2"/>
        <v>#NAME?</v>
      </c>
      <c r="S77" s="28" t="s">
        <v>1158</v>
      </c>
    </row>
    <row r="78" spans="14:20" x14ac:dyDescent="0.25">
      <c r="N78" s="28" t="s">
        <v>1159</v>
      </c>
      <c r="O78" s="28" t="s">
        <v>1160</v>
      </c>
      <c r="Q78" s="28" t="s">
        <v>64</v>
      </c>
      <c r="R78" s="28" t="e">
        <f t="shared" ca="1" si="2"/>
        <v>#NAME?</v>
      </c>
      <c r="S78" s="28" t="s">
        <v>1108</v>
      </c>
      <c r="T78" s="28" t="s">
        <v>1024</v>
      </c>
    </row>
    <row r="79" spans="14:20" x14ac:dyDescent="0.25">
      <c r="N79" s="28" t="s">
        <v>1161</v>
      </c>
      <c r="O79" s="28" t="s">
        <v>1162</v>
      </c>
      <c r="Q79" s="28" t="s">
        <v>62</v>
      </c>
      <c r="R79" s="28" t="e">
        <f t="shared" ca="1" si="2"/>
        <v>#NAME?</v>
      </c>
      <c r="S79" s="28" t="s">
        <v>1108</v>
      </c>
      <c r="T79" s="28" t="s">
        <v>1024</v>
      </c>
    </row>
    <row r="80" spans="14:20" x14ac:dyDescent="0.25">
      <c r="N80" s="28" t="s">
        <v>1163</v>
      </c>
      <c r="O80" s="28" t="s">
        <v>1164</v>
      </c>
      <c r="Q80" s="28" t="s">
        <v>77</v>
      </c>
      <c r="R80" s="28" t="e">
        <f t="shared" ca="1" si="2"/>
        <v>#NAME?</v>
      </c>
      <c r="S80" s="28" t="s">
        <v>1111</v>
      </c>
      <c r="T80" s="28" t="s">
        <v>1028</v>
      </c>
    </row>
    <row r="81" spans="14:20" x14ac:dyDescent="0.25">
      <c r="N81" s="28" t="s">
        <v>1165</v>
      </c>
      <c r="O81" s="28" t="s">
        <v>1166</v>
      </c>
      <c r="Q81" s="28" t="s">
        <v>75</v>
      </c>
      <c r="R81" s="28" t="e">
        <f t="shared" ca="1" si="2"/>
        <v>#NAME?</v>
      </c>
      <c r="S81" s="28" t="s">
        <v>1111</v>
      </c>
      <c r="T81" s="28" t="s">
        <v>1028</v>
      </c>
    </row>
    <row r="82" spans="14:20" x14ac:dyDescent="0.25">
      <c r="N82" s="28" t="s">
        <v>137</v>
      </c>
      <c r="O82" s="28" t="s">
        <v>1167</v>
      </c>
      <c r="Q82" s="28" t="s">
        <v>222</v>
      </c>
      <c r="R82" s="28" t="e">
        <f t="shared" ca="1" si="2"/>
        <v>#NAME?</v>
      </c>
      <c r="S82" s="28" t="s">
        <v>1142</v>
      </c>
    </row>
    <row r="83" spans="14:20" x14ac:dyDescent="0.25">
      <c r="N83" s="28" t="s">
        <v>180</v>
      </c>
      <c r="O83" s="28" t="s">
        <v>1168</v>
      </c>
      <c r="Q83" s="28" t="s">
        <v>138</v>
      </c>
      <c r="R83" s="28" t="e">
        <f t="shared" ca="1" si="2"/>
        <v>#NAME?</v>
      </c>
      <c r="S83" s="28" t="s">
        <v>1039</v>
      </c>
    </row>
    <row r="84" spans="14:20" x14ac:dyDescent="0.25">
      <c r="N84" s="28" t="s">
        <v>1169</v>
      </c>
      <c r="O84" s="28" t="s">
        <v>1170</v>
      </c>
      <c r="Q84" s="28" t="s">
        <v>1171</v>
      </c>
      <c r="R84" s="28" t="e">
        <f t="shared" ca="1" si="2"/>
        <v>#NAME?</v>
      </c>
      <c r="S84" s="28" t="s">
        <v>1158</v>
      </c>
    </row>
    <row r="85" spans="14:20" x14ac:dyDescent="0.25">
      <c r="N85" s="28" t="s">
        <v>1172</v>
      </c>
      <c r="O85" s="28" t="s">
        <v>1173</v>
      </c>
      <c r="Q85" s="28" t="s">
        <v>119</v>
      </c>
      <c r="R85" s="28" t="e">
        <f t="shared" ca="1" si="2"/>
        <v>#NAME?</v>
      </c>
      <c r="S85" s="28" t="s">
        <v>1158</v>
      </c>
    </row>
    <row r="86" spans="14:20" x14ac:dyDescent="0.25">
      <c r="N86" s="28" t="s">
        <v>1174</v>
      </c>
      <c r="O86" s="28" t="s">
        <v>1175</v>
      </c>
      <c r="Q86" s="28" t="s">
        <v>121</v>
      </c>
      <c r="R86" s="28" t="e">
        <f t="shared" ca="1" si="2"/>
        <v>#NAME?</v>
      </c>
      <c r="S86" s="28" t="s">
        <v>1158</v>
      </c>
    </row>
    <row r="87" spans="14:20" x14ac:dyDescent="0.25">
      <c r="N87" s="28" t="s">
        <v>1176</v>
      </c>
      <c r="O87" s="28" t="s">
        <v>1177</v>
      </c>
      <c r="Q87" s="28" t="s">
        <v>90</v>
      </c>
      <c r="S87" s="28" t="s">
        <v>1178</v>
      </c>
    </row>
    <row r="88" spans="14:20" x14ac:dyDescent="0.25">
      <c r="N88" s="28" t="s">
        <v>1179</v>
      </c>
      <c r="O88" s="28" t="s">
        <v>1180</v>
      </c>
      <c r="Q88" s="28" t="s">
        <v>1181</v>
      </c>
      <c r="S88" s="28" t="s">
        <v>993</v>
      </c>
    </row>
    <row r="89" spans="14:20" x14ac:dyDescent="0.25">
      <c r="N89" s="28" t="s">
        <v>1182</v>
      </c>
      <c r="O89" s="28" t="s">
        <v>1183</v>
      </c>
      <c r="Q89" s="28" t="s">
        <v>1184</v>
      </c>
      <c r="S89" s="28" t="s">
        <v>993</v>
      </c>
    </row>
    <row r="90" spans="14:20" x14ac:dyDescent="0.25">
      <c r="N90" s="28" t="s">
        <v>1185</v>
      </c>
      <c r="O90" s="28" t="s">
        <v>1186</v>
      </c>
      <c r="Q90" s="28" t="s">
        <v>1187</v>
      </c>
      <c r="S90" s="28" t="s">
        <v>1188</v>
      </c>
    </row>
    <row r="91" spans="14:20" x14ac:dyDescent="0.25">
      <c r="N91" s="28" t="s">
        <v>1189</v>
      </c>
      <c r="O91" s="28" t="s">
        <v>1190</v>
      </c>
      <c r="Q91" s="28" t="s">
        <v>1191</v>
      </c>
      <c r="S91" s="28" t="s">
        <v>1188</v>
      </c>
    </row>
    <row r="92" spans="14:20" x14ac:dyDescent="0.25">
      <c r="N92" s="28" t="s">
        <v>96</v>
      </c>
      <c r="O92" s="28" t="s">
        <v>1192</v>
      </c>
      <c r="Q92" s="28" t="s">
        <v>1193</v>
      </c>
      <c r="S92" s="28" t="s">
        <v>1188</v>
      </c>
    </row>
    <row r="93" spans="14:20" x14ac:dyDescent="0.25">
      <c r="N93" s="28" t="s">
        <v>1194</v>
      </c>
      <c r="O93" s="28" t="s">
        <v>1195</v>
      </c>
      <c r="Q93" s="28" t="s">
        <v>1196</v>
      </c>
      <c r="S93" s="28" t="s">
        <v>975</v>
      </c>
    </row>
    <row r="94" spans="14:20" x14ac:dyDescent="0.25">
      <c r="N94" s="28" t="s">
        <v>1197</v>
      </c>
      <c r="O94" s="28" t="s">
        <v>1198</v>
      </c>
    </row>
    <row r="95" spans="14:20" x14ac:dyDescent="0.25">
      <c r="N95" s="28" t="s">
        <v>1199</v>
      </c>
      <c r="O95" s="28" t="s">
        <v>1195</v>
      </c>
    </row>
    <row r="96" spans="14:20" x14ac:dyDescent="0.25">
      <c r="N96" s="28" t="s">
        <v>219</v>
      </c>
      <c r="O96" s="28" t="s">
        <v>1198</v>
      </c>
    </row>
    <row r="97" spans="14:15" x14ac:dyDescent="0.25">
      <c r="N97" s="28" t="s">
        <v>1200</v>
      </c>
      <c r="O97" s="28" t="s">
        <v>1195</v>
      </c>
    </row>
    <row r="98" spans="14:15" x14ac:dyDescent="0.25">
      <c r="N98" s="28" t="s">
        <v>1201</v>
      </c>
      <c r="O98" s="28" t="s">
        <v>1198</v>
      </c>
    </row>
    <row r="99" spans="14:15" x14ac:dyDescent="0.25">
      <c r="N99" s="28" t="s">
        <v>1202</v>
      </c>
      <c r="O99" s="28" t="s">
        <v>1198</v>
      </c>
    </row>
    <row r="100" spans="14:15" x14ac:dyDescent="0.25">
      <c r="N100" s="28" t="s">
        <v>1203</v>
      </c>
      <c r="O100" s="28" t="s">
        <v>1204</v>
      </c>
    </row>
    <row r="101" spans="14:15" x14ac:dyDescent="0.25">
      <c r="N101" s="28" t="s">
        <v>1205</v>
      </c>
      <c r="O101" s="28" t="s">
        <v>1204</v>
      </c>
    </row>
    <row r="102" spans="14:15" x14ac:dyDescent="0.25">
      <c r="N102" s="28" t="s">
        <v>1206</v>
      </c>
      <c r="O102" s="28" t="s">
        <v>1195</v>
      </c>
    </row>
    <row r="103" spans="14:15" x14ac:dyDescent="0.25">
      <c r="N103" s="28" t="s">
        <v>105</v>
      </c>
      <c r="O103" s="28" t="s">
        <v>1207</v>
      </c>
    </row>
    <row r="104" spans="14:15" x14ac:dyDescent="0.25">
      <c r="N104" s="28" t="s">
        <v>1208</v>
      </c>
      <c r="O104" s="28" t="s">
        <v>1209</v>
      </c>
    </row>
    <row r="105" spans="14:15" x14ac:dyDescent="0.25">
      <c r="N105" s="28" t="s">
        <v>1210</v>
      </c>
      <c r="O105" s="28" t="s">
        <v>1211</v>
      </c>
    </row>
    <row r="106" spans="14:15" x14ac:dyDescent="0.25">
      <c r="N106" s="28" t="s">
        <v>1212</v>
      </c>
      <c r="O106" s="28" t="s">
        <v>1213</v>
      </c>
    </row>
    <row r="107" spans="14:15" x14ac:dyDescent="0.25">
      <c r="N107" s="28" t="s">
        <v>1214</v>
      </c>
      <c r="O107" s="28" t="s">
        <v>1215</v>
      </c>
    </row>
    <row r="108" spans="14:15" x14ac:dyDescent="0.25">
      <c r="N108" s="28" t="s">
        <v>1216</v>
      </c>
      <c r="O108" s="28" t="s">
        <v>1217</v>
      </c>
    </row>
    <row r="109" spans="14:15" x14ac:dyDescent="0.25">
      <c r="N109" s="28" t="s">
        <v>203</v>
      </c>
      <c r="O109" s="28" t="s">
        <v>1218</v>
      </c>
    </row>
    <row r="110" spans="14:15" x14ac:dyDescent="0.25">
      <c r="N110" s="28" t="s">
        <v>1219</v>
      </c>
      <c r="O110" s="28" t="s">
        <v>1220</v>
      </c>
    </row>
    <row r="111" spans="14:15" x14ac:dyDescent="0.25">
      <c r="N111" s="28" t="s">
        <v>1221</v>
      </c>
      <c r="O111" s="28" t="s">
        <v>1222</v>
      </c>
    </row>
    <row r="112" spans="14:15" x14ac:dyDescent="0.25">
      <c r="N112" s="28" t="s">
        <v>1223</v>
      </c>
      <c r="O112" s="28" t="s">
        <v>1224</v>
      </c>
    </row>
    <row r="113" spans="14:15" x14ac:dyDescent="0.25">
      <c r="N113" s="28" t="s">
        <v>1225</v>
      </c>
      <c r="O113" s="28" t="s">
        <v>1226</v>
      </c>
    </row>
    <row r="114" spans="14:15" x14ac:dyDescent="0.25">
      <c r="N114" s="28" t="s">
        <v>1227</v>
      </c>
      <c r="O114" s="28" t="s">
        <v>1228</v>
      </c>
    </row>
    <row r="115" spans="14:15" x14ac:dyDescent="0.25">
      <c r="N115" s="28" t="s">
        <v>1229</v>
      </c>
      <c r="O115" s="28" t="s">
        <v>1230</v>
      </c>
    </row>
    <row r="116" spans="14:15" x14ac:dyDescent="0.25">
      <c r="N116" s="28" t="s">
        <v>1231</v>
      </c>
      <c r="O116" s="28" t="s">
        <v>1232</v>
      </c>
    </row>
    <row r="117" spans="14:15" x14ac:dyDescent="0.25">
      <c r="N117" s="28" t="s">
        <v>1233</v>
      </c>
      <c r="O117" s="28" t="s">
        <v>1234</v>
      </c>
    </row>
    <row r="118" spans="14:15" x14ac:dyDescent="0.25">
      <c r="N118" s="28" t="s">
        <v>1235</v>
      </c>
      <c r="O118" s="28" t="s">
        <v>1236</v>
      </c>
    </row>
    <row r="119" spans="14:15" x14ac:dyDescent="0.25">
      <c r="N119" s="28" t="s">
        <v>1237</v>
      </c>
      <c r="O119" s="28" t="s">
        <v>1238</v>
      </c>
    </row>
    <row r="120" spans="14:15" x14ac:dyDescent="0.25">
      <c r="N120" s="28" t="s">
        <v>1239</v>
      </c>
      <c r="O120" s="28" t="s">
        <v>1240</v>
      </c>
    </row>
    <row r="121" spans="14:15" x14ac:dyDescent="0.25">
      <c r="N121" s="28" t="s">
        <v>1241</v>
      </c>
      <c r="O121" s="28" t="s">
        <v>1242</v>
      </c>
    </row>
    <row r="122" spans="14:15" x14ac:dyDescent="0.25">
      <c r="N122" s="28" t="s">
        <v>1243</v>
      </c>
      <c r="O122" s="28" t="s">
        <v>1244</v>
      </c>
    </row>
    <row r="123" spans="14:15" x14ac:dyDescent="0.25">
      <c r="N123" s="28" t="s">
        <v>1245</v>
      </c>
      <c r="O123" s="28" t="s">
        <v>1246</v>
      </c>
    </row>
    <row r="124" spans="14:15" x14ac:dyDescent="0.25">
      <c r="N124" s="28" t="s">
        <v>1247</v>
      </c>
      <c r="O124" s="28" t="s">
        <v>1248</v>
      </c>
    </row>
    <row r="125" spans="14:15" x14ac:dyDescent="0.25">
      <c r="N125" s="28" t="s">
        <v>1249</v>
      </c>
      <c r="O125" s="28" t="s">
        <v>1250</v>
      </c>
    </row>
    <row r="126" spans="14:15" x14ac:dyDescent="0.25">
      <c r="N126" s="28" t="s">
        <v>1251</v>
      </c>
      <c r="O126" s="28" t="s">
        <v>1252</v>
      </c>
    </row>
    <row r="127" spans="14:15" x14ac:dyDescent="0.25">
      <c r="N127" s="28" t="s">
        <v>167</v>
      </c>
      <c r="O127" s="28" t="s">
        <v>1253</v>
      </c>
    </row>
    <row r="128" spans="14:15" x14ac:dyDescent="0.25">
      <c r="N128" s="28" t="s">
        <v>1254</v>
      </c>
      <c r="O128" s="28" t="s">
        <v>1255</v>
      </c>
    </row>
    <row r="129" spans="14:15" x14ac:dyDescent="0.25">
      <c r="N129" s="28" t="s">
        <v>1256</v>
      </c>
      <c r="O129" s="28" t="s">
        <v>1257</v>
      </c>
    </row>
    <row r="130" spans="14:15" x14ac:dyDescent="0.25">
      <c r="N130" s="28" t="s">
        <v>172</v>
      </c>
      <c r="O130" s="28" t="s">
        <v>1258</v>
      </c>
    </row>
    <row r="131" spans="14:15" x14ac:dyDescent="0.25">
      <c r="N131" s="28" t="s">
        <v>1259</v>
      </c>
      <c r="O131" s="28" t="s">
        <v>1260</v>
      </c>
    </row>
    <row r="132" spans="14:15" x14ac:dyDescent="0.25">
      <c r="N132" s="28" t="s">
        <v>1261</v>
      </c>
      <c r="O132" s="28" t="s">
        <v>1262</v>
      </c>
    </row>
    <row r="133" spans="14:15" x14ac:dyDescent="0.25">
      <c r="N133" s="28" t="s">
        <v>1263</v>
      </c>
      <c r="O133" s="28" t="s">
        <v>1264</v>
      </c>
    </row>
    <row r="134" spans="14:15" x14ac:dyDescent="0.25">
      <c r="N134" s="28" t="s">
        <v>1265</v>
      </c>
      <c r="O134" s="28" t="s">
        <v>1266</v>
      </c>
    </row>
    <row r="135" spans="14:15" x14ac:dyDescent="0.25">
      <c r="N135" s="28" t="s">
        <v>1267</v>
      </c>
      <c r="O135" s="28" t="s">
        <v>1268</v>
      </c>
    </row>
    <row r="136" spans="14:15" x14ac:dyDescent="0.25">
      <c r="N136" s="28" t="s">
        <v>1269</v>
      </c>
      <c r="O136" s="28" t="s">
        <v>1270</v>
      </c>
    </row>
    <row r="137" spans="14:15" x14ac:dyDescent="0.25">
      <c r="N137" s="28" t="s">
        <v>1271</v>
      </c>
      <c r="O137" s="28" t="s">
        <v>1272</v>
      </c>
    </row>
    <row r="138" spans="14:15" x14ac:dyDescent="0.25">
      <c r="N138" s="28" t="s">
        <v>1273</v>
      </c>
      <c r="O138" s="28" t="s">
        <v>1274</v>
      </c>
    </row>
    <row r="139" spans="14:15" x14ac:dyDescent="0.25">
      <c r="N139" s="28" t="s">
        <v>1275</v>
      </c>
      <c r="O139" s="28" t="s">
        <v>1276</v>
      </c>
    </row>
    <row r="140" spans="14:15" x14ac:dyDescent="0.25">
      <c r="N140" s="28" t="s">
        <v>53</v>
      </c>
      <c r="O140" s="28" t="s">
        <v>1277</v>
      </c>
    </row>
    <row r="141" spans="14:15" x14ac:dyDescent="0.25">
      <c r="N141" s="28" t="s">
        <v>1278</v>
      </c>
      <c r="O141" s="28" t="s">
        <v>1279</v>
      </c>
    </row>
    <row r="142" spans="14:15" x14ac:dyDescent="0.25">
      <c r="N142" s="28" t="s">
        <v>1280</v>
      </c>
      <c r="O142" s="28" t="s">
        <v>1281</v>
      </c>
    </row>
    <row r="143" spans="14:15" x14ac:dyDescent="0.25">
      <c r="N143" s="28" t="s">
        <v>1282</v>
      </c>
      <c r="O143" s="28" t="s">
        <v>1283</v>
      </c>
    </row>
    <row r="144" spans="14:15" x14ac:dyDescent="0.25">
      <c r="N144" s="28" t="s">
        <v>1284</v>
      </c>
      <c r="O144" s="28" t="s">
        <v>1285</v>
      </c>
    </row>
    <row r="145" spans="14:15" x14ac:dyDescent="0.25">
      <c r="N145" s="28" t="s">
        <v>1286</v>
      </c>
      <c r="O145" s="28" t="s">
        <v>1287</v>
      </c>
    </row>
    <row r="146" spans="14:15" x14ac:dyDescent="0.25">
      <c r="N146" s="28" t="s">
        <v>1288</v>
      </c>
      <c r="O146" s="28" t="s">
        <v>1289</v>
      </c>
    </row>
    <row r="147" spans="14:15" x14ac:dyDescent="0.25">
      <c r="N147" s="28" t="s">
        <v>1290</v>
      </c>
      <c r="O147" s="28" t="s">
        <v>1291</v>
      </c>
    </row>
    <row r="148" spans="14:15" x14ac:dyDescent="0.25">
      <c r="N148" s="28" t="s">
        <v>1292</v>
      </c>
      <c r="O148" s="28" t="s">
        <v>1293</v>
      </c>
    </row>
    <row r="149" spans="14:15" x14ac:dyDescent="0.25">
      <c r="N149" s="28" t="s">
        <v>129</v>
      </c>
      <c r="O149" s="28" t="s">
        <v>1294</v>
      </c>
    </row>
    <row r="150" spans="14:15" x14ac:dyDescent="0.25">
      <c r="N150" s="28" t="s">
        <v>131</v>
      </c>
      <c r="O150" s="28" t="s">
        <v>1295</v>
      </c>
    </row>
    <row r="151" spans="14:15" x14ac:dyDescent="0.25">
      <c r="N151" s="28" t="s">
        <v>1296</v>
      </c>
      <c r="O151" s="28" t="s">
        <v>1297</v>
      </c>
    </row>
    <row r="152" spans="14:15" x14ac:dyDescent="0.25">
      <c r="N152" s="28" t="s">
        <v>1298</v>
      </c>
      <c r="O152" s="28" t="s">
        <v>1299</v>
      </c>
    </row>
    <row r="153" spans="14:15" x14ac:dyDescent="0.25">
      <c r="N153" s="28" t="s">
        <v>1300</v>
      </c>
      <c r="O153" s="28" t="s">
        <v>1301</v>
      </c>
    </row>
    <row r="154" spans="14:15" x14ac:dyDescent="0.25">
      <c r="N154" s="28" t="s">
        <v>1302</v>
      </c>
      <c r="O154" s="28" t="s">
        <v>1303</v>
      </c>
    </row>
    <row r="155" spans="14:15" x14ac:dyDescent="0.25">
      <c r="N155" s="28" t="s">
        <v>1304</v>
      </c>
      <c r="O155" s="28" t="s">
        <v>1305</v>
      </c>
    </row>
    <row r="156" spans="14:15" x14ac:dyDescent="0.25">
      <c r="N156" s="28" t="s">
        <v>1306</v>
      </c>
      <c r="O156" s="28" t="s">
        <v>1307</v>
      </c>
    </row>
    <row r="157" spans="14:15" x14ac:dyDescent="0.25">
      <c r="N157" s="28" t="s">
        <v>1308</v>
      </c>
      <c r="O157" s="28" t="s">
        <v>1309</v>
      </c>
    </row>
    <row r="158" spans="14:15" x14ac:dyDescent="0.25">
      <c r="N158" s="28" t="s">
        <v>1310</v>
      </c>
      <c r="O158" s="28" t="s">
        <v>1311</v>
      </c>
    </row>
    <row r="159" spans="14:15" x14ac:dyDescent="0.25">
      <c r="N159" s="28" t="s">
        <v>1312</v>
      </c>
      <c r="O159" s="28" t="s">
        <v>1149</v>
      </c>
    </row>
    <row r="160" spans="14:15" x14ac:dyDescent="0.25">
      <c r="N160" s="28" t="s">
        <v>1313</v>
      </c>
      <c r="O160" s="28" t="s">
        <v>1277</v>
      </c>
    </row>
    <row r="161" spans="14:15" x14ac:dyDescent="0.25">
      <c r="N161" s="28" t="s">
        <v>1314</v>
      </c>
      <c r="O161" s="28" t="s">
        <v>1315</v>
      </c>
    </row>
    <row r="162" spans="14:15" x14ac:dyDescent="0.25">
      <c r="N162" s="28" t="s">
        <v>1316</v>
      </c>
      <c r="O162" s="28" t="s">
        <v>1317</v>
      </c>
    </row>
    <row r="163" spans="14:15" x14ac:dyDescent="0.25">
      <c r="N163" s="28" t="s">
        <v>227</v>
      </c>
      <c r="O163" s="28" t="s">
        <v>1318</v>
      </c>
    </row>
    <row r="164" spans="14:15" x14ac:dyDescent="0.25">
      <c r="N164" s="28" t="s">
        <v>230</v>
      </c>
      <c r="O164" s="28" t="s">
        <v>1319</v>
      </c>
    </row>
    <row r="165" spans="14:15" x14ac:dyDescent="0.25">
      <c r="N165" s="28" t="s">
        <v>233</v>
      </c>
      <c r="O165" s="28" t="s">
        <v>1320</v>
      </c>
    </row>
    <row r="166" spans="14:15" x14ac:dyDescent="0.25">
      <c r="N166" s="28" t="s">
        <v>236</v>
      </c>
      <c r="O166" s="28" t="s">
        <v>1321</v>
      </c>
    </row>
    <row r="167" spans="14:15" x14ac:dyDescent="0.25">
      <c r="N167" s="28" t="s">
        <v>1322</v>
      </c>
      <c r="O167" s="28" t="s">
        <v>1323</v>
      </c>
    </row>
    <row r="168" spans="14:15" x14ac:dyDescent="0.25">
      <c r="N168" s="28" t="s">
        <v>1324</v>
      </c>
      <c r="O168" s="28" t="s">
        <v>1325</v>
      </c>
    </row>
    <row r="169" spans="14:15" x14ac:dyDescent="0.25">
      <c r="N169" s="28" t="s">
        <v>1326</v>
      </c>
      <c r="O169" s="28" t="s">
        <v>1327</v>
      </c>
    </row>
    <row r="170" spans="14:15" x14ac:dyDescent="0.25">
      <c r="N170" s="28" t="s">
        <v>1328</v>
      </c>
      <c r="O170" s="28" t="s">
        <v>1329</v>
      </c>
    </row>
    <row r="171" spans="14:15" x14ac:dyDescent="0.25">
      <c r="N171" s="28" t="s">
        <v>1330</v>
      </c>
      <c r="O171" s="28" t="s">
        <v>1331</v>
      </c>
    </row>
    <row r="172" spans="14:15" x14ac:dyDescent="0.25">
      <c r="N172" s="28" t="s">
        <v>239</v>
      </c>
      <c r="O172" s="28" t="s">
        <v>1332</v>
      </c>
    </row>
    <row r="173" spans="14:15" x14ac:dyDescent="0.25">
      <c r="N173" s="28" t="s">
        <v>1333</v>
      </c>
      <c r="O173" s="28" t="s">
        <v>1334</v>
      </c>
    </row>
    <row r="174" spans="14:15" x14ac:dyDescent="0.25">
      <c r="N174" s="28" t="s">
        <v>1335</v>
      </c>
      <c r="O174" s="28" t="s">
        <v>1331</v>
      </c>
    </row>
    <row r="175" spans="14:15" x14ac:dyDescent="0.25">
      <c r="N175" s="28" t="s">
        <v>1336</v>
      </c>
      <c r="O175" s="28" t="s">
        <v>1337</v>
      </c>
    </row>
    <row r="176" spans="14:15" x14ac:dyDescent="0.25">
      <c r="N176" s="28" t="s">
        <v>1338</v>
      </c>
      <c r="O176" s="28" t="s">
        <v>1339</v>
      </c>
    </row>
    <row r="177" spans="14:15" x14ac:dyDescent="0.25">
      <c r="N177" s="28" t="s">
        <v>1340</v>
      </c>
      <c r="O177" s="28" t="s">
        <v>1341</v>
      </c>
    </row>
    <row r="178" spans="14:15" x14ac:dyDescent="0.25">
      <c r="N178" s="28" t="s">
        <v>1342</v>
      </c>
      <c r="O178" s="28" t="s">
        <v>1343</v>
      </c>
    </row>
    <row r="179" spans="14:15" x14ac:dyDescent="0.25">
      <c r="N179" s="28" t="s">
        <v>1344</v>
      </c>
      <c r="O179" s="28" t="s">
        <v>1345</v>
      </c>
    </row>
    <row r="180" spans="14:15" x14ac:dyDescent="0.25">
      <c r="N180" s="28" t="s">
        <v>1346</v>
      </c>
      <c r="O180" s="28" t="s">
        <v>1347</v>
      </c>
    </row>
    <row r="181" spans="14:15" x14ac:dyDescent="0.25">
      <c r="N181" s="28" t="s">
        <v>1348</v>
      </c>
      <c r="O181" s="28" t="s">
        <v>1349</v>
      </c>
    </row>
    <row r="182" spans="14:15" x14ac:dyDescent="0.25">
      <c r="N182" s="28" t="s">
        <v>1350</v>
      </c>
      <c r="O182" s="28" t="s">
        <v>1351</v>
      </c>
    </row>
    <row r="183" spans="14:15" x14ac:dyDescent="0.25">
      <c r="N183" s="28" t="s">
        <v>148</v>
      </c>
      <c r="O183" s="28" t="s">
        <v>1352</v>
      </c>
    </row>
    <row r="184" spans="14:15" x14ac:dyDescent="0.25">
      <c r="N184" s="28" t="s">
        <v>144</v>
      </c>
      <c r="O184" s="28" t="s">
        <v>1353</v>
      </c>
    </row>
    <row r="185" spans="14:15" x14ac:dyDescent="0.25">
      <c r="N185" s="28" t="s">
        <v>149</v>
      </c>
      <c r="O185" s="28" t="s">
        <v>1354</v>
      </c>
    </row>
    <row r="186" spans="14:15" x14ac:dyDescent="0.25">
      <c r="N186" s="28" t="s">
        <v>145</v>
      </c>
      <c r="O186" s="28" t="s">
        <v>1355</v>
      </c>
    </row>
    <row r="187" spans="14:15" x14ac:dyDescent="0.25">
      <c r="N187" s="28" t="s">
        <v>151</v>
      </c>
      <c r="O187" s="28" t="s">
        <v>1356</v>
      </c>
    </row>
    <row r="188" spans="14:15" x14ac:dyDescent="0.25">
      <c r="N188" s="28" t="s">
        <v>1357</v>
      </c>
      <c r="O188" s="28" t="s">
        <v>1358</v>
      </c>
    </row>
    <row r="189" spans="14:15" x14ac:dyDescent="0.25">
      <c r="N189" s="28" t="s">
        <v>1359</v>
      </c>
      <c r="O189" s="28" t="s">
        <v>1360</v>
      </c>
    </row>
    <row r="190" spans="14:15" x14ac:dyDescent="0.25">
      <c r="N190" s="28" t="s">
        <v>1361</v>
      </c>
      <c r="O190" s="28" t="s">
        <v>1362</v>
      </c>
    </row>
    <row r="191" spans="14:15" x14ac:dyDescent="0.25">
      <c r="N191" s="28" t="s">
        <v>1363</v>
      </c>
      <c r="O191" s="28" t="s">
        <v>1364</v>
      </c>
    </row>
    <row r="192" spans="14:15" x14ac:dyDescent="0.25">
      <c r="N192" s="28" t="s">
        <v>1365</v>
      </c>
      <c r="O192" s="28" t="s">
        <v>1366</v>
      </c>
    </row>
    <row r="193" spans="14:15" x14ac:dyDescent="0.25">
      <c r="N193" s="28" t="s">
        <v>1367</v>
      </c>
      <c r="O193" s="28" t="s">
        <v>1368</v>
      </c>
    </row>
    <row r="194" spans="14:15" x14ac:dyDescent="0.25">
      <c r="N194" s="28" t="s">
        <v>1369</v>
      </c>
      <c r="O194" s="28" t="s">
        <v>1370</v>
      </c>
    </row>
    <row r="195" spans="14:15" x14ac:dyDescent="0.25">
      <c r="N195" s="28" t="s">
        <v>1371</v>
      </c>
      <c r="O195" s="28" t="s">
        <v>1372</v>
      </c>
    </row>
    <row r="196" spans="14:15" x14ac:dyDescent="0.25">
      <c r="N196" s="28" t="s">
        <v>1373</v>
      </c>
      <c r="O196" s="28" t="s">
        <v>1374</v>
      </c>
    </row>
    <row r="197" spans="14:15" x14ac:dyDescent="0.25">
      <c r="N197" s="28" t="s">
        <v>1375</v>
      </c>
      <c r="O197" s="28" t="s">
        <v>1376</v>
      </c>
    </row>
    <row r="198" spans="14:15" x14ac:dyDescent="0.25">
      <c r="N198" s="28" t="s">
        <v>1377</v>
      </c>
      <c r="O198" s="28" t="s">
        <v>1378</v>
      </c>
    </row>
    <row r="199" spans="14:15" x14ac:dyDescent="0.25">
      <c r="N199" s="28" t="s">
        <v>1379</v>
      </c>
      <c r="O199" s="28" t="s">
        <v>1380</v>
      </c>
    </row>
    <row r="200" spans="14:15" x14ac:dyDescent="0.25">
      <c r="N200" s="28" t="s">
        <v>1381</v>
      </c>
      <c r="O200" s="28" t="s">
        <v>1382</v>
      </c>
    </row>
    <row r="201" spans="14:15" x14ac:dyDescent="0.25">
      <c r="N201" s="28" t="s">
        <v>1383</v>
      </c>
      <c r="O201" s="28" t="s">
        <v>1384</v>
      </c>
    </row>
    <row r="202" spans="14:15" x14ac:dyDescent="0.25">
      <c r="N202" s="28" t="s">
        <v>1385</v>
      </c>
      <c r="O202" s="28" t="s">
        <v>1386</v>
      </c>
    </row>
    <row r="203" spans="14:15" x14ac:dyDescent="0.25">
      <c r="N203" s="28" t="s">
        <v>1387</v>
      </c>
      <c r="O203" s="28" t="s">
        <v>1388</v>
      </c>
    </row>
    <row r="204" spans="14:15" x14ac:dyDescent="0.25">
      <c r="N204" s="28" t="s">
        <v>1389</v>
      </c>
      <c r="O204" s="28" t="s">
        <v>1390</v>
      </c>
    </row>
    <row r="205" spans="14:15" x14ac:dyDescent="0.25">
      <c r="N205" s="28" t="s">
        <v>1391</v>
      </c>
      <c r="O205" s="28" t="s">
        <v>1101</v>
      </c>
    </row>
    <row r="206" spans="14:15" x14ac:dyDescent="0.25">
      <c r="N206" s="28" t="s">
        <v>1392</v>
      </c>
      <c r="O206" s="28" t="s">
        <v>1149</v>
      </c>
    </row>
    <row r="207" spans="14:15" x14ac:dyDescent="0.25">
      <c r="N207" s="28" t="s">
        <v>1393</v>
      </c>
      <c r="O207" s="28" t="s">
        <v>1394</v>
      </c>
    </row>
    <row r="208" spans="14:15" x14ac:dyDescent="0.25">
      <c r="N208" s="28" t="s">
        <v>1395</v>
      </c>
      <c r="O208" s="28" t="s">
        <v>1396</v>
      </c>
    </row>
    <row r="209" spans="14:15" x14ac:dyDescent="0.25">
      <c r="N209" s="28" t="s">
        <v>1397</v>
      </c>
      <c r="O209" s="28" t="s">
        <v>1398</v>
      </c>
    </row>
    <row r="210" spans="14:15" x14ac:dyDescent="0.25">
      <c r="N210" s="28" t="s">
        <v>1399</v>
      </c>
      <c r="O210" s="28" t="s">
        <v>1400</v>
      </c>
    </row>
    <row r="211" spans="14:15" x14ac:dyDescent="0.25">
      <c r="N211" s="28" t="s">
        <v>1401</v>
      </c>
      <c r="O211" s="28" t="s">
        <v>1402</v>
      </c>
    </row>
    <row r="212" spans="14:15" x14ac:dyDescent="0.25">
      <c r="N212" s="28" t="s">
        <v>1403</v>
      </c>
      <c r="O212" s="28" t="s">
        <v>1404</v>
      </c>
    </row>
    <row r="213" spans="14:15" x14ac:dyDescent="0.25">
      <c r="N213" s="28" t="s">
        <v>1405</v>
      </c>
      <c r="O213" s="28" t="s">
        <v>1406</v>
      </c>
    </row>
    <row r="214" spans="14:15" x14ac:dyDescent="0.25">
      <c r="N214" s="28" t="s">
        <v>1407</v>
      </c>
      <c r="O214" s="28" t="s">
        <v>1408</v>
      </c>
    </row>
    <row r="215" spans="14:15" x14ac:dyDescent="0.25">
      <c r="N215" s="28" t="s">
        <v>1409</v>
      </c>
      <c r="O215" s="28" t="s">
        <v>1180</v>
      </c>
    </row>
    <row r="216" spans="14:15" x14ac:dyDescent="0.25">
      <c r="N216" s="28" t="s">
        <v>1410</v>
      </c>
      <c r="O216" s="28" t="s">
        <v>1411</v>
      </c>
    </row>
    <row r="217" spans="14:15" x14ac:dyDescent="0.25">
      <c r="N217" s="28" t="s">
        <v>1412</v>
      </c>
      <c r="O217" s="28" t="s">
        <v>1413</v>
      </c>
    </row>
    <row r="218" spans="14:15" x14ac:dyDescent="0.25">
      <c r="N218" s="28" t="s">
        <v>1414</v>
      </c>
      <c r="O218" s="28" t="s">
        <v>1415</v>
      </c>
    </row>
    <row r="219" spans="14:15" x14ac:dyDescent="0.25">
      <c r="N219" s="28" t="s">
        <v>1416</v>
      </c>
      <c r="O219" s="28" t="s">
        <v>1417</v>
      </c>
    </row>
    <row r="220" spans="14:15" x14ac:dyDescent="0.25">
      <c r="N220" s="28" t="s">
        <v>1418</v>
      </c>
      <c r="O220" s="28" t="s">
        <v>1419</v>
      </c>
    </row>
    <row r="221" spans="14:15" x14ac:dyDescent="0.25">
      <c r="N221" s="28" t="s">
        <v>1420</v>
      </c>
      <c r="O221" s="28" t="s">
        <v>1332</v>
      </c>
    </row>
    <row r="222" spans="14:15" x14ac:dyDescent="0.25">
      <c r="N222" s="28" t="s">
        <v>1421</v>
      </c>
      <c r="O222" s="28" t="s">
        <v>1422</v>
      </c>
    </row>
    <row r="223" spans="14:15" x14ac:dyDescent="0.25">
      <c r="N223" s="28" t="s">
        <v>1423</v>
      </c>
      <c r="O223" s="28" t="s">
        <v>1424</v>
      </c>
    </row>
    <row r="224" spans="14:15" x14ac:dyDescent="0.25">
      <c r="N224" s="28" t="s">
        <v>1425</v>
      </c>
      <c r="O224" s="28" t="s">
        <v>1426</v>
      </c>
    </row>
    <row r="225" spans="14:15" x14ac:dyDescent="0.25">
      <c r="N225" s="28" t="s">
        <v>1427</v>
      </c>
      <c r="O225" s="28" t="s">
        <v>1428</v>
      </c>
    </row>
    <row r="226" spans="14:15" x14ac:dyDescent="0.25">
      <c r="N226" s="28" t="s">
        <v>1429</v>
      </c>
      <c r="O226" s="28" t="s">
        <v>1430</v>
      </c>
    </row>
    <row r="227" spans="14:15" x14ac:dyDescent="0.25">
      <c r="N227" s="28" t="s">
        <v>1431</v>
      </c>
      <c r="O227" s="28" t="s">
        <v>1432</v>
      </c>
    </row>
    <row r="228" spans="14:15" x14ac:dyDescent="0.25">
      <c r="N228" s="28" t="s">
        <v>1433</v>
      </c>
      <c r="O228" s="28" t="s">
        <v>1434</v>
      </c>
    </row>
    <row r="229" spans="14:15" x14ac:dyDescent="0.25">
      <c r="N229" s="28" t="s">
        <v>1435</v>
      </c>
      <c r="O229" s="28" t="s">
        <v>1436</v>
      </c>
    </row>
    <row r="230" spans="14:15" x14ac:dyDescent="0.25">
      <c r="N230" s="28" t="s">
        <v>1437</v>
      </c>
      <c r="O230" s="28" t="s">
        <v>1438</v>
      </c>
    </row>
    <row r="231" spans="14:15" x14ac:dyDescent="0.25">
      <c r="N231" s="28" t="s">
        <v>1439</v>
      </c>
      <c r="O231" s="28" t="s">
        <v>1440</v>
      </c>
    </row>
    <row r="232" spans="14:15" x14ac:dyDescent="0.25">
      <c r="N232" s="28" t="s">
        <v>1441</v>
      </c>
      <c r="O232" s="28" t="s">
        <v>1442</v>
      </c>
    </row>
    <row r="233" spans="14:15" x14ac:dyDescent="0.25">
      <c r="N233" s="28" t="s">
        <v>1443</v>
      </c>
      <c r="O233" s="28" t="s">
        <v>1444</v>
      </c>
    </row>
    <row r="234" spans="14:15" x14ac:dyDescent="0.25">
      <c r="N234" s="28" t="s">
        <v>1445</v>
      </c>
      <c r="O234" s="28" t="s">
        <v>1446</v>
      </c>
    </row>
    <row r="235" spans="14:15" x14ac:dyDescent="0.25">
      <c r="N235" s="28" t="s">
        <v>1447</v>
      </c>
      <c r="O235" s="28" t="s">
        <v>1448</v>
      </c>
    </row>
    <row r="236" spans="14:15" x14ac:dyDescent="0.25">
      <c r="N236" s="28" t="s">
        <v>1449</v>
      </c>
      <c r="O236" s="28" t="s">
        <v>1448</v>
      </c>
    </row>
    <row r="237" spans="14:15" x14ac:dyDescent="0.25">
      <c r="N237" s="28" t="s">
        <v>1450</v>
      </c>
      <c r="O237" s="28" t="s">
        <v>1209</v>
      </c>
    </row>
    <row r="238" spans="14:15" x14ac:dyDescent="0.25">
      <c r="N238" s="28" t="s">
        <v>1451</v>
      </c>
      <c r="O238" s="28" t="s">
        <v>1452</v>
      </c>
    </row>
    <row r="239" spans="14:15" x14ac:dyDescent="0.25">
      <c r="N239" s="28" t="s">
        <v>1453</v>
      </c>
      <c r="O239" s="28" t="s">
        <v>1454</v>
      </c>
    </row>
    <row r="240" spans="14:15" x14ac:dyDescent="0.25">
      <c r="N240" s="28" t="s">
        <v>1455</v>
      </c>
      <c r="O240" s="28" t="s">
        <v>1456</v>
      </c>
    </row>
    <row r="241" spans="14:15" x14ac:dyDescent="0.25">
      <c r="N241" s="28" t="s">
        <v>1457</v>
      </c>
      <c r="O241" s="28" t="s">
        <v>1458</v>
      </c>
    </row>
    <row r="242" spans="14:15" x14ac:dyDescent="0.25">
      <c r="N242" s="28" t="s">
        <v>1459</v>
      </c>
      <c r="O242" s="28" t="s">
        <v>1460</v>
      </c>
    </row>
    <row r="243" spans="14:15" x14ac:dyDescent="0.25">
      <c r="N243" s="28" t="s">
        <v>1461</v>
      </c>
      <c r="O243" s="28" t="s">
        <v>1462</v>
      </c>
    </row>
    <row r="244" spans="14:15" x14ac:dyDescent="0.25">
      <c r="N244" s="28" t="s">
        <v>1463</v>
      </c>
      <c r="O244" s="28" t="s">
        <v>1123</v>
      </c>
    </row>
    <row r="245" spans="14:15" x14ac:dyDescent="0.25">
      <c r="N245" s="28" t="s">
        <v>1464</v>
      </c>
      <c r="O245" s="28" t="s">
        <v>1465</v>
      </c>
    </row>
    <row r="246" spans="14:15" x14ac:dyDescent="0.25">
      <c r="N246" s="28" t="s">
        <v>1466</v>
      </c>
      <c r="O246" s="28" t="s">
        <v>1467</v>
      </c>
    </row>
    <row r="247" spans="14:15" x14ac:dyDescent="0.25">
      <c r="N247" s="28" t="s">
        <v>1468</v>
      </c>
      <c r="O247" s="28" t="s">
        <v>1469</v>
      </c>
    </row>
    <row r="248" spans="14:15" x14ac:dyDescent="0.25">
      <c r="N248" s="28" t="s">
        <v>1470</v>
      </c>
      <c r="O248" s="28" t="s">
        <v>1471</v>
      </c>
    </row>
    <row r="249" spans="14:15" x14ac:dyDescent="0.25">
      <c r="N249" s="28" t="s">
        <v>1472</v>
      </c>
      <c r="O249" s="28" t="s">
        <v>1473</v>
      </c>
    </row>
    <row r="250" spans="14:15" x14ac:dyDescent="0.25">
      <c r="N250" s="28" t="s">
        <v>1474</v>
      </c>
      <c r="O250" s="28" t="s">
        <v>1475</v>
      </c>
    </row>
    <row r="251" spans="14:15" x14ac:dyDescent="0.25">
      <c r="N251" s="28" t="s">
        <v>1476</v>
      </c>
      <c r="O251" s="28" t="s">
        <v>1477</v>
      </c>
    </row>
    <row r="252" spans="14:15" x14ac:dyDescent="0.25">
      <c r="N252" s="28" t="s">
        <v>1478</v>
      </c>
      <c r="O252" s="28" t="s">
        <v>1479</v>
      </c>
    </row>
    <row r="253" spans="14:15" x14ac:dyDescent="0.25">
      <c r="N253" s="28" t="s">
        <v>1480</v>
      </c>
      <c r="O253" s="28" t="s">
        <v>1481</v>
      </c>
    </row>
    <row r="254" spans="14:15" x14ac:dyDescent="0.25">
      <c r="N254" s="28" t="s">
        <v>1482</v>
      </c>
      <c r="O254" s="28" t="s">
        <v>1483</v>
      </c>
    </row>
    <row r="255" spans="14:15" x14ac:dyDescent="0.25">
      <c r="N255" s="28" t="s">
        <v>1484</v>
      </c>
      <c r="O255" s="28" t="s">
        <v>1485</v>
      </c>
    </row>
    <row r="256" spans="14:15" x14ac:dyDescent="0.25">
      <c r="N256" s="28" t="s">
        <v>1486</v>
      </c>
      <c r="O256" s="28" t="s">
        <v>1487</v>
      </c>
    </row>
    <row r="257" spans="14:15" x14ac:dyDescent="0.25">
      <c r="N257" s="28" t="s">
        <v>1488</v>
      </c>
      <c r="O257" s="28" t="s">
        <v>1489</v>
      </c>
    </row>
    <row r="258" spans="14:15" x14ac:dyDescent="0.25">
      <c r="N258" s="28" t="s">
        <v>1490</v>
      </c>
      <c r="O258" s="28" t="s">
        <v>1491</v>
      </c>
    </row>
    <row r="259" spans="14:15" x14ac:dyDescent="0.25">
      <c r="N259" s="28" t="s">
        <v>1492</v>
      </c>
      <c r="O259" s="28" t="s">
        <v>1493</v>
      </c>
    </row>
    <row r="260" spans="14:15" x14ac:dyDescent="0.25">
      <c r="N260" s="28" t="s">
        <v>1494</v>
      </c>
      <c r="O260" s="28" t="s">
        <v>1495</v>
      </c>
    </row>
    <row r="261" spans="14:15" x14ac:dyDescent="0.25">
      <c r="N261" s="28" t="s">
        <v>1496</v>
      </c>
      <c r="O261" s="28" t="s">
        <v>1497</v>
      </c>
    </row>
    <row r="262" spans="14:15" x14ac:dyDescent="0.25">
      <c r="N262" s="28" t="s">
        <v>1498</v>
      </c>
      <c r="O262" s="28" t="s">
        <v>1499</v>
      </c>
    </row>
    <row r="263" spans="14:15" x14ac:dyDescent="0.25">
      <c r="N263" s="28" t="s">
        <v>1500</v>
      </c>
      <c r="O263" s="28" t="s">
        <v>1501</v>
      </c>
    </row>
    <row r="264" spans="14:15" x14ac:dyDescent="0.25">
      <c r="N264" s="28" t="s">
        <v>1502</v>
      </c>
      <c r="O264" s="28" t="s">
        <v>1503</v>
      </c>
    </row>
    <row r="265" spans="14:15" x14ac:dyDescent="0.25">
      <c r="N265" s="28" t="s">
        <v>1504</v>
      </c>
      <c r="O265" s="28" t="s">
        <v>1505</v>
      </c>
    </row>
    <row r="266" spans="14:15" x14ac:dyDescent="0.25">
      <c r="N266" s="28" t="s">
        <v>1506</v>
      </c>
      <c r="O266" s="28" t="s">
        <v>1507</v>
      </c>
    </row>
    <row r="267" spans="14:15" x14ac:dyDescent="0.25">
      <c r="N267" s="28" t="s">
        <v>1508</v>
      </c>
      <c r="O267" s="28" t="s">
        <v>1509</v>
      </c>
    </row>
    <row r="268" spans="14:15" x14ac:dyDescent="0.25">
      <c r="N268" s="28" t="s">
        <v>1510</v>
      </c>
      <c r="O268" s="28" t="s">
        <v>1511</v>
      </c>
    </row>
    <row r="269" spans="14:15" x14ac:dyDescent="0.25">
      <c r="N269" s="28" t="s">
        <v>1512</v>
      </c>
      <c r="O269" s="28" t="s">
        <v>1513</v>
      </c>
    </row>
    <row r="270" spans="14:15" x14ac:dyDescent="0.25">
      <c r="N270" s="28" t="s">
        <v>1514</v>
      </c>
      <c r="O270" s="28" t="s">
        <v>1515</v>
      </c>
    </row>
    <row r="271" spans="14:15" x14ac:dyDescent="0.25">
      <c r="N271" s="28" t="s">
        <v>1516</v>
      </c>
      <c r="O271" s="28" t="s">
        <v>1517</v>
      </c>
    </row>
    <row r="272" spans="14:15" x14ac:dyDescent="0.25">
      <c r="N272" s="28" t="s">
        <v>1518</v>
      </c>
      <c r="O272" s="28" t="s">
        <v>1519</v>
      </c>
    </row>
    <row r="273" spans="14:15" x14ac:dyDescent="0.25">
      <c r="N273" s="28" t="s">
        <v>1520</v>
      </c>
      <c r="O273" s="28" t="s">
        <v>1521</v>
      </c>
    </row>
    <row r="274" spans="14:15" x14ac:dyDescent="0.25">
      <c r="N274" s="28" t="s">
        <v>1522</v>
      </c>
      <c r="O274" s="28" t="s">
        <v>1523</v>
      </c>
    </row>
    <row r="275" spans="14:15" x14ac:dyDescent="0.25">
      <c r="N275" s="28" t="s">
        <v>1524</v>
      </c>
      <c r="O275" s="28" t="s">
        <v>1525</v>
      </c>
    </row>
    <row r="276" spans="14:15" x14ac:dyDescent="0.25">
      <c r="N276" s="28" t="s">
        <v>1526</v>
      </c>
      <c r="O276" s="28" t="s">
        <v>1527</v>
      </c>
    </row>
    <row r="277" spans="14:15" x14ac:dyDescent="0.25">
      <c r="N277" s="28" t="s">
        <v>1528</v>
      </c>
      <c r="O277" s="28" t="s">
        <v>1529</v>
      </c>
    </row>
    <row r="278" spans="14:15" x14ac:dyDescent="0.25">
      <c r="N278" s="28" t="s">
        <v>60</v>
      </c>
      <c r="O278" s="28" t="s">
        <v>1530</v>
      </c>
    </row>
    <row r="279" spans="14:15" x14ac:dyDescent="0.25">
      <c r="N279" s="28" t="s">
        <v>73</v>
      </c>
      <c r="O279" s="28" t="s">
        <v>1530</v>
      </c>
    </row>
    <row r="280" spans="14:15" x14ac:dyDescent="0.25">
      <c r="N280" s="28" t="s">
        <v>1531</v>
      </c>
      <c r="O280" s="28" t="s">
        <v>1532</v>
      </c>
    </row>
    <row r="281" spans="14:15" x14ac:dyDescent="0.25">
      <c r="N281" s="28" t="s">
        <v>159</v>
      </c>
      <c r="O281" s="28" t="s">
        <v>1195</v>
      </c>
    </row>
    <row r="282" spans="14:15" x14ac:dyDescent="0.25">
      <c r="N282" s="28" t="s">
        <v>1533</v>
      </c>
      <c r="O282" s="28" t="s">
        <v>1534</v>
      </c>
    </row>
    <row r="283" spans="14:15" x14ac:dyDescent="0.25">
      <c r="N283" s="28" t="s">
        <v>1535</v>
      </c>
      <c r="O283" s="28" t="s">
        <v>1536</v>
      </c>
    </row>
    <row r="284" spans="14:15" x14ac:dyDescent="0.25">
      <c r="N284" s="28" t="s">
        <v>1537</v>
      </c>
      <c r="O284" s="28" t="s">
        <v>1538</v>
      </c>
    </row>
    <row r="285" spans="14:15" x14ac:dyDescent="0.25">
      <c r="N285" s="28" t="s">
        <v>1539</v>
      </c>
      <c r="O285" s="28" t="s">
        <v>1540</v>
      </c>
    </row>
    <row r="286" spans="14:15" x14ac:dyDescent="0.25">
      <c r="N286" s="28" t="s">
        <v>1541</v>
      </c>
      <c r="O286" s="28" t="s">
        <v>1542</v>
      </c>
    </row>
    <row r="287" spans="14:15" x14ac:dyDescent="0.25">
      <c r="N287" s="28" t="s">
        <v>1543</v>
      </c>
      <c r="O287" s="28" t="s">
        <v>1544</v>
      </c>
    </row>
    <row r="288" spans="14:15" x14ac:dyDescent="0.25">
      <c r="N288" s="28" t="s">
        <v>1545</v>
      </c>
      <c r="O288" s="28" t="s">
        <v>1546</v>
      </c>
    </row>
    <row r="289" spans="14:15" x14ac:dyDescent="0.25">
      <c r="N289" s="28" t="s">
        <v>1547</v>
      </c>
      <c r="O289" s="28" t="s">
        <v>1548</v>
      </c>
    </row>
    <row r="290" spans="14:15" x14ac:dyDescent="0.25">
      <c r="N290" s="28" t="s">
        <v>1549</v>
      </c>
      <c r="O290" s="28" t="s">
        <v>1550</v>
      </c>
    </row>
    <row r="291" spans="14:15" x14ac:dyDescent="0.25">
      <c r="N291" s="28" t="s">
        <v>1551</v>
      </c>
      <c r="O291" s="28" t="s">
        <v>1552</v>
      </c>
    </row>
    <row r="292" spans="14:15" x14ac:dyDescent="0.25">
      <c r="N292" s="28" t="s">
        <v>1553</v>
      </c>
      <c r="O292" s="28" t="s">
        <v>1548</v>
      </c>
    </row>
    <row r="293" spans="14:15" x14ac:dyDescent="0.25">
      <c r="N293" s="28" t="s">
        <v>1554</v>
      </c>
      <c r="O293" s="28" t="s">
        <v>1555</v>
      </c>
    </row>
    <row r="294" spans="14:15" x14ac:dyDescent="0.25">
      <c r="N294" s="28" t="s">
        <v>1556</v>
      </c>
      <c r="O294" s="28" t="s">
        <v>1557</v>
      </c>
    </row>
    <row r="295" spans="14:15" x14ac:dyDescent="0.25">
      <c r="N295" s="28" t="s">
        <v>212</v>
      </c>
      <c r="O295" s="28" t="s">
        <v>1558</v>
      </c>
    </row>
    <row r="296" spans="14:15" x14ac:dyDescent="0.25">
      <c r="N296" s="28" t="s">
        <v>1559</v>
      </c>
      <c r="O296" s="28" t="s">
        <v>1560</v>
      </c>
    </row>
    <row r="297" spans="14:15" x14ac:dyDescent="0.25">
      <c r="N297" s="28" t="s">
        <v>1561</v>
      </c>
      <c r="O297" s="28" t="s">
        <v>1562</v>
      </c>
    </row>
    <row r="298" spans="14:15" x14ac:dyDescent="0.25">
      <c r="N298" s="28" t="s">
        <v>25</v>
      </c>
      <c r="O298" s="28" t="s">
        <v>938</v>
      </c>
    </row>
    <row r="299" spans="14:15" x14ac:dyDescent="0.25">
      <c r="N299" s="28" t="s">
        <v>1563</v>
      </c>
      <c r="O299" s="28" t="s">
        <v>1564</v>
      </c>
    </row>
    <row r="300" spans="14:15" x14ac:dyDescent="0.25">
      <c r="N300" s="28" t="s">
        <v>1565</v>
      </c>
      <c r="O300" s="28" t="s">
        <v>1566</v>
      </c>
    </row>
    <row r="301" spans="14:15" x14ac:dyDescent="0.25">
      <c r="N301" s="28" t="s">
        <v>1567</v>
      </c>
      <c r="O301" s="28" t="s">
        <v>1568</v>
      </c>
    </row>
    <row r="302" spans="14:15" x14ac:dyDescent="0.25">
      <c r="N302" s="28" t="s">
        <v>1569</v>
      </c>
      <c r="O302" s="28" t="s">
        <v>1570</v>
      </c>
    </row>
    <row r="303" spans="14:15" x14ac:dyDescent="0.25">
      <c r="N303" s="28" t="s">
        <v>1571</v>
      </c>
      <c r="O303" s="28" t="s">
        <v>1289</v>
      </c>
    </row>
    <row r="304" spans="14:15" x14ac:dyDescent="0.25">
      <c r="N304" s="28" t="s">
        <v>140</v>
      </c>
      <c r="O304" s="28" t="s">
        <v>1572</v>
      </c>
    </row>
    <row r="305" spans="14:15" x14ac:dyDescent="0.25">
      <c r="N305" s="28" t="s">
        <v>1573</v>
      </c>
      <c r="O305" s="28" t="s">
        <v>1574</v>
      </c>
    </row>
    <row r="306" spans="14:15" x14ac:dyDescent="0.25">
      <c r="N306" s="28" t="s">
        <v>1575</v>
      </c>
      <c r="O306" s="28" t="s">
        <v>1576</v>
      </c>
    </row>
    <row r="307" spans="14:15" x14ac:dyDescent="0.25">
      <c r="N307" s="28" t="s">
        <v>1577</v>
      </c>
      <c r="O307" s="28" t="s">
        <v>1578</v>
      </c>
    </row>
    <row r="308" spans="14:15" x14ac:dyDescent="0.25">
      <c r="N308" s="28" t="s">
        <v>183</v>
      </c>
      <c r="O308" s="28" t="s">
        <v>1579</v>
      </c>
    </row>
    <row r="309" spans="14:15" x14ac:dyDescent="0.25">
      <c r="N309" s="28" t="s">
        <v>185</v>
      </c>
      <c r="O309" s="28" t="s">
        <v>1580</v>
      </c>
    </row>
    <row r="310" spans="14:15" x14ac:dyDescent="0.25">
      <c r="N310" s="28" t="s">
        <v>1581</v>
      </c>
      <c r="O310" s="28" t="s">
        <v>1582</v>
      </c>
    </row>
    <row r="311" spans="14:15" x14ac:dyDescent="0.25">
      <c r="N311" s="28" t="s">
        <v>1583</v>
      </c>
      <c r="O311" s="28" t="s">
        <v>1584</v>
      </c>
    </row>
    <row r="312" spans="14:15" x14ac:dyDescent="0.25">
      <c r="N312" s="28" t="s">
        <v>1585</v>
      </c>
      <c r="O312" s="28" t="s">
        <v>1211</v>
      </c>
    </row>
    <row r="313" spans="14:15" x14ac:dyDescent="0.25">
      <c r="N313" s="28" t="s">
        <v>1586</v>
      </c>
      <c r="O313" s="28" t="s">
        <v>1587</v>
      </c>
    </row>
    <row r="314" spans="14:15" x14ac:dyDescent="0.25">
      <c r="N314" s="28" t="s">
        <v>1588</v>
      </c>
      <c r="O314" s="28" t="s">
        <v>1589</v>
      </c>
    </row>
    <row r="315" spans="14:15" x14ac:dyDescent="0.25">
      <c r="N315" s="28" t="s">
        <v>1590</v>
      </c>
      <c r="O315" s="28" t="s">
        <v>1564</v>
      </c>
    </row>
    <row r="316" spans="14:15" x14ac:dyDescent="0.25">
      <c r="N316" s="28" t="s">
        <v>1591</v>
      </c>
      <c r="O316" s="28" t="s">
        <v>1207</v>
      </c>
    </row>
    <row r="317" spans="14:15" x14ac:dyDescent="0.25">
      <c r="N317" s="28" t="s">
        <v>1592</v>
      </c>
      <c r="O317" s="28" t="s">
        <v>1593</v>
      </c>
    </row>
    <row r="318" spans="14:15" x14ac:dyDescent="0.25">
      <c r="N318" s="28" t="s">
        <v>1594</v>
      </c>
      <c r="O318" s="28" t="s">
        <v>1530</v>
      </c>
    </row>
    <row r="319" spans="14:15" x14ac:dyDescent="0.25">
      <c r="N319" s="28" t="s">
        <v>184</v>
      </c>
      <c r="O319" s="28" t="s">
        <v>1595</v>
      </c>
    </row>
    <row r="320" spans="14:15" x14ac:dyDescent="0.25">
      <c r="N320" s="28" t="s">
        <v>1596</v>
      </c>
      <c r="O320" s="28" t="s">
        <v>1597</v>
      </c>
    </row>
    <row r="321" spans="14:15" x14ac:dyDescent="0.25">
      <c r="N321" s="28" t="s">
        <v>56</v>
      </c>
      <c r="O321" s="28" t="s">
        <v>1598</v>
      </c>
    </row>
    <row r="322" spans="14:15" x14ac:dyDescent="0.25">
      <c r="N322" s="28" t="s">
        <v>1599</v>
      </c>
      <c r="O322" s="28" t="s">
        <v>1207</v>
      </c>
    </row>
    <row r="323" spans="14:15" x14ac:dyDescent="0.25">
      <c r="N323" s="28" t="s">
        <v>1600</v>
      </c>
      <c r="O323" s="28" t="s">
        <v>1601</v>
      </c>
    </row>
    <row r="324" spans="14:15" x14ac:dyDescent="0.25">
      <c r="N324" s="28" t="s">
        <v>1602</v>
      </c>
      <c r="O324" s="28" t="s">
        <v>1603</v>
      </c>
    </row>
    <row r="325" spans="14:15" x14ac:dyDescent="0.25">
      <c r="N325" s="28" t="s">
        <v>224</v>
      </c>
      <c r="O325" s="28" t="s">
        <v>1603</v>
      </c>
    </row>
    <row r="326" spans="14:15" x14ac:dyDescent="0.25">
      <c r="N326" s="28" t="s">
        <v>210</v>
      </c>
      <c r="O326" s="28" t="s">
        <v>1604</v>
      </c>
    </row>
    <row r="327" spans="14:15" x14ac:dyDescent="0.25">
      <c r="N327" s="28" t="s">
        <v>1605</v>
      </c>
      <c r="O327" s="28" t="s">
        <v>1606</v>
      </c>
    </row>
    <row r="328" spans="14:15" x14ac:dyDescent="0.25">
      <c r="N328" s="28" t="s">
        <v>27</v>
      </c>
      <c r="O328" s="28" t="s">
        <v>1025</v>
      </c>
    </row>
    <row r="329" spans="14:15" x14ac:dyDescent="0.25">
      <c r="N329" s="28" t="s">
        <v>118</v>
      </c>
      <c r="O329" s="28" t="s">
        <v>1607</v>
      </c>
    </row>
    <row r="330" spans="14:15" x14ac:dyDescent="0.25">
      <c r="N330" s="28" t="s">
        <v>1608</v>
      </c>
      <c r="O330" s="28" t="s">
        <v>1204</v>
      </c>
    </row>
    <row r="331" spans="14:15" x14ac:dyDescent="0.25">
      <c r="N331" s="28" t="s">
        <v>1609</v>
      </c>
      <c r="O331" s="28" t="s">
        <v>1610</v>
      </c>
    </row>
    <row r="332" spans="14:15" x14ac:dyDescent="0.25">
      <c r="N332" s="28" t="s">
        <v>64</v>
      </c>
      <c r="O332" s="28" t="s">
        <v>1611</v>
      </c>
    </row>
    <row r="333" spans="14:15" x14ac:dyDescent="0.25">
      <c r="N333" s="28" t="s">
        <v>62</v>
      </c>
      <c r="O333" s="28" t="s">
        <v>1612</v>
      </c>
    </row>
    <row r="334" spans="14:15" x14ac:dyDescent="0.25">
      <c r="N334" s="28" t="s">
        <v>77</v>
      </c>
      <c r="O334" s="28" t="s">
        <v>1613</v>
      </c>
    </row>
    <row r="335" spans="14:15" x14ac:dyDescent="0.25">
      <c r="N335" s="28" t="s">
        <v>75</v>
      </c>
      <c r="O335" s="28" t="s">
        <v>1614</v>
      </c>
    </row>
    <row r="336" spans="14:15" x14ac:dyDescent="0.25">
      <c r="N336" s="28" t="s">
        <v>1615</v>
      </c>
      <c r="O336" s="28" t="s">
        <v>1616</v>
      </c>
    </row>
    <row r="337" spans="14:15" x14ac:dyDescent="0.25">
      <c r="N337" s="28" t="s">
        <v>1617</v>
      </c>
      <c r="O337" s="28" t="s">
        <v>1618</v>
      </c>
    </row>
    <row r="338" spans="14:15" x14ac:dyDescent="0.25">
      <c r="N338" s="28" t="s">
        <v>1619</v>
      </c>
      <c r="O338" s="28" t="s">
        <v>1620</v>
      </c>
    </row>
    <row r="339" spans="14:15" x14ac:dyDescent="0.25">
      <c r="N339" s="28" t="s">
        <v>1621</v>
      </c>
      <c r="O339" s="28" t="s">
        <v>1622</v>
      </c>
    </row>
    <row r="340" spans="14:15" x14ac:dyDescent="0.25">
      <c r="N340" s="28" t="s">
        <v>1623</v>
      </c>
      <c r="O340" s="28" t="s">
        <v>1624</v>
      </c>
    </row>
    <row r="341" spans="14:15" x14ac:dyDescent="0.25">
      <c r="N341" s="28" t="s">
        <v>1625</v>
      </c>
      <c r="O341" s="28" t="s">
        <v>1626</v>
      </c>
    </row>
    <row r="342" spans="14:15" x14ac:dyDescent="0.25">
      <c r="N342" s="28" t="s">
        <v>222</v>
      </c>
      <c r="O342" s="28" t="s">
        <v>221</v>
      </c>
    </row>
    <row r="343" spans="14:15" x14ac:dyDescent="0.25">
      <c r="N343" s="28" t="s">
        <v>1627</v>
      </c>
      <c r="O343" s="28" t="s">
        <v>1628</v>
      </c>
    </row>
    <row r="344" spans="14:15" x14ac:dyDescent="0.25">
      <c r="N344" s="28" t="s">
        <v>1629</v>
      </c>
      <c r="O344" s="28" t="s">
        <v>1630</v>
      </c>
    </row>
    <row r="345" spans="14:15" x14ac:dyDescent="0.25">
      <c r="N345" s="28" t="s">
        <v>1631</v>
      </c>
      <c r="O345" s="28" t="s">
        <v>1630</v>
      </c>
    </row>
    <row r="346" spans="14:15" x14ac:dyDescent="0.25">
      <c r="N346" s="28" t="s">
        <v>1632</v>
      </c>
      <c r="O346" s="28" t="s">
        <v>1633</v>
      </c>
    </row>
    <row r="347" spans="14:15" x14ac:dyDescent="0.25">
      <c r="N347" s="28" t="s">
        <v>1634</v>
      </c>
      <c r="O347" s="28" t="s">
        <v>1635</v>
      </c>
    </row>
    <row r="348" spans="14:15" x14ac:dyDescent="0.25">
      <c r="N348" s="28" t="s">
        <v>1636</v>
      </c>
      <c r="O348" s="28" t="s">
        <v>1637</v>
      </c>
    </row>
    <row r="349" spans="14:15" x14ac:dyDescent="0.25">
      <c r="N349" s="28" t="s">
        <v>1638</v>
      </c>
      <c r="O349" s="28" t="s">
        <v>1639</v>
      </c>
    </row>
    <row r="350" spans="14:15" x14ac:dyDescent="0.25">
      <c r="N350" s="28" t="s">
        <v>1171</v>
      </c>
      <c r="O350" s="28" t="s">
        <v>1607</v>
      </c>
    </row>
    <row r="351" spans="14:15" x14ac:dyDescent="0.25">
      <c r="N351" s="28" t="s">
        <v>119</v>
      </c>
      <c r="O351" s="28" t="s">
        <v>1294</v>
      </c>
    </row>
    <row r="352" spans="14:15" x14ac:dyDescent="0.25">
      <c r="N352" s="28" t="s">
        <v>121</v>
      </c>
      <c r="O352" s="28" t="s">
        <v>1640</v>
      </c>
    </row>
    <row r="353" spans="14:15" x14ac:dyDescent="0.25">
      <c r="N353" s="28" t="s">
        <v>1641</v>
      </c>
      <c r="O353" s="28" t="s">
        <v>1642</v>
      </c>
    </row>
    <row r="354" spans="14:15" x14ac:dyDescent="0.25">
      <c r="N354" s="28" t="s">
        <v>1643</v>
      </c>
      <c r="O354" s="28" t="s">
        <v>1644</v>
      </c>
    </row>
    <row r="355" spans="14:15" x14ac:dyDescent="0.25">
      <c r="N355" s="28" t="s">
        <v>1645</v>
      </c>
      <c r="O355" s="28" t="s">
        <v>1646</v>
      </c>
    </row>
    <row r="356" spans="14:15" x14ac:dyDescent="0.25">
      <c r="N356" s="28" t="s">
        <v>1647</v>
      </c>
      <c r="O356" s="28" t="s">
        <v>1022</v>
      </c>
    </row>
    <row r="357" spans="14:15" x14ac:dyDescent="0.25">
      <c r="N357" s="28" t="s">
        <v>1648</v>
      </c>
      <c r="O357" s="28" t="s">
        <v>1649</v>
      </c>
    </row>
  </sheetData>
  <sortState xmlns:xlrd2="http://schemas.microsoft.com/office/spreadsheetml/2017/richdata2" ref="A1:A9">
    <sortCondition ref="A1:A9"/>
  </sortState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A0A2-E672-48EF-9615-B4F57E969DE1}">
  <sheetPr codeName="Planilha8"/>
  <dimension ref="A1:H42"/>
  <sheetViews>
    <sheetView showGridLines="0" topLeftCell="A15" workbookViewId="0">
      <selection activeCell="H14" sqref="H14"/>
    </sheetView>
  </sheetViews>
  <sheetFormatPr defaultRowHeight="15" x14ac:dyDescent="0.25"/>
  <cols>
    <col min="1" max="1" width="22.42578125" style="9" customWidth="1"/>
    <col min="2" max="2" width="11" style="9" customWidth="1"/>
    <col min="3" max="4" width="12.42578125" style="9" bestFit="1" customWidth="1"/>
    <col min="5" max="5" width="16.5703125" bestFit="1" customWidth="1"/>
    <col min="6" max="6" width="53.5703125" bestFit="1" customWidth="1"/>
    <col min="7" max="7" width="42.42578125" bestFit="1" customWidth="1"/>
    <col min="8" max="8" width="20.42578125" bestFit="1" customWidth="1"/>
    <col min="9" max="10" width="9.42578125" bestFit="1" customWidth="1"/>
  </cols>
  <sheetData>
    <row r="1" spans="1:8" ht="36" x14ac:dyDescent="0.55000000000000004">
      <c r="A1" s="27" t="s">
        <v>1650</v>
      </c>
      <c r="B1" s="25"/>
      <c r="C1" s="25"/>
      <c r="D1" s="25"/>
      <c r="E1" s="23"/>
      <c r="F1" s="23"/>
      <c r="G1" s="23"/>
      <c r="H1" s="23"/>
    </row>
    <row r="3" spans="1:8" x14ac:dyDescent="0.25">
      <c r="A3" s="87" t="s">
        <v>837</v>
      </c>
      <c r="B3" s="89"/>
      <c r="C3" s="89"/>
      <c r="D3" s="89"/>
      <c r="E3" s="88" t="s">
        <v>838</v>
      </c>
      <c r="F3" s="88"/>
      <c r="G3" s="88"/>
      <c r="H3" s="88"/>
    </row>
    <row r="4" spans="1:8" x14ac:dyDescent="0.25">
      <c r="A4" s="26" t="s">
        <v>839</v>
      </c>
      <c r="B4" s="26" t="s">
        <v>840</v>
      </c>
      <c r="C4" s="26" t="s">
        <v>841</v>
      </c>
      <c r="D4" s="26" t="s">
        <v>842</v>
      </c>
      <c r="E4" s="20" t="s">
        <v>843</v>
      </c>
      <c r="F4" s="20" t="s">
        <v>844</v>
      </c>
      <c r="G4" s="20" t="s">
        <v>845</v>
      </c>
      <c r="H4" s="20" t="s">
        <v>846</v>
      </c>
    </row>
    <row r="5" spans="1:8" x14ac:dyDescent="0.25">
      <c r="A5" s="6" t="s">
        <v>1651</v>
      </c>
      <c r="D5" s="10">
        <v>45945</v>
      </c>
      <c r="E5" s="6" t="e" cm="1">
        <f t="array" aca="1" ref="E5" ca="1">_xlfn.XLOOKUP(Tabela68[[#This Row],[ID Teste]],Tabela3[[#All],[ID]],Tabela3[[#All],[Status]],"")</f>
        <v>#NAME?</v>
      </c>
      <c r="F5" s="6" t="e" cm="1">
        <f t="array" aca="1" ref="F5" ca="1">_xlfn.XLOOKUP(Tabela68[[#This Row],[ID Teste]],Tabela3[[#All],[ID]],Tabela3[[#All],[Cenário]],"")</f>
        <v>#NAME?</v>
      </c>
      <c r="G5" s="6" t="s">
        <v>1652</v>
      </c>
      <c r="H5" s="6" t="e" cm="1">
        <f t="array" aca="1" ref="H5" ca="1">_xlfn.XLOOKUP(Tabela68[[#This Row],[ID Teste]],Tabela3[[#All],[ID]],Tabela3[[#All],[Responsável]],"")</f>
        <v>#NAME?</v>
      </c>
    </row>
    <row r="6" spans="1:8" x14ac:dyDescent="0.25">
      <c r="A6" s="6" t="s">
        <v>1653</v>
      </c>
      <c r="D6" s="10">
        <v>45959</v>
      </c>
      <c r="E6" s="6" t="s">
        <v>260</v>
      </c>
      <c r="F6" s="6" t="s">
        <v>747</v>
      </c>
      <c r="G6" s="6" t="s">
        <v>1654</v>
      </c>
      <c r="H6" s="6" t="s">
        <v>312</v>
      </c>
    </row>
    <row r="7" spans="1:8" x14ac:dyDescent="0.25">
      <c r="A7" s="6" t="s">
        <v>1655</v>
      </c>
      <c r="C7" s="9" t="s">
        <v>1656</v>
      </c>
      <c r="D7" s="10">
        <v>45959</v>
      </c>
      <c r="E7" s="6" t="s">
        <v>260</v>
      </c>
      <c r="F7" s="6" t="s">
        <v>762</v>
      </c>
      <c r="G7" s="6" t="s">
        <v>1657</v>
      </c>
      <c r="H7" s="6" t="s">
        <v>310</v>
      </c>
    </row>
    <row r="8" spans="1:8" x14ac:dyDescent="0.25">
      <c r="A8" s="6" t="s">
        <v>1658</v>
      </c>
      <c r="C8" s="9" t="s">
        <v>1656</v>
      </c>
      <c r="D8" s="10">
        <v>45959</v>
      </c>
      <c r="E8" s="6" t="s">
        <v>260</v>
      </c>
      <c r="F8" s="6" t="s">
        <v>747</v>
      </c>
      <c r="G8" s="6" t="s">
        <v>1659</v>
      </c>
      <c r="H8" s="6" t="s">
        <v>310</v>
      </c>
    </row>
    <row r="9" spans="1:8" x14ac:dyDescent="0.25">
      <c r="A9" s="57" t="s">
        <v>1660</v>
      </c>
      <c r="D9" s="10">
        <v>45788</v>
      </c>
      <c r="E9" s="6" t="s">
        <v>260</v>
      </c>
      <c r="F9" s="6" t="s">
        <v>355</v>
      </c>
      <c r="G9" s="6" t="s">
        <v>1661</v>
      </c>
      <c r="H9" s="6" t="s">
        <v>310</v>
      </c>
    </row>
    <row r="10" spans="1:8" x14ac:dyDescent="0.25">
      <c r="A10" s="6" t="s">
        <v>1662</v>
      </c>
      <c r="D10" s="36">
        <v>45972</v>
      </c>
      <c r="E10" s="6" t="s">
        <v>260</v>
      </c>
      <c r="F10" s="6" t="s">
        <v>736</v>
      </c>
      <c r="G10" s="6">
        <v>0</v>
      </c>
      <c r="H10" s="6" t="s">
        <v>270</v>
      </c>
    </row>
    <row r="11" spans="1:8" x14ac:dyDescent="0.25">
      <c r="A11" s="6"/>
      <c r="E11" s="6" t="e" cm="1">
        <f t="array" aca="1" ref="E11" ca="1">_xlfn.XLOOKUP(Tabela68[[#This Row],[ID Teste]],Tabela3[[#All],[ID]],Tabela3[[#All],[Status]],"")</f>
        <v>#NAME?</v>
      </c>
      <c r="F11" s="6" t="e" cm="1">
        <f t="array" aca="1" ref="F11" ca="1">_xlfn.XLOOKUP(Tabela68[[#This Row],[ID Teste]],Tabela3[[#All],[ID]],Tabela3[[#All],[Cenário]],"")</f>
        <v>#NAME?</v>
      </c>
      <c r="G11" s="6" t="e" cm="1">
        <f t="array" aca="1" ref="G11" ca="1">_xlfn.XLOOKUP(Tabela68[[#This Row],[ID Teste]],Tabela3[[#All],[ID]],Tabela3[[#All],[Observação]],"")</f>
        <v>#NAME?</v>
      </c>
      <c r="H11" s="6" t="e" cm="1">
        <f t="array" aca="1" ref="H11" ca="1">_xlfn.XLOOKUP(Tabela68[[#This Row],[ID Teste]],Tabela3[[#All],[ID]],Tabela3[[#All],[Responsável]],"")</f>
        <v>#NAME?</v>
      </c>
    </row>
    <row r="12" spans="1:8" x14ac:dyDescent="0.25">
      <c r="A12" s="6"/>
      <c r="E12" s="6" t="e" cm="1">
        <f t="array" aca="1" ref="E12" ca="1">_xlfn.XLOOKUP(Tabela68[[#This Row],[ID Teste]],Tabela3[[#All],[ID]],Tabela3[[#All],[Status]],"")</f>
        <v>#NAME?</v>
      </c>
      <c r="F12" s="6" t="e" cm="1">
        <f t="array" aca="1" ref="F12" ca="1">_xlfn.XLOOKUP(Tabela68[[#This Row],[ID Teste]],Tabela3[[#All],[ID]],Tabela3[[#All],[Cenário]],"")</f>
        <v>#NAME?</v>
      </c>
      <c r="G12" s="6" t="e" cm="1">
        <f t="array" aca="1" ref="G12" ca="1">_xlfn.XLOOKUP(Tabela68[[#This Row],[ID Teste]],Tabela3[[#All],[ID]],Tabela3[[#All],[Observação]],"")</f>
        <v>#NAME?</v>
      </c>
      <c r="H12" s="6" t="e" cm="1">
        <f t="array" aca="1" ref="H12" ca="1">_xlfn.XLOOKUP(Tabela68[[#This Row],[ID Teste]],Tabela3[[#All],[ID]],Tabela3[[#All],[Responsável]],"")</f>
        <v>#NAME?</v>
      </c>
    </row>
    <row r="13" spans="1:8" x14ac:dyDescent="0.25">
      <c r="A13" s="6"/>
      <c r="E13" s="6" t="e" cm="1">
        <f t="array" aca="1" ref="E13" ca="1">_xlfn.XLOOKUP(Tabela68[[#This Row],[ID Teste]],Tabela3[[#All],[ID]],Tabela3[[#All],[Status]],"")</f>
        <v>#NAME?</v>
      </c>
      <c r="F13" s="6" t="e" cm="1">
        <f t="array" aca="1" ref="F13" ca="1">_xlfn.XLOOKUP(Tabela68[[#This Row],[ID Teste]],Tabela3[[#All],[ID]],Tabela3[[#All],[Cenário]],"")</f>
        <v>#NAME?</v>
      </c>
      <c r="G13" s="6" t="e" cm="1">
        <f t="array" aca="1" ref="G13" ca="1">_xlfn.XLOOKUP(Tabela68[[#This Row],[ID Teste]],Tabela3[[#All],[ID]],Tabela3[[#All],[Observação]],"")</f>
        <v>#NAME?</v>
      </c>
      <c r="H13" s="6" t="e" cm="1">
        <f t="array" aca="1" ref="H13" ca="1">_xlfn.XLOOKUP(Tabela68[[#This Row],[ID Teste]],Tabela3[[#All],[ID]],Tabela3[[#All],[Responsável]],"")</f>
        <v>#NAME?</v>
      </c>
    </row>
    <row r="14" spans="1:8" x14ac:dyDescent="0.25">
      <c r="E14" s="6" t="e" cm="1">
        <f t="array" aca="1" ref="E14" ca="1">_xlfn.XLOOKUP(Tabela68[[#This Row],[ID Teste]],Tabela3[[#All],[ID]],Tabela3[[#All],[Status]],"")</f>
        <v>#NAME?</v>
      </c>
      <c r="F14" s="6" t="e" cm="1">
        <f t="array" aca="1" ref="F14" ca="1">_xlfn.XLOOKUP(Tabela68[[#This Row],[ID Teste]],Tabela3[[#All],[ID]],Tabela3[[#All],[Cenário]],"")</f>
        <v>#NAME?</v>
      </c>
      <c r="G14" s="6" t="e" cm="1">
        <f t="array" aca="1" ref="G14" ca="1">_xlfn.XLOOKUP(Tabela68[[#This Row],[ID Teste]],Tabela3[[#All],[ID]],Tabela3[[#All],[Observação]],"")</f>
        <v>#NAME?</v>
      </c>
      <c r="H14" s="6" t="e" cm="1">
        <f t="array" aca="1" ref="H14" ca="1">_xlfn.XLOOKUP(Tabela68[[#This Row],[ID Teste]],Tabela3[[#All],[ID]],Tabela3[[#All],[Responsável]],"")</f>
        <v>#NAME?</v>
      </c>
    </row>
    <row r="15" spans="1:8" x14ac:dyDescent="0.25">
      <c r="E15" s="6" t="e" cm="1">
        <f t="array" aca="1" ref="E15" ca="1">_xlfn.XLOOKUP(Tabela68[[#This Row],[ID Teste]],Tabela3[[#All],[ID]],Tabela3[[#All],[Status]],"")</f>
        <v>#NAME?</v>
      </c>
      <c r="F15" s="6" t="e" cm="1">
        <f t="array" aca="1" ref="F15" ca="1">_xlfn.XLOOKUP(Tabela68[[#This Row],[ID Teste]],Tabela3[[#All],[ID]],Tabela3[[#All],[Cenário]],"")</f>
        <v>#NAME?</v>
      </c>
      <c r="G15" s="6" t="e" cm="1">
        <f t="array" aca="1" ref="G15" ca="1">_xlfn.XLOOKUP(Tabela68[[#This Row],[ID Teste]],Tabela3[[#All],[ID]],Tabela3[[#All],[Observação]],"")</f>
        <v>#NAME?</v>
      </c>
      <c r="H15" s="6" t="e" cm="1">
        <f t="array" aca="1" ref="H15" ca="1">_xlfn.XLOOKUP(Tabela68[[#This Row],[ID Teste]],Tabela3[[#All],[ID]],Tabela3[[#All],[Responsável]],"")</f>
        <v>#NAME?</v>
      </c>
    </row>
    <row r="16" spans="1:8" x14ac:dyDescent="0.25">
      <c r="E16" s="6" t="e" cm="1">
        <f t="array" aca="1" ref="E16" ca="1">_xlfn.XLOOKUP(Tabela68[[#This Row],[ID Teste]],Tabela3[[#All],[ID]],Tabela3[[#All],[Status]],"")</f>
        <v>#NAME?</v>
      </c>
      <c r="F16" s="6" t="e" cm="1">
        <f t="array" aca="1" ref="F16" ca="1">_xlfn.XLOOKUP(Tabela68[[#This Row],[ID Teste]],Tabela3[[#All],[ID]],Tabela3[[#All],[Cenário]],"")</f>
        <v>#NAME?</v>
      </c>
      <c r="G16" s="6" t="e" cm="1">
        <f t="array" aca="1" ref="G16" ca="1">_xlfn.XLOOKUP(Tabela68[[#This Row],[ID Teste]],Tabela3[[#All],[ID]],Tabela3[[#All],[Observação]],"")</f>
        <v>#NAME?</v>
      </c>
      <c r="H16" s="6" t="e" cm="1">
        <f t="array" aca="1" ref="H16" ca="1">_xlfn.XLOOKUP(Tabela68[[#This Row],[ID Teste]],Tabela3[[#All],[ID]],Tabela3[[#All],[Responsável]],"")</f>
        <v>#NAME?</v>
      </c>
    </row>
    <row r="17" spans="5:8" x14ac:dyDescent="0.25">
      <c r="E17" s="6" t="e" cm="1">
        <f t="array" aca="1" ref="E17" ca="1">_xlfn.XLOOKUP(Tabela68[[#This Row],[ID Teste]],Tabela3[[#All],[ID]],Tabela3[[#All],[Status]],"")</f>
        <v>#NAME?</v>
      </c>
      <c r="F17" s="6" t="e" cm="1">
        <f t="array" aca="1" ref="F17" ca="1">_xlfn.XLOOKUP(Tabela68[[#This Row],[ID Teste]],Tabela3[[#All],[ID]],Tabela3[[#All],[Cenário]],"")</f>
        <v>#NAME?</v>
      </c>
      <c r="G17" s="6" t="e" cm="1">
        <f t="array" aca="1" ref="G17" ca="1">_xlfn.XLOOKUP(Tabela68[[#This Row],[ID Teste]],Tabela3[[#All],[ID]],Tabela3[[#All],[Observação]],"")</f>
        <v>#NAME?</v>
      </c>
      <c r="H17" s="6" t="e" cm="1">
        <f t="array" aca="1" ref="H17" ca="1">_xlfn.XLOOKUP(Tabela68[[#This Row],[ID Teste]],Tabela3[[#All],[ID]],Tabela3[[#All],[Responsável]],"")</f>
        <v>#NAME?</v>
      </c>
    </row>
    <row r="18" spans="5:8" x14ac:dyDescent="0.25">
      <c r="E18" s="6" t="e" cm="1">
        <f t="array" aca="1" ref="E18" ca="1">_xlfn.XLOOKUP(Tabela68[[#This Row],[ID Teste]],Tabela3[[#All],[ID]],Tabela3[[#All],[Status]],"")</f>
        <v>#NAME?</v>
      </c>
      <c r="F18" s="6" t="e" cm="1">
        <f t="array" aca="1" ref="F18" ca="1">_xlfn.XLOOKUP(Tabela68[[#This Row],[ID Teste]],Tabela3[[#All],[ID]],Tabela3[[#All],[Cenário]],"")</f>
        <v>#NAME?</v>
      </c>
      <c r="G18" s="6" t="e" cm="1">
        <f t="array" aca="1" ref="G18" ca="1">_xlfn.XLOOKUP(Tabela68[[#This Row],[ID Teste]],Tabela3[[#All],[ID]],Tabela3[[#All],[Observação]],"")</f>
        <v>#NAME?</v>
      </c>
      <c r="H18" s="6" t="e" cm="1">
        <f t="array" aca="1" ref="H18" ca="1">_xlfn.XLOOKUP(Tabela68[[#This Row],[ID Teste]],Tabela3[[#All],[ID]],Tabela3[[#All],[Responsável]],"")</f>
        <v>#NAME?</v>
      </c>
    </row>
    <row r="19" spans="5:8" x14ac:dyDescent="0.25">
      <c r="E19" s="6" t="e" cm="1">
        <f t="array" aca="1" ref="E19" ca="1">_xlfn.XLOOKUP(Tabela68[[#This Row],[ID Teste]],Tabela3[[#All],[ID]],Tabela3[[#All],[Status]],"")</f>
        <v>#NAME?</v>
      </c>
      <c r="F19" s="6" t="e" cm="1">
        <f t="array" aca="1" ref="F19" ca="1">_xlfn.XLOOKUP(Tabela68[[#This Row],[ID Teste]],Tabela3[[#All],[ID]],Tabela3[[#All],[Cenário]],"")</f>
        <v>#NAME?</v>
      </c>
      <c r="G19" s="6" t="e" cm="1">
        <f t="array" aca="1" ref="G19" ca="1">_xlfn.XLOOKUP(Tabela68[[#This Row],[ID Teste]],Tabela3[[#All],[ID]],Tabela3[[#All],[Observação]],"")</f>
        <v>#NAME?</v>
      </c>
      <c r="H19" s="6" t="e" cm="1">
        <f t="array" aca="1" ref="H19" ca="1">_xlfn.XLOOKUP(Tabela68[[#This Row],[ID Teste]],Tabela3[[#All],[ID]],Tabela3[[#All],[Responsável]],"")</f>
        <v>#NAME?</v>
      </c>
    </row>
    <row r="20" spans="5:8" x14ac:dyDescent="0.25">
      <c r="E20" s="6" t="e" cm="1">
        <f t="array" aca="1" ref="E20" ca="1">_xlfn.XLOOKUP(Tabela68[[#This Row],[ID Teste]],Tabela3[[#All],[ID]],Tabela3[[#All],[Status]],"")</f>
        <v>#NAME?</v>
      </c>
      <c r="F20" s="6" t="e" cm="1">
        <f t="array" aca="1" ref="F20" ca="1">_xlfn.XLOOKUP(Tabela68[[#This Row],[ID Teste]],Tabela3[[#All],[ID]],Tabela3[[#All],[Cenário]],"")</f>
        <v>#NAME?</v>
      </c>
      <c r="G20" s="6" t="e" cm="1">
        <f t="array" aca="1" ref="G20" ca="1">_xlfn.XLOOKUP(Tabela68[[#This Row],[ID Teste]],Tabela3[[#All],[ID]],Tabela3[[#All],[Observação]],"")</f>
        <v>#NAME?</v>
      </c>
      <c r="H20" s="6" t="e" cm="1">
        <f t="array" aca="1" ref="H20" ca="1">_xlfn.XLOOKUP(Tabela68[[#This Row],[ID Teste]],Tabela3[[#All],[ID]],Tabela3[[#All],[Responsável]],"")</f>
        <v>#NAME?</v>
      </c>
    </row>
    <row r="21" spans="5:8" x14ac:dyDescent="0.25">
      <c r="E21" s="6" t="e" cm="1">
        <f t="array" aca="1" ref="E21" ca="1">_xlfn.XLOOKUP(Tabela68[[#This Row],[ID Teste]],Tabela3[[#All],[ID]],Tabela3[[#All],[Status]],"")</f>
        <v>#NAME?</v>
      </c>
      <c r="F21" s="6" t="e" cm="1">
        <f t="array" aca="1" ref="F21" ca="1">_xlfn.XLOOKUP(Tabela68[[#This Row],[ID Teste]],Tabela3[[#All],[ID]],Tabela3[[#All],[Cenário]],"")</f>
        <v>#NAME?</v>
      </c>
      <c r="G21" s="6" t="e" cm="1">
        <f t="array" aca="1" ref="G21" ca="1">_xlfn.XLOOKUP(Tabela68[[#This Row],[ID Teste]],Tabela3[[#All],[ID]],Tabela3[[#All],[Observação]],"")</f>
        <v>#NAME?</v>
      </c>
      <c r="H21" s="6" t="e" cm="1">
        <f t="array" aca="1" ref="H21" ca="1">_xlfn.XLOOKUP(Tabela68[[#This Row],[ID Teste]],Tabela3[[#All],[ID]],Tabela3[[#All],[Responsável]],"")</f>
        <v>#NAME?</v>
      </c>
    </row>
    <row r="22" spans="5:8" x14ac:dyDescent="0.25">
      <c r="E22" s="6" t="e" cm="1">
        <f t="array" aca="1" ref="E22" ca="1">_xlfn.XLOOKUP(Tabela68[[#This Row],[ID Teste]],Tabela3[[#All],[ID]],Tabela3[[#All],[Status]],"")</f>
        <v>#NAME?</v>
      </c>
      <c r="F22" s="6" t="e" cm="1">
        <f t="array" aca="1" ref="F22" ca="1">_xlfn.XLOOKUP(Tabela68[[#This Row],[ID Teste]],Tabela3[[#All],[ID]],Tabela3[[#All],[Cenário]],"")</f>
        <v>#NAME?</v>
      </c>
      <c r="G22" s="6" t="e" cm="1">
        <f t="array" aca="1" ref="G22" ca="1">_xlfn.XLOOKUP(Tabela68[[#This Row],[ID Teste]],Tabela3[[#All],[ID]],Tabela3[[#All],[Observação]],"")</f>
        <v>#NAME?</v>
      </c>
      <c r="H22" s="6" t="e" cm="1">
        <f t="array" aca="1" ref="H22" ca="1">_xlfn.XLOOKUP(Tabela68[[#This Row],[ID Teste]],Tabela3[[#All],[ID]],Tabela3[[#All],[Responsável]],"")</f>
        <v>#NAME?</v>
      </c>
    </row>
    <row r="23" spans="5:8" x14ac:dyDescent="0.25">
      <c r="E23" s="6" t="e" cm="1">
        <f t="array" aca="1" ref="E23" ca="1">_xlfn.XLOOKUP(Tabela68[[#This Row],[ID Teste]],Tabela3[[#All],[ID]],Tabela3[[#All],[Status]],"")</f>
        <v>#NAME?</v>
      </c>
      <c r="F23" s="6" t="e" cm="1">
        <f t="array" aca="1" ref="F23" ca="1">_xlfn.XLOOKUP(Tabela68[[#This Row],[ID Teste]],Tabela3[[#All],[ID]],Tabela3[[#All],[Cenário]],"")</f>
        <v>#NAME?</v>
      </c>
      <c r="G23" s="6" t="e" cm="1">
        <f t="array" aca="1" ref="G23" ca="1">_xlfn.XLOOKUP(Tabela68[[#This Row],[ID Teste]],Tabela3[[#All],[ID]],Tabela3[[#All],[Observação]],"")</f>
        <v>#NAME?</v>
      </c>
      <c r="H23" s="6" t="e" cm="1">
        <f t="array" aca="1" ref="H23" ca="1">_xlfn.XLOOKUP(Tabela68[[#This Row],[ID Teste]],Tabela3[[#All],[ID]],Tabela3[[#All],[Responsável]],"")</f>
        <v>#NAME?</v>
      </c>
    </row>
    <row r="24" spans="5:8" x14ac:dyDescent="0.25">
      <c r="E24" s="6" t="e" cm="1">
        <f t="array" aca="1" ref="E24" ca="1">_xlfn.XLOOKUP(Tabela68[[#This Row],[ID Teste]],Tabela3[[#All],[ID]],Tabela3[[#All],[Status]],"")</f>
        <v>#NAME?</v>
      </c>
      <c r="F24" s="6" t="e" cm="1">
        <f t="array" aca="1" ref="F24" ca="1">_xlfn.XLOOKUP(Tabela68[[#This Row],[ID Teste]],Tabela3[[#All],[ID]],Tabela3[[#All],[Cenário]],"")</f>
        <v>#NAME?</v>
      </c>
      <c r="G24" s="6" t="e" cm="1">
        <f t="array" aca="1" ref="G24" ca="1">_xlfn.XLOOKUP(Tabela68[[#This Row],[ID Teste]],Tabela3[[#All],[ID]],Tabela3[[#All],[Observação]],"")</f>
        <v>#NAME?</v>
      </c>
      <c r="H24" s="6" t="e" cm="1">
        <f t="array" aca="1" ref="H24" ca="1">_xlfn.XLOOKUP(Tabela68[[#This Row],[ID Teste]],Tabela3[[#All],[ID]],Tabela3[[#All],[Responsável]],"")</f>
        <v>#NAME?</v>
      </c>
    </row>
    <row r="25" spans="5:8" x14ac:dyDescent="0.25">
      <c r="E25" s="6" t="e" cm="1">
        <f t="array" aca="1" ref="E25" ca="1">_xlfn.XLOOKUP(Tabela68[[#This Row],[ID Teste]],Tabela3[[#All],[ID]],Tabela3[[#All],[Status]],"")</f>
        <v>#NAME?</v>
      </c>
      <c r="F25" s="6" t="e" cm="1">
        <f t="array" aca="1" ref="F25" ca="1">_xlfn.XLOOKUP(Tabela68[[#This Row],[ID Teste]],Tabela3[[#All],[ID]],Tabela3[[#All],[Cenário]],"")</f>
        <v>#NAME?</v>
      </c>
      <c r="G25" s="6" t="e" cm="1">
        <f t="array" aca="1" ref="G25" ca="1">_xlfn.XLOOKUP(Tabela68[[#This Row],[ID Teste]],Tabela3[[#All],[ID]],Tabela3[[#All],[Observação]],"")</f>
        <v>#NAME?</v>
      </c>
      <c r="H25" s="6" t="e" cm="1">
        <f t="array" aca="1" ref="H25" ca="1">_xlfn.XLOOKUP(Tabela68[[#This Row],[ID Teste]],Tabela3[[#All],[ID]],Tabela3[[#All],[Responsável]],"")</f>
        <v>#NAME?</v>
      </c>
    </row>
    <row r="26" spans="5:8" x14ac:dyDescent="0.25">
      <c r="E26" s="6" t="e" cm="1">
        <f t="array" aca="1" ref="E26" ca="1">_xlfn.XLOOKUP(Tabela68[[#This Row],[ID Teste]],Tabela3[[#All],[ID]],Tabela3[[#All],[Status]],"")</f>
        <v>#NAME?</v>
      </c>
      <c r="F26" s="6" t="e" cm="1">
        <f t="array" aca="1" ref="F26" ca="1">_xlfn.XLOOKUP(Tabela68[[#This Row],[ID Teste]],Tabela3[[#All],[ID]],Tabela3[[#All],[Cenário]],"")</f>
        <v>#NAME?</v>
      </c>
      <c r="G26" s="6" t="e" cm="1">
        <f t="array" aca="1" ref="G26" ca="1">_xlfn.XLOOKUP(Tabela68[[#This Row],[ID Teste]],Tabela3[[#All],[ID]],Tabela3[[#All],[Observação]],"")</f>
        <v>#NAME?</v>
      </c>
      <c r="H26" s="6" t="e" cm="1">
        <f t="array" aca="1" ref="H26" ca="1">_xlfn.XLOOKUP(Tabela68[[#This Row],[ID Teste]],Tabela3[[#All],[ID]],Tabela3[[#All],[Responsável]],"")</f>
        <v>#NAME?</v>
      </c>
    </row>
    <row r="27" spans="5:8" x14ac:dyDescent="0.25">
      <c r="E27" s="6" t="e" cm="1">
        <f t="array" aca="1" ref="E27" ca="1">_xlfn.XLOOKUP(Tabela68[[#This Row],[ID Teste]],Tabela3[[#All],[ID]],Tabela3[[#All],[Status]],"")</f>
        <v>#NAME?</v>
      </c>
      <c r="F27" s="6" t="e" cm="1">
        <f t="array" aca="1" ref="F27" ca="1">_xlfn.XLOOKUP(Tabela68[[#This Row],[ID Teste]],Tabela3[[#All],[ID]],Tabela3[[#All],[Cenário]],"")</f>
        <v>#NAME?</v>
      </c>
      <c r="G27" s="6" t="e" cm="1">
        <f t="array" aca="1" ref="G27" ca="1">_xlfn.XLOOKUP(Tabela68[[#This Row],[ID Teste]],Tabela3[[#All],[ID]],Tabela3[[#All],[Observação]],"")</f>
        <v>#NAME?</v>
      </c>
      <c r="H27" s="6" t="e" cm="1">
        <f t="array" aca="1" ref="H27" ca="1">_xlfn.XLOOKUP(Tabela68[[#This Row],[ID Teste]],Tabela3[[#All],[ID]],Tabela3[[#All],[Responsável]],"")</f>
        <v>#NAME?</v>
      </c>
    </row>
    <row r="28" spans="5:8" x14ac:dyDescent="0.25">
      <c r="E28" s="6" t="e" cm="1">
        <f t="array" aca="1" ref="E28" ca="1">_xlfn.XLOOKUP(Tabela68[[#This Row],[ID Teste]],Tabela3[[#All],[ID]],Tabela3[[#All],[Status]],"")</f>
        <v>#NAME?</v>
      </c>
      <c r="F28" s="6" t="e" cm="1">
        <f t="array" aca="1" ref="F28" ca="1">_xlfn.XLOOKUP(Tabela68[[#This Row],[ID Teste]],Tabela3[[#All],[ID]],Tabela3[[#All],[Cenário]],"")</f>
        <v>#NAME?</v>
      </c>
      <c r="G28" s="6" t="e" cm="1">
        <f t="array" aca="1" ref="G28" ca="1">_xlfn.XLOOKUP(Tabela68[[#This Row],[ID Teste]],Tabela3[[#All],[ID]],Tabela3[[#All],[Observação]],"")</f>
        <v>#NAME?</v>
      </c>
      <c r="H28" s="6" t="e" cm="1">
        <f t="array" aca="1" ref="H28" ca="1">_xlfn.XLOOKUP(Tabela68[[#This Row],[ID Teste]],Tabela3[[#All],[ID]],Tabela3[[#All],[Responsável]],"")</f>
        <v>#NAME?</v>
      </c>
    </row>
    <row r="29" spans="5:8" x14ac:dyDescent="0.25">
      <c r="E29" s="6" t="e" cm="1">
        <f t="array" aca="1" ref="E29" ca="1">_xlfn.XLOOKUP(Tabela68[[#This Row],[ID Teste]],Tabela3[[#All],[ID]],Tabela3[[#All],[Status]],"")</f>
        <v>#NAME?</v>
      </c>
      <c r="F29" s="6" t="e" cm="1">
        <f t="array" aca="1" ref="F29" ca="1">_xlfn.XLOOKUP(Tabela68[[#This Row],[ID Teste]],Tabela3[[#All],[ID]],Tabela3[[#All],[Cenário]],"")</f>
        <v>#NAME?</v>
      </c>
      <c r="G29" s="6" t="e" cm="1">
        <f t="array" aca="1" ref="G29" ca="1">_xlfn.XLOOKUP(Tabela68[[#This Row],[ID Teste]],Tabela3[[#All],[ID]],Tabela3[[#All],[Observação]],"")</f>
        <v>#NAME?</v>
      </c>
      <c r="H29" s="6" t="e" cm="1">
        <f t="array" aca="1" ref="H29" ca="1">_xlfn.XLOOKUP(Tabela68[[#This Row],[ID Teste]],Tabela3[[#All],[ID]],Tabela3[[#All],[Responsável]],"")</f>
        <v>#NAME?</v>
      </c>
    </row>
    <row r="30" spans="5:8" x14ac:dyDescent="0.25">
      <c r="E30" s="6" t="e" cm="1">
        <f t="array" aca="1" ref="E30" ca="1">_xlfn.XLOOKUP(Tabela68[[#This Row],[ID Teste]],Tabela3[[#All],[ID]],Tabela3[[#All],[Status]],"")</f>
        <v>#NAME?</v>
      </c>
      <c r="F30" s="6" t="e" cm="1">
        <f t="array" aca="1" ref="F30" ca="1">_xlfn.XLOOKUP(Tabela68[[#This Row],[ID Teste]],Tabela3[[#All],[ID]],Tabela3[[#All],[Cenário]],"")</f>
        <v>#NAME?</v>
      </c>
      <c r="G30" s="6" t="e" cm="1">
        <f t="array" aca="1" ref="G30" ca="1">_xlfn.XLOOKUP(Tabela68[[#This Row],[ID Teste]],Tabela3[[#All],[ID]],Tabela3[[#All],[Observação]],"")</f>
        <v>#NAME?</v>
      </c>
      <c r="H30" s="6" t="e" cm="1">
        <f t="array" aca="1" ref="H30" ca="1">_xlfn.XLOOKUP(Tabela68[[#This Row],[ID Teste]],Tabela3[[#All],[ID]],Tabela3[[#All],[Responsável]],"")</f>
        <v>#NAME?</v>
      </c>
    </row>
    <row r="31" spans="5:8" x14ac:dyDescent="0.25">
      <c r="E31" s="6" t="e" cm="1">
        <f t="array" aca="1" ref="E31" ca="1">_xlfn.XLOOKUP(Tabela68[[#This Row],[ID Teste]],Tabela3[[#All],[ID]],Tabela3[[#All],[Status]],"")</f>
        <v>#NAME?</v>
      </c>
      <c r="F31" s="6" t="e" cm="1">
        <f t="array" aca="1" ref="F31" ca="1">_xlfn.XLOOKUP(Tabela68[[#This Row],[ID Teste]],Tabela3[[#All],[ID]],Tabela3[[#All],[Cenário]],"")</f>
        <v>#NAME?</v>
      </c>
      <c r="G31" s="6" t="e" cm="1">
        <f t="array" aca="1" ref="G31" ca="1">_xlfn.XLOOKUP(Tabela68[[#This Row],[ID Teste]],Tabela3[[#All],[ID]],Tabela3[[#All],[Observação]],"")</f>
        <v>#NAME?</v>
      </c>
      <c r="H31" s="6" t="e" cm="1">
        <f t="array" aca="1" ref="H31" ca="1">_xlfn.XLOOKUP(Tabela68[[#This Row],[ID Teste]],Tabela3[[#All],[ID]],Tabela3[[#All],[Responsável]],"")</f>
        <v>#NAME?</v>
      </c>
    </row>
    <row r="32" spans="5:8" x14ac:dyDescent="0.25">
      <c r="E32" s="6" t="e" cm="1">
        <f t="array" aca="1" ref="E32" ca="1">_xlfn.XLOOKUP(Tabela68[[#This Row],[ID Teste]],Tabela3[[#All],[ID]],Tabela3[[#All],[Status]],"")</f>
        <v>#NAME?</v>
      </c>
      <c r="F32" s="6" t="e" cm="1">
        <f t="array" aca="1" ref="F32" ca="1">_xlfn.XLOOKUP(Tabela68[[#This Row],[ID Teste]],Tabela3[[#All],[ID]],Tabela3[[#All],[Cenário]],"")</f>
        <v>#NAME?</v>
      </c>
      <c r="G32" s="6" t="e" cm="1">
        <f t="array" aca="1" ref="G32" ca="1">_xlfn.XLOOKUP(Tabela68[[#This Row],[ID Teste]],Tabela3[[#All],[ID]],Tabela3[[#All],[Observação]],"")</f>
        <v>#NAME?</v>
      </c>
      <c r="H32" s="6" t="e" cm="1">
        <f t="array" aca="1" ref="H32" ca="1">_xlfn.XLOOKUP(Tabela68[[#This Row],[ID Teste]],Tabela3[[#All],[ID]],Tabela3[[#All],[Responsável]],"")</f>
        <v>#NAME?</v>
      </c>
    </row>
    <row r="33" spans="1:8" x14ac:dyDescent="0.25">
      <c r="E33" s="6" t="e" cm="1">
        <f t="array" aca="1" ref="E33" ca="1">_xlfn.XLOOKUP(Tabela68[[#This Row],[ID Teste]],Tabela3[[#All],[ID]],Tabela3[[#All],[Status]],"")</f>
        <v>#NAME?</v>
      </c>
      <c r="F33" s="6" t="e" cm="1">
        <f t="array" aca="1" ref="F33" ca="1">_xlfn.XLOOKUP(Tabela68[[#This Row],[ID Teste]],Tabela3[[#All],[ID]],Tabela3[[#All],[Cenário]],"")</f>
        <v>#NAME?</v>
      </c>
      <c r="G33" s="6" t="e" cm="1">
        <f t="array" aca="1" ref="G33" ca="1">_xlfn.XLOOKUP(Tabela68[[#This Row],[ID Teste]],Tabela3[[#All],[ID]],Tabela3[[#All],[Observação]],"")</f>
        <v>#NAME?</v>
      </c>
      <c r="H33" s="6" t="e" cm="1">
        <f t="array" aca="1" ref="H33" ca="1">_xlfn.XLOOKUP(Tabela68[[#This Row],[ID Teste]],Tabela3[[#All],[ID]],Tabela3[[#All],[Responsável]],"")</f>
        <v>#NAME?</v>
      </c>
    </row>
    <row r="39" spans="1:8" x14ac:dyDescent="0.25">
      <c r="A39" s="9" t="s">
        <v>1658</v>
      </c>
    </row>
    <row r="40" spans="1:8" x14ac:dyDescent="0.25">
      <c r="A40" s="9" t="s">
        <v>1655</v>
      </c>
    </row>
    <row r="41" spans="1:8" x14ac:dyDescent="0.25">
      <c r="A41" s="9" t="s">
        <v>1653</v>
      </c>
    </row>
    <row r="42" spans="1:8" x14ac:dyDescent="0.25">
      <c r="A42" s="9" t="s">
        <v>1651</v>
      </c>
    </row>
  </sheetData>
  <mergeCells count="2">
    <mergeCell ref="E3:H3"/>
    <mergeCell ref="A3:D3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Path>https://bpbioenergy-my.sharepoint.com/personal/alexandre_politano_bpbioenergy_com/Documents/Área de Trabalho/Projetos/1984 - Reforma Tributária/03-Aplicação notas S4/Testes Integrados</WorkbookPath>
</file>

<file path=customXml/itemProps1.xml><?xml version="1.0" encoding="utf-8"?>
<ds:datastoreItem xmlns:ds="http://schemas.openxmlformats.org/officeDocument/2006/customXml" ds:itemID="{7458BA04-8932-4425-8AE7-A128D90D1D3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O2C - Produtos acabados</vt:lpstr>
      <vt:lpstr>O2C - Diversas</vt:lpstr>
      <vt:lpstr>TNV</vt:lpstr>
      <vt:lpstr>Analise-TNV</vt:lpstr>
      <vt:lpstr>Outbound</vt:lpstr>
      <vt:lpstr>Analise-Out</vt:lpstr>
      <vt:lpstr>Inbound</vt:lpstr>
      <vt:lpstr>Analise-In</vt:lpstr>
      <vt:lpstr>Planilha1</vt:lpstr>
      <vt:lpstr>Planilha2</vt:lpstr>
      <vt:lpstr>Elo-Out</vt:lpstr>
      <vt:lpstr>Aux</vt:lpstr>
      <vt:lpstr>Elo-In</vt:lpstr>
    </vt:vector>
  </TitlesOfParts>
  <Manager/>
  <Company>bp bioenergy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Politano Da Silva</dc:creator>
  <cp:keywords/>
  <dc:description/>
  <cp:lastModifiedBy>Jaçanã Soares dos Santos (ELO)</cp:lastModifiedBy>
  <cp:revision/>
  <dcterms:created xsi:type="dcterms:W3CDTF">2025-07-15T17:51:12Z</dcterms:created>
  <dcterms:modified xsi:type="dcterms:W3CDTF">2025-12-12T00:30:08Z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5473d2-2540-4fb0-b751-ca1bd35812a3_Enabled">
    <vt:lpwstr>true</vt:lpwstr>
  </property>
  <property fmtid="{D5CDD505-2E9C-101B-9397-08002B2CF9AE}" pid="3" name="MSIP_Label_715473d2-2540-4fb0-b751-ca1bd35812a3_SetDate">
    <vt:lpwstr>2025-07-15T18:12:47Z</vt:lpwstr>
  </property>
  <property fmtid="{D5CDD505-2E9C-101B-9397-08002B2CF9AE}" pid="4" name="MSIP_Label_715473d2-2540-4fb0-b751-ca1bd35812a3_Method">
    <vt:lpwstr>Standard</vt:lpwstr>
  </property>
  <property fmtid="{D5CDD505-2E9C-101B-9397-08002B2CF9AE}" pid="5" name="MSIP_Label_715473d2-2540-4fb0-b751-ca1bd35812a3_Name">
    <vt:lpwstr>Geral</vt:lpwstr>
  </property>
  <property fmtid="{D5CDD505-2E9C-101B-9397-08002B2CF9AE}" pid="6" name="MSIP_Label_715473d2-2540-4fb0-b751-ca1bd35812a3_SiteId">
    <vt:lpwstr>31c2047d-4b0b-494b-90b7-43613b688f9c</vt:lpwstr>
  </property>
  <property fmtid="{D5CDD505-2E9C-101B-9397-08002B2CF9AE}" pid="7" name="MSIP_Label_715473d2-2540-4fb0-b751-ca1bd35812a3_ActionId">
    <vt:lpwstr>9305ccb0-53b3-42ee-ba19-4665ff67e22e</vt:lpwstr>
  </property>
  <property fmtid="{D5CDD505-2E9C-101B-9397-08002B2CF9AE}" pid="8" name="MSIP_Label_715473d2-2540-4fb0-b751-ca1bd35812a3_ContentBits">
    <vt:lpwstr>0</vt:lpwstr>
  </property>
  <property fmtid="{D5CDD505-2E9C-101B-9397-08002B2CF9AE}" pid="9" name="MSIP_Label_715473d2-2540-4fb0-b751-ca1bd35812a3_Tag">
    <vt:lpwstr>10, 3, 0, 1</vt:lpwstr>
  </property>
  <property fmtid="{D5CDD505-2E9C-101B-9397-08002B2CF9AE}" pid="10" name="Last Edited">
    <vt:lpwstr>12/12/2025 00:29:19 +00:00</vt:lpwstr>
  </property>
  <property fmtid="{D5CDD505-2E9C-101B-9397-08002B2CF9AE}" pid="11" name="workbookPath">
    <vt:lpwstr>{7458BA04-8932-4425-8AE7-A128D90D1D31}</vt:lpwstr>
  </property>
</Properties>
</file>